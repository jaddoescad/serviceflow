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c84831358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72307cb15f4f18"/>
    <x:sheet xmlns:r="http://schemas.openxmlformats.org/officeDocument/2006/relationships" name="Invoices" sheetId="2" r:id="R26ffdca3e0eb4459"/>
    <x:sheet xmlns:r="http://schemas.openxmlformats.org/officeDocument/2006/relationships" name="Unmatched" sheetId="3" r:id="R11028a04f2bc43f5"/>
    <x:sheet xmlns:r="http://schemas.openxmlformats.org/officeDocument/2006/relationships" name="Duplicate Groups" sheetId="4" r:id="Ra6c24904e0964672"/>
    <x:sheet xmlns:r="http://schemas.openxmlformats.org/officeDocument/2006/relationships" name="Jobs Without Invoices" sheetId="5" r:id="Rf7c63745c50347c9"/>
    <x:sheet xmlns:r="http://schemas.openxmlformats.org/officeDocument/2006/relationships" name="Review Links" sheetId="6" r:id="Rd78eb183d2694868"/>
    <x:sheet xmlns:r="http://schemas.openxmlformats.org/officeDocument/2006/relationships" name="Amount Audit" sheetId="7" r:id="Rd3abd81bfa6848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$#,##0.00"/>
    <x:numFmt numFmtId="203" formatCode="0.0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37582"/>
      <x:name val="Carlito"/>
    </x:font>
    <x:font>
      <x:b/>
      <x:sz val="11"/>
      <x:color rgb="FFFFFFFF"/>
      <x:name val="Carlito"/>
    </x:font>
    <x:font>
      <x:sz val="11"/>
      <x:color rgb="FF20303B"/>
      <x:name val="Carlito"/>
    </x:font>
    <x:font>
      <x:sz val="11"/>
      <x:color rgb="FF63758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7"/>
      </x:patternFill>
    </x:fill>
    <x:fill>
      <x:patternFill patternType="solid">
        <x:fgColor rgb="FF2D6A8A"/>
      </x:patternFill>
    </x:fill>
    <x:fill>
      <x:patternFill patternType="solid">
        <x:fgColor rgb="FFF7FAFC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D4DEE5"/>
      </x:left>
      <x:right style="thin">
        <x:color rgb="FFD4DEE5"/>
      </x:right>
      <x:top style="thin">
        <x:color rgb="FFD4DEE5"/>
      </x:top>
      <x:bottom style="thin">
        <x:color rgb="FFD4DEE5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top"/>
    </x:xf>
    <x:xf numFmtId="202" fontId="4" fillId="0" borderId="1" xfId="0" applyNumberFormat="1" applyFont="1" applyFill="1" applyBorder="1" applyAlignment="1">
      <x:alignment vertical="top"/>
    </x:xf>
    <x:xf numFmtId="0" fontId="4" fillId="6" borderId="1" xfId="0" applyNumberFormat="1" applyFont="1" applyFill="1" applyBorder="1" applyAlignment="1">
      <x:alignment vertical="top"/>
    </x:xf>
    <x:xf numFmtId="203" fontId="4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5">
    <x:dxf>
      <x:font>
        <x:color rgb="FF9B2C2C"/>
      </x:font>
      <x:fill>
        <x:patternFill patternType="solid">
          <x:bgColor rgb="FFFDECE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9B2C2C"/>
      </x:font>
      <x:fill>
        <x:patternFill patternType="solid">
          <x:bgColor rgb="FFFDECEC"/>
        </x:patternFill>
      </x:fill>
    </x:dxf>
    <x:dxf>
      <x:font>
        <x:color rgb="FF276749"/>
      </x:font>
      <x:fill>
        <x:patternFill patternType="solid">
          <x:bgColor rgb="FFE8F5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e64b874454154" /><Relationship Type="http://schemas.openxmlformats.org/officeDocument/2006/relationships/theme" Target="/xl/theme/theme1.xml" Id="R3ea215568be540bb" /><Relationship Type="http://schemas.openxmlformats.org/officeDocument/2006/relationships/sharedStrings" Target="/xl/sharedStrings.xml" Id="R4d8f4ba90b5f41ab" /><Relationship Type="http://schemas.openxmlformats.org/officeDocument/2006/relationships/worksheet" Target="/xl/worksheets/sheet1.xml" Id="Ra972307cb15f4f18" /><Relationship Type="http://schemas.openxmlformats.org/officeDocument/2006/relationships/worksheet" Target="/xl/worksheets/sheet2.xml" Id="R26ffdca3e0eb4459" /><Relationship Type="http://schemas.openxmlformats.org/officeDocument/2006/relationships/worksheet" Target="/xl/worksheets/sheet3.xml" Id="R11028a04f2bc43f5" /><Relationship Type="http://schemas.openxmlformats.org/officeDocument/2006/relationships/worksheet" Target="/xl/worksheets/sheet4.xml" Id="Ra6c24904e0964672" /><Relationship Type="http://schemas.openxmlformats.org/officeDocument/2006/relationships/worksheet" Target="/xl/worksheets/sheet5.xml" Id="Rf7c63745c50347c9" /><Relationship Type="http://schemas.openxmlformats.org/officeDocument/2006/relationships/worksheet" Target="/xl/worksheets/sheet6.xml" Id="Rd78eb183d2694868" /><Relationship Type="http://schemas.openxmlformats.org/officeDocument/2006/relationships/worksheet" Target="/xl/worksheets/sheet7.xml" Id="Rd3abd81bfa6848d3" /></Relationships>
</file>

<file path=xl/tables/table1.xml><?xml version="1.0" encoding="utf-8"?>
<x:table xmlns:x="http://schemas.openxmlformats.org/spreadsheetml/2006/main" id="1" name="InvoiceArchiveTable" displayName="InvoiceArchiveTable" ref="A4:R214" headerRowCount="1" totalsRowCount="0" totalsRowShown="0">
  <x:tableColumns count="18">
    <x:tableColumn id="1" name="Date"/>
    <x:tableColumn id="2" name="Supplier"/>
    <x:tableColumn id="3" name="Invoice #"/>
    <x:tableColumn id="4" name="Currency"/>
    <x:tableColumn id="5" name="Amount"/>
    <x:tableColumn id="6" name="HST"/>
    <x:tableColumn id="7" name="Total"/>
    <x:tableColumn id="8" name="Match Status"/>
    <x:tableColumn id="9" name="Document Type"/>
    <x:tableColumn id="10" name="Project IDs"/>
    <x:tableColumn id="11" name="Project Names"/>
    <x:tableColumn id="12" name="Match Scores"/>
    <x:tableColumn id="13" name="Review Required"/>
    <x:tableColumn id="14" name="Duplicate Group"/>
    <x:tableColumn id="15" name="Group Size"/>
    <x:tableColumn id="16" name="Filename"/>
    <x:tableColumn id="17" name="Storage Path"/>
    <x:tableColumn id="18" name="SHA-25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matchedInvoicesTable" displayName="UnmatchedInvoicesTable" ref="A4:H45" headerRowCount="1" totalsRowCount="0" totalsRowShown="0">
  <x:tableColumns count="8">
    <x:tableColumn id="1" name="Date"/>
    <x:tableColumn id="2" name="Supplier"/>
    <x:tableColumn id="3" name="Invoice #"/>
    <x:tableColumn id="4" name="Currency"/>
    <x:tableColumn id="5" name="Amount Paid"/>
    <x:tableColumn id="6" name="Document Type"/>
    <x:tableColumn id="7" name="Reason"/>
    <x:tableColumn id="8" name="Filename"/>
  </x:tableColumns>
  <x:tableStyleInfo name="TableStyleMedium3" showFirstColumn="0" showLastColumn="0" showRowStripes="1" showColumnStripes="0"/>
</x:table>
</file>

<file path=xl/tables/table3.xml><?xml version="1.0" encoding="utf-8"?>
<x:table xmlns:x="http://schemas.openxmlformats.org/spreadsheetml/2006/main" id="3" name="DuplicateGroupsTable" displayName="DuplicateGroupsTable" ref="A5:G20" headerRowCount="1" totalsRowCount="0" totalsRowShown="0">
  <x:tableColumns count="7">
    <x:tableColumn id="1" name="Group ID"/>
    <x:tableColumn id="2" name="Supplier"/>
    <x:tableColumn id="3" name="Invoice #"/>
    <x:tableColumn id="4" name="Files"/>
    <x:tableColumn id="5" name="Amounts Seen"/>
    <x:tableColumn id="6" name="Dates"/>
    <x:tableColumn id="7" name="Filename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JobsWithoutInvoicesTable" displayName="JobsWithoutInvoicesTable" ref="A4:D117" headerRowCount="1" totalsRowCount="0" totalsRowShown="0">
  <x:tableColumns count="4">
    <x:tableColumn id="1" name="CompanyCam ID"/>
    <x:tableColumn id="2" name="Job"/>
    <x:tableColumn id="3" name="Address"/>
    <x:tableColumn id="4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LinksTable" displayName="ReviewLinksTable" ref="A4:J16" headerRowCount="1" totalsRowCount="0" totalsRowShown="0">
  <x:tableColumns count="10">
    <x:tableColumn id="1" name="Invoice Date"/>
    <x:tableColumn id="2" name="Supplier"/>
    <x:tableColumn id="3" name="Invoice #"/>
    <x:tableColumn id="4" name="Amount Paid"/>
    <x:tableColumn id="5" name="Job"/>
    <x:tableColumn id="6" name="Address"/>
    <x:tableColumn id="7" name="Project ID"/>
    <x:tableColumn id="8" name="Score"/>
    <x:tableColumn id="9" name="Evidence"/>
    <x:tableColumn id="10" name="Review Reason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AmountAuditTable" displayName="AmountAuditTable" ref="A4:L15" headerRowCount="1" totalsRowCount="0" totalsRowShown="0">
  <x:tableColumns count="12">
    <x:tableColumn id="1" name="Status"/>
    <x:tableColumn id="2" name="Supplier"/>
    <x:tableColumn id="3" name="Invoice #"/>
    <x:tableColumn id="4" name="Invoice Date"/>
    <x:tableColumn id="5" name="Amount"/>
    <x:tableColumn id="6" name="HST"/>
    <x:tableColumn id="7" name="Total"/>
    <x:tableColumn id="8" name="Effective HST Rate"/>
    <x:tableColumn id="9" name="Full 13% HST"/>
    <x:tableColumn id="10" name="Variance vs Full 13%"/>
    <x:tableColumn id="11" name="Finding"/>
    <x:tableColumn id="12" name="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1111a7a6094d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7d5c769a4541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981f7830c84d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f2f59493d844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4a5409a8474f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53b27df68842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0" hidden="0" customWidth="1"/>
    <x:col min="3" max="3" width="3" hidden="0" customWidth="1"/>
    <x:col min="4" max="4" width="28" hidden="0" customWidth="1"/>
    <x:col min="5" max="5" width="12" hidden="0" customWidth="1"/>
    <x:col min="6" max="6" width="44" hidden="0" customWidth="1"/>
  </x:cols>
  <x:sheetData>
    <x:row r="1" ht="30" customHeight="1">
      <x:c r="A1" s="3" t="str">
        <x:v>Labour Invoice Reconciliation</x:v>
      </x:c>
      <x:c r="B1" s="3" t="str">
        <x:v>Labour Invoice Reconciliation</x:v>
      </x:c>
      <x:c r="C1" s="3" t="str">
        <x:v>Labour Invoice Reconciliation</x:v>
      </x:c>
      <x:c r="D1" s="3" t="str">
        <x:v>Labour Invoice Reconciliation</x:v>
      </x:c>
      <x:c r="E1" s="3" t="str">
        <x:v>Labour Invoice Reconciliation</x:v>
      </x:c>
      <x:c r="F1" s="3" t="str">
        <x:v>Labour Invoice Reconciliation</x:v>
      </x:c>
    </x:row>
    <x:row r="2" ht="34" customHeight="1">
      <x:c r="A2" s="7" t="str">
        <x:v>Live Supabase audit exported 2026-07-25T16:54:50.462Z. Amounts are recorded per source file; no aggregate payment total is shown because revisions and payment copies can duplicate amounts.</x:v>
      </x:c>
      <x:c r="B2" s="7" t="str">
        <x:v>Live Supabase audit exported 2026-07-25T16:54:50.462Z. Amounts are recorded per source file; no aggregate payment total is shown because revisions and payment copies can duplicate amounts.</x:v>
      </x:c>
      <x:c r="C2" s="7" t="str">
        <x:v>Live Supabase audit exported 2026-07-25T16:54:50.462Z. Amounts are recorded per source file; no aggregate payment total is shown because revisions and payment copies can duplicate amounts.</x:v>
      </x:c>
      <x:c r="D2" s="7" t="str">
        <x:v>Live Supabase audit exported 2026-07-25T16:54:50.462Z. Amounts are recorded per source file; no aggregate payment total is shown because revisions and payment copies can duplicate amounts.</x:v>
      </x:c>
      <x:c r="E2" s="7" t="str">
        <x:v>Live Supabase audit exported 2026-07-25T16:54:50.462Z. Amounts are recorded per source file; no aggregate payment total is shown because revisions and payment copies can duplicate amounts.</x:v>
      </x:c>
      <x:c r="F2" s="7" t="str">
        <x:v>Live Supabase audit exported 2026-07-25T16:54:50.462Z. Amounts are recorded per source file; no aggregate payment total is shown because revisions and payment copies can duplicate amounts.</x:v>
      </x:c>
    </x:row>
    <x:row r="3">
      <x:c r="A3" s="24"/>
      <x:c r="B3" s="24"/>
      <x:c r="C3" s="24"/>
      <x:c r="D3" s="24"/>
      <x:c r="E3" s="24"/>
      <x:c r="F3" s="24"/>
    </x:row>
    <x:row r="4" ht="26" customHeight="1">
      <x:c r="A4" s="12" t="str">
        <x:v>Archive control</x:v>
      </x:c>
      <x:c r="B4" s="12" t="str">
        <x:v>Result</x:v>
      </x:c>
      <x:c r="C4" s="24"/>
      <x:c r="D4" s="12" t="str">
        <x:v>Key exception</x:v>
      </x:c>
      <x:c r="E4" s="12" t="str">
        <x:v>Count</x:v>
      </x:c>
      <x:c r="F4" s="12" t="str">
        <x:v>Action</x:v>
      </x:c>
    </x:row>
    <x:row r="5">
      <x:c r="A5" s="25" t="str">
        <x:v>Files archived</x:v>
      </x:c>
      <x:c r="B5" s="26" t="n">
        <x:f>COUNTA(Invoices!A5:A214)</x:f>
        <x:v>210</x:v>
      </x:c>
      <x:c r="C5" s="24"/>
      <x:c r="D5" s="27" t="str">
        <x:v>Unmatched source files</x:v>
      </x:c>
      <x:c r="E5" s="27" t="n">
        <x:v>41</x:v>
      </x:c>
      <x:c r="F5" s="27" t="str">
        <x:v>Assign only after job evidence is found</x:v>
      </x:c>
    </x:row>
    <x:row r="6">
      <x:c r="A6" s="25" t="str">
        <x:v>Matched to ≥1 job</x:v>
      </x:c>
      <x:c r="B6" s="26" t="n">
        <x:f>COUNTIF(Invoices!H5:H214,"matched")+COUNTIF(Invoices!H5:H214,"matched_multiple")</x:f>
        <x:v>127</x:v>
      </x:c>
      <x:c r="C6" s="24"/>
      <x:c r="D6" s="27" t="str">
        <x:v>Duplicate/version files</x:v>
      </x:c>
      <x:c r="E6" s="27" t="n">
        <x:v>35</x:v>
      </x:c>
      <x:c r="F6" s="27" t="str">
        <x:v>Confirm the paid/revised version</x:v>
      </x:c>
    </x:row>
    <x:row r="7">
      <x:c r="A7" s="25" t="str">
        <x:v>Unmatched</x:v>
      </x:c>
      <x:c r="B7" s="26" t="n">
        <x:f>COUNTIF(Invoices!H5:H214,"unmatched")</x:f>
        <x:v>41</x:v>
      </x:c>
      <x:c r="C7" s="24"/>
      <x:c r="D7" s="27" t="str">
        <x:v>Exact copies excluded</x:v>
      </x:c>
      <x:c r="E7" s="27" t="n">
        <x:v>3</x:v>
      </x:c>
      <x:c r="F7" s="27" t="str">
        <x:v>Kept out of Supabase to avoid byte-for-byte duplicates</x:v>
      </x:c>
    </x:row>
    <x:row r="8">
      <x:c r="A8" s="25" t="str">
        <x:v>Overhead / no job</x:v>
      </x:c>
      <x:c r="B8" s="26" t="n">
        <x:f>COUNTIF(Invoices!H5:H214,"overhead_unmatched")</x:f>
        <x:v>33</x:v>
      </x:c>
      <x:c r="C8" s="24"/>
      <x:c r="D8" s="27" t="str">
        <x:v>Low-confidence name links</x:v>
      </x:c>
      <x:c r="E8" s="27" t="n">
        <x:v>3</x:v>
      </x:c>
      <x:c r="F8" s="27" t="str">
        <x:v>Review spelling/name discrepancies</x:v>
      </x:c>
    </x:row>
    <x:row r="9">
      <x:c r="A9" s="25" t="str">
        <x:v>Supporting documents</x:v>
      </x:c>
      <x:c r="B9" s="26" t="n">
        <x:f>COUNTIF(Invoices!H5:H214,"supporting_document")</x:f>
        <x:v>4</x:v>
      </x:c>
      <x:c r="C9" s="24"/>
      <x:c r="D9" s="27" t="str">
        <x:v>CompanyCam lead links</x:v>
      </x:c>
      <x:c r="E9" s="27" t="n">
        <x:v>9</x:v>
      </x:c>
      <x:c r="F9" s="27" t="str">
        <x:v>Confirm lead labels are stale or convert to jobs</x:v>
      </x:c>
    </x:row>
    <x:row r="10">
      <x:c r="A10" s="25" t="str">
        <x:v>Not invoices</x:v>
      </x:c>
      <x:c r="B10" s="26" t="n">
        <x:f>COUNTIF(Invoices!H5:H214,"not_invoice")</x:f>
        <x:v>5</x:v>
      </x:c>
      <x:c r="C10" s="24"/>
      <x:c r="D10" s="27" t="str">
        <x:v>Source amount/HST issues</x:v>
      </x:c>
      <x:c r="E10" s="27" t="n">
        <x:f>COUNTIF('Amount Audit'!A5:A15,"Issue")</x:f>
        <x:v>2</x:v>
      </x:c>
      <x:c r="F10" s="27" t="str">
        <x:v>Request corrected invoices before relying on the HST</x:v>
      </x:c>
    </x:row>
    <x:row r="11">
      <x:c r="A11" s="25" t="str">
        <x:v>Duplicate/version groups</x:v>
      </x:c>
      <x:c r="B11" s="26" t="n">
        <x:f>COUNTA('Duplicate Groups'!A6:A20)</x:f>
        <x:v>15</x:v>
      </x:c>
      <x:c r="C11" s="24"/>
      <x:c r="D11" s="24"/>
      <x:c r="E11" s="24"/>
      <x:c r="F11" s="24"/>
    </x:row>
    <x:row r="12">
      <x:c r="A12" s="25" t="str">
        <x:v>Jobs without invoices</x:v>
      </x:c>
      <x:c r="B12" s="26" t="n">
        <x:f>COUNTA('Jobs Without Invoices'!A5:A117)</x:f>
        <x:v>113</x:v>
      </x:c>
      <x:c r="C12" s="24"/>
      <x:c r="D12" s="28" t="str">
        <x:v>Scope notes</x:v>
      </x:c>
      <x:c r="E12" s="28" t="str">
        <x:v>Scope notes</x:v>
      </x:c>
      <x:c r="F12" s="28" t="str">
        <x:v>Scope notes</x:v>
      </x:c>
    </x:row>
    <x:row r="13">
      <x:c r="A13" s="25" t="str">
        <x:v>Active jobs without invoices</x:v>
      </x:c>
      <x:c r="B13" s="26" t="n">
        <x:f>COUNTIF('Jobs Without Invoices'!D5:D117,"Active")</x:f>
        <x:v>28</x:v>
      </x:c>
      <x:c r="C13" s="24"/>
      <x:c r="D13" s="29" t="str">
        <x:v>Private bucket: labour-invoices (admin/manager access only)</x:v>
      </x:c>
      <x:c r="E13" s="29"/>
      <x:c r="F13" s="29"/>
    </x:row>
    <x:row r="14">
      <x:c r="A14" s="25" t="str">
        <x:v>Links flagged for review</x:v>
      </x:c>
      <x:c r="B14" s="26" t="n">
        <x:f>COUNTA('Review Links'!A5:A16)</x:f>
        <x:v>12</x:v>
      </x:c>
      <x:c r="C14" s="24"/>
      <x:c r="D14" s="29" t="str">
        <x:v>Source: Gmail label “Labour Invoices”, downloaded 2026-07-25</x:v>
      </x:c>
      <x:c r="E14" s="29"/>
      <x:c r="F14" s="29"/>
    </x:row>
    <x:row r="15">
      <x:c r="A15" s="25" t="str">
        <x:v>Amounts captured</x:v>
      </x:c>
      <x:c r="B15" s="26" t="n">
        <x:f>COUNTIF(Invoices!E5:E214,"&gt;=0")</x:f>
        <x:v>210</x:v>
      </x:c>
      <x:c r="C15" s="24"/>
      <x:c r="D15" s="29" t="str">
        <x:v>Operational jobs exclude leads, deleted/test projects, and internal QA records</x:v>
      </x:c>
      <x:c r="E15" s="29"/>
      <x:c r="F15" s="29"/>
    </x:row>
    <x:row r="16">
      <x:c r="A16" s="25" t="str">
        <x:v>Storage integrity</x:v>
      </x:c>
      <x:c r="B16" s="30" t="str">
        <x:f>COUNTA(Invoices!Q5:Q214)&amp;"/"&amp;COUNTA(Invoices!A5:A214)&amp;" files verified"</x:f>
        <x:v>210/210 files verified</x:v>
      </x:c>
      <x:c r="C16" s="24"/>
      <x:c r="D16" s="29" t="str">
        <x:v>Multiple-job invoices retain one source amount; no unsupported per-job split was invented</x:v>
      </x:c>
      <x:c r="E16" s="29"/>
      <x:c r="F16" s="29"/>
    </x:row>
    <x:row r="17">
      <x:c r="A17" s="24"/>
      <x:c r="B17" s="24"/>
      <x:c r="C17" s="24"/>
      <x:c r="D17" s="29" t="str">
        <x:v>Existing labour metrics were not changed, preventing double-counting</x:v>
      </x:c>
      <x:c r="E17" s="29"/>
      <x:c r="F17" s="29"/>
    </x:row>
  </x:sheetData>
  <x:mergeCells>
    <x:mergeCell ref="A1:F1"/>
    <x:mergeCell ref="A2:F2"/>
    <x:mergeCell ref="D12:F12"/>
    <x:mergeCell ref="D13:F13"/>
    <x:mergeCell ref="D14:F14"/>
    <x:mergeCell ref="D15:F15"/>
    <x:mergeCell ref="D16:F16"/>
    <x:mergeCell ref="D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8" hidden="0" customWidth="1"/>
    <x:col min="4" max="4" width="9" hidden="0" customWidth="1"/>
    <x:col min="5" max="5" width="14" hidden="0" customWidth="1"/>
    <x:col min="6" max="6" width="14" hidden="0" customWidth="1"/>
    <x:col min="7" max="7" width="12" hidden="0" customWidth="1"/>
    <x:col min="8" max="8" width="20" hidden="0" customWidth="1"/>
    <x:col min="9" max="9" width="19" hidden="0" customWidth="1"/>
    <x:col min="10" max="10" width="22" hidden="0" customWidth="1"/>
    <x:col min="11" max="11" width="30" hidden="0" customWidth="1"/>
    <x:col min="12" max="12" width="15" hidden="0" customWidth="1"/>
    <x:col min="13" max="13" width="14" hidden="0" customWidth="1"/>
    <x:col min="14" max="14" width="18" hidden="0" customWidth="1"/>
    <x:col min="15" max="15" width="10" hidden="0" customWidth="1"/>
    <x:col min="16" max="16" width="48" hidden="0" customWidth="1"/>
    <x:col min="17" max="17" width="58" hidden="0" customWidth="1"/>
    <x:col min="18" max="18" width="28" hidden="0" customWidth="1"/>
  </x:cols>
  <x:sheetData>
    <x:row r="1" ht="30" customHeight="1">
      <x:c r="A1" s="3" t="str">
        <x:v>Invoice Archive</x:v>
      </x:c>
      <x:c r="B1" s="3" t="str">
        <x:v>Invoice Archive</x:v>
      </x:c>
      <x:c r="C1" s="3" t="str">
        <x:v>Invoice Archive</x:v>
      </x:c>
      <x:c r="D1" s="3" t="str">
        <x:v>Invoice Archive</x:v>
      </x:c>
      <x:c r="E1" s="3" t="str">
        <x:v>Invoice Archive</x:v>
      </x:c>
      <x:c r="F1" s="3" t="str">
        <x:v>Invoice Archive</x:v>
      </x:c>
      <x:c r="G1" s="3" t="str">
        <x:v>Invoice Archive</x:v>
      </x:c>
      <x:c r="H1" s="3" t="str">
        <x:v>Invoice Archive</x:v>
      </x:c>
      <x:c r="I1" s="3" t="str">
        <x:v>Invoice Archive</x:v>
      </x:c>
      <x:c r="J1" s="3" t="str">
        <x:v>Invoice Archive</x:v>
      </x:c>
      <x:c r="K1" s="3" t="str">
        <x:v>Invoice Archive</x:v>
      </x:c>
      <x:c r="L1" s="3" t="str">
        <x:v>Invoice Archive</x:v>
      </x:c>
      <x:c r="M1" s="3" t="str">
        <x:v>Invoice Archive</x:v>
      </x:c>
      <x:c r="N1" s="3" t="str">
        <x:v>Invoice Archive</x:v>
      </x:c>
      <x:c r="O1" s="3" t="str">
        <x:v>Invoice Archive</x:v>
      </x:c>
      <x:c r="P1" s="3" t="str">
        <x:v>Invoice Archive</x:v>
      </x:c>
      <x:c r="Q1" s="3" t="str">
        <x:v>Invoice Archive</x:v>
      </x:c>
      <x:c r="R1" s="3" t="str">
        <x:v>Invoice Archive</x:v>
      </x:c>
    </x:row>
    <x:row r="2" ht="34" customHeight="1">
      <x:c r="A2" s="7" t="str">
        <x:v>One row per archived source file. Amount Paid is the gross amount shown on that file; duplicate/version groups are retained for audit.</x:v>
      </x:c>
      <x:c r="B2" s="7" t="str">
        <x:v>One row per archived source file. Amount Paid is the gross amount shown on that file; duplicate/version groups are retained for audit.</x:v>
      </x:c>
      <x:c r="C2" s="7" t="str">
        <x:v>One row per archived source file. Amount Paid is the gross amount shown on that file; duplicate/version groups are retained for audit.</x:v>
      </x:c>
      <x:c r="D2" s="7" t="str">
        <x:v>One row per archived source file. Amount Paid is the gross amount shown on that file; duplicate/version groups are retained for audit.</x:v>
      </x:c>
      <x:c r="E2" s="7" t="str">
        <x:v>One row per archived source file. Amount Paid is the gross amount shown on that file; duplicate/version groups are retained for audit.</x:v>
      </x:c>
      <x:c r="F2" s="7" t="str">
        <x:v>One row per archived source file. Amount Paid is the gross amount shown on that file; duplicate/version groups are retained for audit.</x:v>
      </x:c>
      <x:c r="G2" s="7" t="str">
        <x:v>One row per archived source file. Amount Paid is the gross amount shown on that file; duplicate/version groups are retained for audit.</x:v>
      </x:c>
      <x:c r="H2" s="7" t="str">
        <x:v>One row per archived source file. Amount Paid is the gross amount shown on that file; duplicate/version groups are retained for audit.</x:v>
      </x:c>
      <x:c r="I2" s="7" t="str">
        <x:v>One row per archived source file. Amount Paid is the gross amount shown on that file; duplicate/version groups are retained for audit.</x:v>
      </x:c>
      <x:c r="J2" s="7" t="str">
        <x:v>One row per archived source file. Amount Paid is the gross amount shown on that file; duplicate/version groups are retained for audit.</x:v>
      </x:c>
      <x:c r="K2" s="7" t="str">
        <x:v>One row per archived source file. Amount Paid is the gross amount shown on that file; duplicate/version groups are retained for audit.</x:v>
      </x:c>
      <x:c r="L2" s="7" t="str">
        <x:v>One row per archived source file. Amount Paid is the gross amount shown on that file; duplicate/version groups are retained for audit.</x:v>
      </x:c>
      <x:c r="M2" s="7" t="str">
        <x:v>One row per archived source file. Amount Paid is the gross amount shown on that file; duplicate/version groups are retained for audit.</x:v>
      </x:c>
      <x:c r="N2" s="7" t="str">
        <x:v>One row per archived source file. Amount Paid is the gross amount shown on that file; duplicate/version groups are retained for audit.</x:v>
      </x:c>
      <x:c r="O2" s="7" t="str">
        <x:v>One row per archived source file. Amount Paid is the gross amount shown on that file; duplicate/version groups are retained for audit.</x:v>
      </x:c>
      <x:c r="P2" s="7" t="str">
        <x:v>One row per archived source file. Amount Paid is the gross amount shown on that file; duplicate/version groups are retained for audit.</x:v>
      </x:c>
      <x:c r="Q2" s="7" t="str">
        <x:v>One row per archived source file. Amount Paid is the gross amount shown on that file; duplicate/version groups are retained for audit.</x:v>
      </x:c>
      <x:c r="R2" s="7" t="str">
        <x:v>One row per archived source file. Amount Paid is the gross amount shown on that file; duplicate/version groups are retained for audit.</x:v>
      </x:c>
    </x:row>
    <x:row r="4" ht="26" customHeight="1">
      <x:c r="A4" s="12" t="str">
        <x:v>Date</x:v>
      </x:c>
      <x:c r="B4" s="12" t="str">
        <x:v>Supplier</x:v>
      </x:c>
      <x:c r="C4" s="12" t="str">
        <x:v>Invoice #</x:v>
      </x:c>
      <x:c r="D4" s="12" t="str">
        <x:v>Currency</x:v>
      </x:c>
      <x:c r="E4" s="12" t="str">
        <x:v>Amount</x:v>
      </x:c>
      <x:c r="F4" s="12" t="str">
        <x:v>HST</x:v>
      </x:c>
      <x:c r="G4" s="12" t="str">
        <x:v>Total</x:v>
      </x:c>
      <x:c r="H4" s="12" t="str">
        <x:v>Match Status</x:v>
      </x:c>
      <x:c r="I4" s="12" t="str">
        <x:v>Document Type</x:v>
      </x:c>
      <x:c r="J4" s="12" t="str">
        <x:v>Project IDs</x:v>
      </x:c>
      <x:c r="K4" s="12" t="str">
        <x:v>Project Names</x:v>
      </x:c>
      <x:c r="L4" s="12" t="str">
        <x:v>Match Scores</x:v>
      </x:c>
      <x:c r="M4" s="12" t="str">
        <x:v>Review Required</x:v>
      </x:c>
      <x:c r="N4" s="12" t="str">
        <x:v>Duplicate Group</x:v>
      </x:c>
      <x:c r="O4" s="12" t="str">
        <x:v>Group Size</x:v>
      </x:c>
      <x:c r="P4" s="12" t="str">
        <x:v>Filename</x:v>
      </x:c>
      <x:c r="Q4" s="12" t="str">
        <x:v>Storage Path</x:v>
      </x:c>
      <x:c r="R4" s="12" t="str">
        <x:v>SHA-256</x:v>
      </x:c>
    </x:row>
    <x:row r="5">
      <x:c r="A5" s="31" t="n">
        <x:v>45860</x:v>
      </x:c>
      <x:c r="B5" s="15" t="str">
        <x:v>Unknown supplier</x:v>
      </x:c>
      <x:c r="C5" s="15" t="str">
        <x:v>276606</x:v>
      </x:c>
      <x:c r="D5" s="15" t="str">
        <x:v>CAD</x:v>
      </x:c>
      <x:c r="E5" s="32" t="n">
        <x:v>291.08</x:v>
      </x:c>
      <x:c r="F5" s="32" t="n">
        <x:v>0</x:v>
      </x:c>
      <x:c r="G5" s="32" t="n">
        <x:v>291.08</x:v>
      </x:c>
      <x:c r="H5" s="15" t="str">
        <x:v>overhead_unmatched</x:v>
      </x:c>
      <x:c r="I5" s="15" t="str">
        <x:v>invoice</x:v>
      </x:c>
      <x:c r="J5" s="15" t="str"/>
      <x:c r="K5" s="15" t="str"/>
      <x:c r="L5" s="15" t="str"/>
      <x:c r="M5" s="15" t="str">
        <x:v>No</x:v>
      </x:c>
      <x:c r="N5" s="15"/>
      <x:c r="O5" s="15" t="n">
        <x:v>1</x:v>
      </x:c>
      <x:c r="P5" s="15" t="str">
        <x:v>2025-07-22 - Invoice 278691 and 280975.xlsx</x:v>
      </x:c>
      <x:c r="Q5" s="15" t="str">
        <x:v>gmail-labour-invoices/2025-07-22/ffd1347318791bb1-2025-07-22 - Invoice 278691 and 280975.xlsx</x:v>
      </x:c>
      <x:c r="R5" s="15" t="str">
        <x:v>ffd1347318791bb1c93ac8705009162ae232c5d7d5069e2e6f52a11d6aa6ba29</x:v>
      </x:c>
    </x:row>
    <x:row r="6">
      <x:c r="A6" s="31" t="n">
        <x:v>45860</x:v>
      </x:c>
      <x:c r="B6" s="15" t="str">
        <x:v>Unknown supplier</x:v>
      </x:c>
      <x:c r="C6" s="15" t="str">
        <x:v>278691</x:v>
      </x:c>
      <x:c r="D6" s="15" t="str">
        <x:v>CAD</x:v>
      </x:c>
      <x:c r="E6" s="32" t="n">
        <x:v>661</x:v>
      </x:c>
      <x:c r="F6" s="32" t="n">
        <x:v>0</x:v>
      </x:c>
      <x:c r="G6" s="32" t="n">
        <x:v>661</x:v>
      </x:c>
      <x:c r="H6" s="15" t="str">
        <x:v>overhead_unmatched</x:v>
      </x:c>
      <x:c r="I6" s="15" t="str">
        <x:v>invoice</x:v>
      </x:c>
      <x:c r="J6" s="15" t="str"/>
      <x:c r="K6" s="15" t="str"/>
      <x:c r="L6" s="15" t="str"/>
      <x:c r="M6" s="15" t="str">
        <x:v>No</x:v>
      </x:c>
      <x:c r="N6" s="15"/>
      <x:c r="O6" s="15" t="n">
        <x:v>1</x:v>
      </x:c>
      <x:c r="P6" s="15" t="str">
        <x:v>2025-07-22 - Invoice 278691.xlsx</x:v>
      </x:c>
      <x:c r="Q6" s="15" t="str">
        <x:v>gmail-labour-invoices/2025-07-22/dec3b8bf495b264e-2025-07-22 - Invoice 278691.xlsx</x:v>
      </x:c>
      <x:c r="R6" s="15" t="str">
        <x:v>dec3b8bf495b264e3d74e6580dc9bf5359dfe8450686ab5d58e52640c14558ec</x:v>
      </x:c>
    </x:row>
    <x:row r="7">
      <x:c r="A7" s="31" t="n">
        <x:v>45861</x:v>
      </x:c>
      <x:c r="B7" s="15" t="str">
        <x:v>Unknown supplier</x:v>
      </x:c>
      <x:c r="C7" s="15" t="str">
        <x:v>FILE-1EC137DDC9A7</x:v>
      </x:c>
      <x:c r="D7" s="15" t="str">
        <x:v>CAD</x:v>
      </x:c>
      <x:c r="E7" s="32" t="n">
        <x:v>2574</x:v>
      </x:c>
      <x:c r="F7" s="32" t="n">
        <x:v>0</x:v>
      </x:c>
      <x:c r="G7" s="32" t="n">
        <x:v>2574</x:v>
      </x:c>
      <x:c r="H7" s="15" t="str">
        <x:v>unmatched</x:v>
      </x:c>
      <x:c r="I7" s="15" t="str">
        <x:v>invoice</x:v>
      </x:c>
      <x:c r="J7" s="15" t="str"/>
      <x:c r="K7" s="15" t="str"/>
      <x:c r="L7" s="15" t="str"/>
      <x:c r="M7" s="15" t="str">
        <x:v>No</x:v>
      </x:c>
      <x:c r="N7" s="15"/>
      <x:c r="O7" s="15" t="n">
        <x:v>1</x:v>
      </x:c>
      <x:c r="P7" s="15" t="str">
        <x:v>2025-07-23 - PO 250001 &amp; 250002.xlsx</x:v>
      </x:c>
      <x:c r="Q7" s="15" t="str">
        <x:v>gmail-labour-invoices/2025-07-23/1ec137ddc9a7c185-2025-07-23 - PO 250001 &amp; 250002.xlsx</x:v>
      </x:c>
      <x:c r="R7" s="15" t="str">
        <x:v>1ec137ddc9a7c1853004f12417dbfb0f9c87de202cc91b5c1b03cd8e85fa8a63</x:v>
      </x:c>
    </x:row>
    <x:row r="8">
      <x:c r="A8" s="31" t="n">
        <x:v>45898</x:v>
      </x:c>
      <x:c r="B8" s="15" t="str">
        <x:v>Phillip Hyde</x:v>
      </x:c>
      <x:c r="C8" s="15" t="str">
        <x:v>INV-000004</x:v>
      </x:c>
      <x:c r="D8" s="15" t="str">
        <x:v>CAD</x:v>
      </x:c>
      <x:c r="E8" s="32" t="n">
        <x:v>639</x:v>
      </x:c>
      <x:c r="F8" s="32" t="n">
        <x:v>0</x:v>
      </x:c>
      <x:c r="G8" s="32" t="n">
        <x:v>639</x:v>
      </x:c>
      <x:c r="H8" s="15" t="str">
        <x:v>overhead_unmatched</x:v>
      </x:c>
      <x:c r="I8" s="15" t="str">
        <x:v>invoice</x:v>
      </x:c>
      <x:c r="J8" s="15" t="str"/>
      <x:c r="K8" s="15" t="str"/>
      <x:c r="L8" s="15" t="str"/>
      <x:c r="M8" s="15" t="str">
        <x:v>No</x:v>
      </x:c>
      <x:c r="N8" s="15"/>
      <x:c r="O8" s="15" t="n">
        <x:v>1</x:v>
      </x:c>
      <x:c r="P8" s="15" t="str">
        <x:v>2025-08-29 - INV-000004.pdf</x:v>
      </x:c>
      <x:c r="Q8" s="15" t="str">
        <x:v>gmail-labour-invoices/2025-08-29/8f9a03d922ecff36-2025-08-29 - INV-000004.pdf</x:v>
      </x:c>
      <x:c r="R8" s="15" t="str">
        <x:v>8f9a03d922ecff363b679fd6ae0abd04ecde5f4d0cb806c69cd07bdbd549c90f</x:v>
      </x:c>
    </x:row>
    <x:row r="9">
      <x:c r="A9" s="31" t="n">
        <x:v>45898</x:v>
      </x:c>
      <x:c r="B9" s="15" t="str">
        <x:v>Phillip Hyde</x:v>
      </x:c>
      <x:c r="C9" s="15" t="str">
        <x:v>INV-000005</x:v>
      </x:c>
      <x:c r="D9" s="15" t="str">
        <x:v>CAD</x:v>
      </x:c>
      <x:c r="E9" s="32" t="n">
        <x:v>51</x:v>
      </x:c>
      <x:c r="F9" s="32" t="n">
        <x:v>0</x:v>
      </x:c>
      <x:c r="G9" s="32" t="n">
        <x:v>51</x:v>
      </x:c>
      <x:c r="H9" s="15" t="str">
        <x:v>overhead_unmatched</x:v>
      </x:c>
      <x:c r="I9" s="15" t="str">
        <x:v>invoice</x:v>
      </x:c>
      <x:c r="J9" s="15" t="str"/>
      <x:c r="K9" s="15" t="str"/>
      <x:c r="L9" s="15" t="str"/>
      <x:c r="M9" s="15" t="str">
        <x:v>No</x:v>
      </x:c>
      <x:c r="N9" s="15"/>
      <x:c r="O9" s="15" t="n">
        <x:v>1</x:v>
      </x:c>
      <x:c r="P9" s="15" t="str">
        <x:v>2025-08-29 - INV-000005.pdf</x:v>
      </x:c>
      <x:c r="Q9" s="15" t="str">
        <x:v>gmail-labour-invoices/2025-08-29/deee15db8c3b359b-2025-08-29 - INV-000005.pdf</x:v>
      </x:c>
      <x:c r="R9" s="15" t="str">
        <x:v>deee15db8c3b359b3f5f753909a0fede4b5d51403fa63f84d1f8716cb02bb45a</x:v>
      </x:c>
    </x:row>
    <x:row r="10">
      <x:c r="A10" s="31" t="n">
        <x:v>45898</x:v>
      </x:c>
      <x:c r="B10" s="15" t="str">
        <x:v>Phillip Hyde</x:v>
      </x:c>
      <x:c r="C10" s="15" t="str">
        <x:v>INV-000006</x:v>
      </x:c>
      <x:c r="D10" s="15" t="str">
        <x:v>CAD</x:v>
      </x:c>
      <x:c r="E10" s="32" t="n">
        <x:v>49.5</x:v>
      </x:c>
      <x:c r="F10" s="32" t="n">
        <x:v>0</x:v>
      </x:c>
      <x:c r="G10" s="32" t="n">
        <x:v>49.5</x:v>
      </x:c>
      <x:c r="H10" s="15" t="str">
        <x:v>overhead_unmatched</x:v>
      </x:c>
      <x:c r="I10" s="15" t="str">
        <x:v>invoice</x:v>
      </x:c>
      <x:c r="J10" s="15" t="str"/>
      <x:c r="K10" s="15" t="str"/>
      <x:c r="L10" s="15" t="str"/>
      <x:c r="M10" s="15" t="str">
        <x:v>No</x:v>
      </x:c>
      <x:c r="N10" s="15"/>
      <x:c r="O10" s="15" t="n">
        <x:v>1</x:v>
      </x:c>
      <x:c r="P10" s="15" t="str">
        <x:v>2025-08-29 - INV-000006.pdf</x:v>
      </x:c>
      <x:c r="Q10" s="15" t="str">
        <x:v>gmail-labour-invoices/2025-08-29/b016fc3ebd452e6e-2025-08-29 - INV-000006.pdf</x:v>
      </x:c>
      <x:c r="R10" s="15" t="str">
        <x:v>b016fc3ebd452e6ec4f3886a9230a563a77841b4518725299cd8affd7ffea89b</x:v>
      </x:c>
    </x:row>
    <x:row r="11">
      <x:c r="A11" s="31" t="n">
        <x:v>45898</x:v>
      </x:c>
      <x:c r="B11" s="15" t="str">
        <x:v>Phillip Hyde</x:v>
      </x:c>
      <x:c r="C11" s="15" t="str">
        <x:v>INV-000007</x:v>
      </x:c>
      <x:c r="D11" s="15" t="str">
        <x:v>CAD</x:v>
      </x:c>
      <x:c r="E11" s="32" t="n">
        <x:v>1065</x:v>
      </x:c>
      <x:c r="F11" s="32" t="n">
        <x:v>0</x:v>
      </x:c>
      <x:c r="G11" s="32" t="n">
        <x:v>1065</x:v>
      </x:c>
      <x:c r="H11" s="15" t="str">
        <x:v>overhead_unmatched</x:v>
      </x:c>
      <x:c r="I11" s="15" t="str">
        <x:v>invoice</x:v>
      </x:c>
      <x:c r="J11" s="15" t="str"/>
      <x:c r="K11" s="15" t="str"/>
      <x:c r="L11" s="15" t="str"/>
      <x:c r="M11" s="15" t="str">
        <x:v>No</x:v>
      </x:c>
      <x:c r="N11" s="15"/>
      <x:c r="O11" s="15" t="n">
        <x:v>1</x:v>
      </x:c>
      <x:c r="P11" s="15" t="str">
        <x:v>2025-08-29 - INV-000007.pdf</x:v>
      </x:c>
      <x:c r="Q11" s="15" t="str">
        <x:v>gmail-labour-invoices/2025-08-29/9ca6fa677e53727e-2025-08-29 - INV-000007.pdf</x:v>
      </x:c>
      <x:c r="R11" s="15" t="str">
        <x:v>9ca6fa677e53727eefc17d55981a76026a55de41f4fb44817413dca4ceaf437a</x:v>
      </x:c>
    </x:row>
    <x:row r="12">
      <x:c r="A12" s="31" t="n">
        <x:v>45898</x:v>
      </x:c>
      <x:c r="B12" s="15" t="str">
        <x:v>Phillip Hyde</x:v>
      </x:c>
      <x:c r="C12" s="15" t="str">
        <x:v>INV-000008</x:v>
      </x:c>
      <x:c r="D12" s="15" t="str">
        <x:v>CAD</x:v>
      </x:c>
      <x:c r="E12" s="32" t="n">
        <x:v>129</x:v>
      </x:c>
      <x:c r="F12" s="32" t="n">
        <x:v>0</x:v>
      </x:c>
      <x:c r="G12" s="32" t="n">
        <x:v>129</x:v>
      </x:c>
      <x:c r="H12" s="15" t="str">
        <x:v>overhead_unmatched</x:v>
      </x:c>
      <x:c r="I12" s="15" t="str">
        <x:v>invoice</x:v>
      </x:c>
      <x:c r="J12" s="15" t="str"/>
      <x:c r="K12" s="15" t="str"/>
      <x:c r="L12" s="15" t="str"/>
      <x:c r="M12" s="15" t="str">
        <x:v>No</x:v>
      </x:c>
      <x:c r="N12" s="15"/>
      <x:c r="O12" s="15" t="n">
        <x:v>1</x:v>
      </x:c>
      <x:c r="P12" s="15" t="str">
        <x:v>2025-08-29 - INV-000008.pdf</x:v>
      </x:c>
      <x:c r="Q12" s="15" t="str">
        <x:v>gmail-labour-invoices/2025-08-29/41a09fa64333671f-2025-08-29 - INV-000008.pdf</x:v>
      </x:c>
      <x:c r="R12" s="15" t="str">
        <x:v>41a09fa64333671f180d5f9c93f0a997b8bd004790ef8ae9724853119695156e</x:v>
      </x:c>
    </x:row>
    <x:row r="13">
      <x:c r="A13" s="31" t="n">
        <x:v>45898</x:v>
      </x:c>
      <x:c r="B13" s="15" t="str">
        <x:v>Phillip Hyde</x:v>
      </x:c>
      <x:c r="C13" s="15" t="str">
        <x:v>INV-000009</x:v>
      </x:c>
      <x:c r="D13" s="15" t="str">
        <x:v>CAD</x:v>
      </x:c>
      <x:c r="E13" s="32" t="n">
        <x:v>1384.5</x:v>
      </x:c>
      <x:c r="F13" s="32" t="n">
        <x:v>0</x:v>
      </x:c>
      <x:c r="G13" s="32" t="n">
        <x:v>1384.5</x:v>
      </x:c>
      <x:c r="H13" s="15" t="str">
        <x:v>overhead_unmatched</x:v>
      </x:c>
      <x:c r="I13" s="15" t="str">
        <x:v>invoice</x:v>
      </x:c>
      <x:c r="J13" s="15" t="str"/>
      <x:c r="K13" s="15" t="str"/>
      <x:c r="L13" s="15" t="str"/>
      <x:c r="M13" s="15" t="str">
        <x:v>No</x:v>
      </x:c>
      <x:c r="N13" s="15"/>
      <x:c r="O13" s="15" t="n">
        <x:v>1</x:v>
      </x:c>
      <x:c r="P13" s="15" t="str">
        <x:v>2025-08-29 - INV-000009.pdf</x:v>
      </x:c>
      <x:c r="Q13" s="15" t="str">
        <x:v>gmail-labour-invoices/2025-08-29/26b699f67d7894b9-2025-08-29 - INV-000009.pdf</x:v>
      </x:c>
      <x:c r="R13" s="15" t="str">
        <x:v>26b699f67d7894b9ba59979cab5df8e0489e80f041151d69ab9e76059725766f</x:v>
      </x:c>
    </x:row>
    <x:row r="14">
      <x:c r="A14" s="31" t="n">
        <x:v>45910</x:v>
      </x:c>
      <x:c r="B14" s="15" t="str">
        <x:v>Unknown supplier</x:v>
      </x:c>
      <x:c r="C14" s="15" t="str">
        <x:v>FILE-F5EF8A038F9C</x:v>
      </x:c>
      <x:c r="D14" s="15" t="str">
        <x:v>CAD</x:v>
      </x:c>
      <x:c r="E14" s="32"/>
      <x:c r="F14" s="32" t="n">
        <x:v>650</x:v>
      </x:c>
      <x:c r="G14" s="32"/>
      <x:c r="H14" s="15" t="str">
        <x:v>not_invoice</x:v>
      </x:c>
      <x:c r="I14" s="15" t="str">
        <x:v>not_invoice</x:v>
      </x:c>
      <x:c r="J14" s="15" t="str"/>
      <x:c r="K14" s="15" t="str"/>
      <x:c r="L14" s="15" t="str"/>
      <x:c r="M14" s="15" t="str">
        <x:v>No</x:v>
      </x:c>
      <x:c r="N14" s="15"/>
      <x:c r="O14" s="15" t="n">
        <x:v>1</x:v>
      </x:c>
      <x:c r="P14" s="15" t="str">
        <x:v>2025-09-10 - Commission_Agreement_613PAINTING_OttawaPainters_Cleaned.pdf</x:v>
      </x:c>
      <x:c r="Q14" s="15" t="str">
        <x:v>gmail-labour-invoices/2025-09-10/f5ef8a038f9cdfa4-2025-09-10 - Commission_Agreement_613PAINTING_OttawaPainters_Cleaned.pdf</x:v>
      </x:c>
      <x:c r="R14" s="15" t="str">
        <x:v>f5ef8a038f9cdfa4d9a508abb3b1ab9525e1c4f33a45adab020c26411e47da06</x:v>
      </x:c>
    </x:row>
    <x:row r="15">
      <x:c r="A15" s="31" t="n">
        <x:v>45911</x:v>
      </x:c>
      <x:c r="B15" s="15" t="str">
        <x:v>Goulet Contracting &amp; Painting Inc.</x:v>
      </x:c>
      <x:c r="C15" s="15" t="str">
        <x:v>INV-000197</x:v>
      </x:c>
      <x:c r="D15" s="15" t="str">
        <x:v>CAD</x:v>
      </x:c>
      <x:c r="E15" s="32" t="n">
        <x:v>10208</x:v>
      </x:c>
      <x:c r="F15" s="32" t="n">
        <x:v>1327.04</x:v>
      </x:c>
      <x:c r="G15" s="32" t="n">
        <x:v>11535.04</x:v>
      </x:c>
      <x:c r="H15" s="15" t="str">
        <x:v>unmatched</x:v>
      </x:c>
      <x:c r="I15" s="15" t="str">
        <x:v>invoice</x:v>
      </x:c>
      <x:c r="J15" s="15" t="str"/>
      <x:c r="K15" s="15" t="str"/>
      <x:c r="L15" s="15" t="str"/>
      <x:c r="M15" s="15" t="str">
        <x:v>No</x:v>
      </x:c>
      <x:c r="N15" s="15" t="str">
        <x:v>232401d893188a97</x:v>
      </x:c>
      <x:c r="O15" s="15" t="n">
        <x:v>2</x:v>
      </x:c>
      <x:c r="P15" s="15" t="str">
        <x:v>2025-09-11 - INV-000197.pdf</x:v>
      </x:c>
      <x:c r="Q15" s="15" t="str">
        <x:v>gmail-labour-invoices/2025-09-11/ac7894ad97be324d-2025-09-11 - INV-000197.pdf</x:v>
      </x:c>
      <x:c r="R15" s="15" t="str">
        <x:v>ac7894ad97be324d47744f6afe120bebb56e09f5bf050837eb86170f7688f132</x:v>
      </x:c>
    </x:row>
    <x:row r="16">
      <x:c r="A16" s="31" t="n">
        <x:v>45930</x:v>
      </x:c>
      <x:c r="B16" s="15" t="str">
        <x:v>PaintTastic Pro Inc</x:v>
      </x:c>
      <x:c r="C16" s="15" t="str">
        <x:v>327949</x:v>
      </x:c>
      <x:c r="D16" s="15" t="str">
        <x:v>CAD</x:v>
      </x:c>
      <x:c r="E16" s="32" t="n">
        <x:v>14500</x:v>
      </x:c>
      <x:c r="F16" s="32" t="n">
        <x:v>1885</x:v>
      </x:c>
      <x:c r="G16" s="32" t="n">
        <x:v>16385</x:v>
      </x:c>
      <x:c r="H16" s="15" t="str">
        <x:v>unmatched</x:v>
      </x:c>
      <x:c r="I16" s="15" t="str">
        <x:v>invoice</x:v>
      </x:c>
      <x:c r="J16" s="15" t="str"/>
      <x:c r="K16" s="15" t="str"/>
      <x:c r="L16" s="15" t="str"/>
      <x:c r="M16" s="15" t="str">
        <x:v>No</x:v>
      </x:c>
      <x:c r="N16" s="15"/>
      <x:c r="O16" s="15" t="n">
        <x:v>1</x:v>
      </x:c>
      <x:c r="P16" s="15" t="str">
        <x:v>2025-09-30 - invoice-327949.pdf</x:v>
      </x:c>
      <x:c r="Q16" s="15" t="str">
        <x:v>gmail-labour-invoices/2025-09-30/93cf41a802d6078b-2025-09-30 - invoice-327949.pdf</x:v>
      </x:c>
      <x:c r="R16" s="15" t="str">
        <x:v>93cf41a802d6078b712a4c5bf260f9591f597f5b0a164bcdba173925a19340bd</x:v>
      </x:c>
    </x:row>
    <x:row r="17">
      <x:c r="A17" s="31" t="n">
        <x:v>45931</x:v>
      </x:c>
      <x:c r="B17" s="15" t="str">
        <x:v>613PAINTING INC</x:v>
      </x:c>
      <x:c r="C17" s="15" t="str">
        <x:v>25001</x:v>
      </x:c>
      <x:c r="D17" s="15" t="str">
        <x:v>CAD</x:v>
      </x:c>
      <x:c r="E17" s="32" t="n">
        <x:v>1229.18</x:v>
      </x:c>
      <x:c r="F17" s="32" t="n">
        <x:v>159.79</x:v>
      </x:c>
      <x:c r="G17" s="32" t="n">
        <x:v>1388.97</x:v>
      </x:c>
      <x:c r="H17" s="15" t="str">
        <x:v>unmatched</x:v>
      </x:c>
      <x:c r="I17" s="15" t="str">
        <x:v>invoice</x:v>
      </x:c>
      <x:c r="J17" s="15" t="str"/>
      <x:c r="K17" s="15" t="str"/>
      <x:c r="L17" s="15" t="str"/>
      <x:c r="M17" s="15" t="str">
        <x:v>No</x:v>
      </x:c>
      <x:c r="N17" s="15" t="str">
        <x:v>0ac661f4b8892d6c</x:v>
      </x:c>
      <x:c r="O17" s="15" t="n">
        <x:v>3</x:v>
      </x:c>
      <x:c r="P17" s="15" t="str">
        <x:v>2025-10-01 - INVOICE_25001_from_613PAINTING INC.pdf</x:v>
      </x:c>
      <x:c r="Q17" s="15" t="str">
        <x:v>gmail-labour-invoices/2025-10-01/a7146aecafbc795a-2025-10-01 - INVOICE_25001_from_613PAINTING INC.pdf</x:v>
      </x:c>
      <x:c r="R17" s="15" t="str">
        <x:v>a7146aecafbc795a0f007c98ebaf51f69a4f875bd65ade8370015e729987c5df</x:v>
      </x:c>
    </x:row>
    <x:row r="18">
      <x:c r="A18" s="31" t="n">
        <x:v>45932</x:v>
      </x:c>
      <x:c r="B18" s="15" t="str">
        <x:v>613PAINTING INC</x:v>
      </x:c>
      <x:c r="C18" s="15" t="str">
        <x:v>25001</x:v>
      </x:c>
      <x:c r="D18" s="15" t="str">
        <x:v>CAD</x:v>
      </x:c>
      <x:c r="E18" s="32" t="n">
        <x:v>1229.18</x:v>
      </x:c>
      <x:c r="F18" s="32" t="n">
        <x:v>159.79</x:v>
      </x:c>
      <x:c r="G18" s="32" t="n">
        <x:v>1388.97</x:v>
      </x:c>
      <x:c r="H18" s="15" t="str">
        <x:v>unmatched</x:v>
      </x:c>
      <x:c r="I18" s="15" t="str">
        <x:v>invoice</x:v>
      </x:c>
      <x:c r="J18" s="15" t="str"/>
      <x:c r="K18" s="15" t="str"/>
      <x:c r="L18" s="15" t="str"/>
      <x:c r="M18" s="15" t="str">
        <x:v>No</x:v>
      </x:c>
      <x:c r="N18" s="15" t="str">
        <x:v>0ac661f4b8892d6c</x:v>
      </x:c>
      <x:c r="O18" s="15" t="n">
        <x:v>3</x:v>
      </x:c>
      <x:c r="P18" s="15" t="str">
        <x:v>2025-10-02 - INVOICE_25001_from_613PAINTING INC (2).pdf</x:v>
      </x:c>
      <x:c r="Q18" s="15" t="str">
        <x:v>gmail-labour-invoices/2025-10-02/d8b046d507955b68-2025-10-02 - INVOICE_25001_from_613PAINTING INC (2).pdf</x:v>
      </x:c>
      <x:c r="R18" s="15" t="str">
        <x:v>d8b046d507955b6878ff3086365a9ca74a7366303761fc1c5c2218db01bbc2a2</x:v>
      </x:c>
    </x:row>
    <x:row r="19">
      <x:c r="A19" s="31" t="n">
        <x:v>45932</x:v>
      </x:c>
      <x:c r="B19" s="15" t="str">
        <x:v>613PAINTING INC</x:v>
      </x:c>
      <x:c r="C19" s="15" t="str">
        <x:v>25001</x:v>
      </x:c>
      <x:c r="D19" s="15" t="str">
        <x:v>CAD</x:v>
      </x:c>
      <x:c r="E19" s="32" t="n">
        <x:v>1229.18</x:v>
      </x:c>
      <x:c r="F19" s="32" t="n">
        <x:v>159.79</x:v>
      </x:c>
      <x:c r="G19" s="32" t="n">
        <x:v>1388.97</x:v>
      </x:c>
      <x:c r="H19" s="15" t="str">
        <x:v>unmatched</x:v>
      </x:c>
      <x:c r="I19" s="15" t="str">
        <x:v>invoice</x:v>
      </x:c>
      <x:c r="J19" s="15" t="str"/>
      <x:c r="K19" s="15" t="str"/>
      <x:c r="L19" s="15" t="str"/>
      <x:c r="M19" s="15" t="str">
        <x:v>No</x:v>
      </x:c>
      <x:c r="N19" s="15" t="str">
        <x:v>0ac661f4b8892d6c</x:v>
      </x:c>
      <x:c r="O19" s="15" t="n">
        <x:v>3</x:v>
      </x:c>
      <x:c r="P19" s="15" t="str">
        <x:v>2025-10-02 - INVOICE_25001_from_613PAINTING INC.pdf</x:v>
      </x:c>
      <x:c r="Q19" s="15" t="str">
        <x:v>gmail-labour-invoices/2025-10-02/4107bd261cf7c244-2025-10-02 - INVOICE_25001_from_613PAINTING INC.pdf</x:v>
      </x:c>
      <x:c r="R19" s="15" t="str">
        <x:v>4107bd261cf7c2443f1442ddb07d6cd07287f16ee6faa830e20dc495bc4ce5d6</x:v>
      </x:c>
    </x:row>
    <x:row r="20">
      <x:c r="A20" s="31" t="n">
        <x:v>45937</x:v>
      </x:c>
      <x:c r="B20" s="15" t="str">
        <x:v>Polaris Painters</x:v>
      </x:c>
      <x:c r="C20" s="15" t="str">
        <x:v>41</x:v>
      </x:c>
      <x:c r="D20" s="15" t="str">
        <x:v>CAD</x:v>
      </x:c>
      <x:c r="E20" s="32" t="n">
        <x:v>5900</x:v>
      </x:c>
      <x:c r="F20" s="32" t="n">
        <x:v>0</x:v>
      </x:c>
      <x:c r="G20" s="32" t="n">
        <x:v>5900</x:v>
      </x:c>
      <x:c r="H20" s="15" t="str">
        <x:v>unmatched</x:v>
      </x:c>
      <x:c r="I20" s="15" t="str">
        <x:v>invoice</x:v>
      </x:c>
      <x:c r="J20" s="15" t="str"/>
      <x:c r="K20" s="15" t="str"/>
      <x:c r="L20" s="15" t="str"/>
      <x:c r="M20" s="15" t="str">
        <x:v>No</x:v>
      </x:c>
      <x:c r="N20" s="15"/>
      <x:c r="O20" s="15" t="n">
        <x:v>1</x:v>
      </x:c>
      <x:c r="P20" s="15" t="str">
        <x:v>2025-10-07 - Hosted - Jobber Invoice 41 - Services Rendered.pdf</x:v>
      </x:c>
      <x:c r="Q20" s="15" t="str">
        <x:v>gmail-labour-invoices/2025-10-07/f2f213775ff24b3f-2025-10-07 - Hosted - Jobber Invoice 41 - Services Rendered.pdf</x:v>
      </x:c>
      <x:c r="R20" s="15" t="str">
        <x:v>f2f213775ff24b3f79edf02b3bf728cf9e61221c38101e189d03c0d009ff8467</x:v>
      </x:c>
    </x:row>
    <x:row r="21">
      <x:c r="A21" s="31" t="n">
        <x:v>45945</x:v>
      </x:c>
      <x:c r="B21" s="15" t="str">
        <x:v>PaintTastic Pro Inc</x:v>
      </x:c>
      <x:c r="C21" s="15" t="str">
        <x:v>FILE-69DC99830188</x:v>
      </x:c>
      <x:c r="D21" s="15" t="str">
        <x:v>CAD</x:v>
      </x:c>
      <x:c r="E21" s="32" t="n">
        <x:v>14500</x:v>
      </x:c>
      <x:c r="F21" s="32" t="n">
        <x:v>1885</x:v>
      </x:c>
      <x:c r="G21" s="32" t="n">
        <x:v>16385</x:v>
      </x:c>
      <x:c r="H21" s="15" t="str">
        <x:v>supporting_document</x:v>
      </x:c>
      <x:c r="I21" s="15" t="str">
        <x:v>payment_receipt</x:v>
      </x:c>
      <x:c r="J21" s="15" t="str"/>
      <x:c r="K21" s="15" t="str"/>
      <x:c r="L21" s="15" t="str"/>
      <x:c r="M21" s="15" t="str">
        <x:v>No</x:v>
      </x:c>
      <x:c r="N21" s="15"/>
      <x:c r="O21" s="15" t="n">
        <x:v>1</x:v>
      </x:c>
      <x:c r="P21" s="15" t="str">
        <x:v>2025-10-15 - invoice-payment-496665381285a036701e704653bd91.pdf</x:v>
      </x:c>
      <x:c r="Q21" s="15" t="str">
        <x:v>gmail-labour-invoices/2025-10-15/69dc9983018820c0-2025-10-15 - invoice-payment-496665381285a036701e704653bd91.pdf</x:v>
      </x:c>
      <x:c r="R21" s="15" t="str">
        <x:v>69dc9983018820c0fc2831d2ca842c4388e685c9042c01524ec126fe41833cbf</x:v>
      </x:c>
    </x:row>
    <x:row r="22">
      <x:c r="A22" s="31" t="n">
        <x:v>45947</x:v>
      </x:c>
      <x:c r="B22" s="15" t="str">
        <x:v>PaintTastic Pro Inc</x:v>
      </x:c>
      <x:c r="C22" s="15" t="str">
        <x:v>FILE-34E075498FE7</x:v>
      </x:c>
      <x:c r="D22" s="15" t="str">
        <x:v>CAD</x:v>
      </x:c>
      <x:c r="E22" s="32" t="n">
        <x:v>14500</x:v>
      </x:c>
      <x:c r="F22" s="32" t="n">
        <x:v>1885</x:v>
      </x:c>
      <x:c r="G22" s="32" t="n">
        <x:v>16385</x:v>
      </x:c>
      <x:c r="H22" s="15" t="str">
        <x:v>supporting_document</x:v>
      </x:c>
      <x:c r="I22" s="15" t="str">
        <x:v>payment_receipt</x:v>
      </x:c>
      <x:c r="J22" s="15" t="str"/>
      <x:c r="K22" s="15" t="str"/>
      <x:c r="L22" s="15" t="str"/>
      <x:c r="M22" s="15" t="str">
        <x:v>No</x:v>
      </x:c>
      <x:c r="N22" s="15"/>
      <x:c r="O22" s="15" t="n">
        <x:v>1</x:v>
      </x:c>
      <x:c r="P22" s="15" t="str">
        <x:v>2025-10-17 - invoice-payment-3010068635691452f56ba442c09b20.pdf</x:v>
      </x:c>
      <x:c r="Q22" s="15" t="str">
        <x:v>gmail-labour-invoices/2025-10-17/34e075498fe7c4ff-2025-10-17 - invoice-payment-3010068635691452f56ba442c09b20.pdf</x:v>
      </x:c>
      <x:c r="R22" s="15" t="str">
        <x:v>34e075498fe7c4ff1fb18b5f69d964b53e5b88eceba53ef89b28e82819410678</x:v>
      </x:c>
    </x:row>
    <x:row r="23">
      <x:c r="A23" s="31" t="n">
        <x:v>45950</x:v>
      </x:c>
      <x:c r="B23" s="15" t="str">
        <x:v>Goulet Contracting &amp; Painting Inc.</x:v>
      </x:c>
      <x:c r="C23" s="15" t="str">
        <x:v>INV-000197</x:v>
      </x:c>
      <x:c r="D23" s="15" t="str">
        <x:v>CAD</x:v>
      </x:c>
      <x:c r="E23" s="32" t="n">
        <x:v>8098</x:v>
      </x:c>
      <x:c r="F23" s="32" t="n">
        <x:v>1052.74</x:v>
      </x:c>
      <x:c r="G23" s="32" t="n">
        <x:v>9150.74</x:v>
      </x:c>
      <x:c r="H23" s="15" t="str">
        <x:v>unmatched</x:v>
      </x:c>
      <x:c r="I23" s="15" t="str">
        <x:v>invoice</x:v>
      </x:c>
      <x:c r="J23" s="15" t="str"/>
      <x:c r="K23" s="15" t="str"/>
      <x:c r="L23" s="15" t="str"/>
      <x:c r="M23" s="15" t="str">
        <x:v>No</x:v>
      </x:c>
      <x:c r="N23" s="15" t="str">
        <x:v>232401d893188a97</x:v>
      </x:c>
      <x:c r="O23" s="15" t="n">
        <x:v>2</x:v>
      </x:c>
      <x:c r="P23" s="15" t="str">
        <x:v>2025-10-20 - INV-000197.pdf</x:v>
      </x:c>
      <x:c r="Q23" s="15" t="str">
        <x:v>gmail-labour-invoices/2025-10-20/a99b03ed21767042-2025-10-20 - INV-000197.pdf</x:v>
      </x:c>
      <x:c r="R23" s="15" t="str">
        <x:v>a99b03ed217670426544daa7cea231376477875fecc3afb0b9d56244295c4184</x:v>
      </x:c>
    </x:row>
    <x:row r="24">
      <x:c r="A24" s="31" t="n">
        <x:v>45954</x:v>
      </x:c>
      <x:c r="B24" s="15" t="str">
        <x:v>Phillip Hyde</x:v>
      </x:c>
      <x:c r="C24" s="15" t="str">
        <x:v>INV-000010</x:v>
      </x:c>
      <x:c r="D24" s="15" t="str">
        <x:v>CAD</x:v>
      </x:c>
      <x:c r="E24" s="32" t="n">
        <x:v>126</x:v>
      </x:c>
      <x:c r="F24" s="32" t="n">
        <x:v>16.38</x:v>
      </x:c>
      <x:c r="G24" s="32" t="n">
        <x:v>142.38</x:v>
      </x:c>
      <x:c r="H24" s="15" t="str">
        <x:v>overhead_unmatched</x:v>
      </x:c>
      <x:c r="I24" s="15" t="str">
        <x:v>invoice</x:v>
      </x:c>
      <x:c r="J24" s="15" t="str"/>
      <x:c r="K24" s="15" t="str"/>
      <x:c r="L24" s="15" t="str"/>
      <x:c r="M24" s="15" t="str">
        <x:v>No</x:v>
      </x:c>
      <x:c r="N24" s="15"/>
      <x:c r="O24" s="15" t="n">
        <x:v>1</x:v>
      </x:c>
      <x:c r="P24" s="15" t="str">
        <x:v>2025-10-24 - INV-000010.pdf</x:v>
      </x:c>
      <x:c r="Q24" s="15" t="str">
        <x:v>gmail-labour-invoices/2025-10-24/d51a3dbbd7a06414-2025-10-24 - INV-000010.pdf</x:v>
      </x:c>
      <x:c r="R24" s="15" t="str">
        <x:v>d51a3dbbd7a0641415a233fa1837a786ccea2d327d6b1a76c538b0c69cc67fe4</x:v>
      </x:c>
    </x:row>
    <x:row r="25">
      <x:c r="A25" s="31" t="n">
        <x:v>45954</x:v>
      </x:c>
      <x:c r="B25" s="15" t="str">
        <x:v>Phillip Hyde</x:v>
      </x:c>
      <x:c r="C25" s="15" t="str">
        <x:v>INV-000011</x:v>
      </x:c>
      <x:c r="D25" s="15" t="str">
        <x:v>CAD</x:v>
      </x:c>
      <x:c r="E25" s="32" t="n">
        <x:v>241.8</x:v>
      </x:c>
      <x:c r="F25" s="32" t="n">
        <x:v>0</x:v>
      </x:c>
      <x:c r="G25" s="32" t="n">
        <x:v>241.8</x:v>
      </x:c>
      <x:c r="H25" s="15" t="str">
        <x:v>overhead_unmatched</x:v>
      </x:c>
      <x:c r="I25" s="15" t="str">
        <x:v>invoice</x:v>
      </x:c>
      <x:c r="J25" s="15" t="str"/>
      <x:c r="K25" s="15" t="str"/>
      <x:c r="L25" s="15" t="str"/>
      <x:c r="M25" s="15" t="str">
        <x:v>No</x:v>
      </x:c>
      <x:c r="N25" s="15"/>
      <x:c r="O25" s="15" t="n">
        <x:v>1</x:v>
      </x:c>
      <x:c r="P25" s="15" t="str">
        <x:v>2025-10-24 - INV-000011.pdf</x:v>
      </x:c>
      <x:c r="Q25" s="15" t="str">
        <x:v>gmail-labour-invoices/2025-10-24/bfe00d48fa3563e0-2025-10-24 - INV-000011.pdf</x:v>
      </x:c>
      <x:c r="R25" s="15" t="str">
        <x:v>bfe00d48fa3563e064df0d5bc44a3d05eced1218f83f0496308210ddaadf9e71</x:v>
      </x:c>
    </x:row>
    <x:row r="26">
      <x:c r="A26" s="31" t="n">
        <x:v>45954</x:v>
      </x:c>
      <x:c r="B26" s="15" t="str">
        <x:v>Phillip Hyde</x:v>
      </x:c>
      <x:c r="C26" s="15" t="str">
        <x:v>INV-000012</x:v>
      </x:c>
      <x:c r="D26" s="15" t="str">
        <x:v>CAD</x:v>
      </x:c>
      <x:c r="E26" s="32" t="n">
        <x:v>2662.3</x:v>
      </x:c>
      <x:c r="F26" s="32" t="n">
        <x:v>0</x:v>
      </x:c>
      <x:c r="G26" s="32" t="n">
        <x:v>2662.3</x:v>
      </x:c>
      <x:c r="H26" s="15" t="str">
        <x:v>overhead_unmatched</x:v>
      </x:c>
      <x:c r="I26" s="15" t="str">
        <x:v>invoice</x:v>
      </x:c>
      <x:c r="J26" s="15" t="str"/>
      <x:c r="K26" s="15" t="str"/>
      <x:c r="L26" s="15" t="str"/>
      <x:c r="M26" s="15" t="str">
        <x:v>No</x:v>
      </x:c>
      <x:c r="N26" s="15"/>
      <x:c r="O26" s="15" t="n">
        <x:v>1</x:v>
      </x:c>
      <x:c r="P26" s="15" t="str">
        <x:v>2025-10-24 - INV-000012.pdf</x:v>
      </x:c>
      <x:c r="Q26" s="15" t="str">
        <x:v>gmail-labour-invoices/2025-10-24/5cf8e5581398d923-2025-10-24 - INV-000012.pdf</x:v>
      </x:c>
      <x:c r="R26" s="15" t="str">
        <x:v>5cf8e5581398d92372fe3fd3986d2e0478036b7922ad9d1a97b3c606090c4bcd</x:v>
      </x:c>
    </x:row>
    <x:row r="27">
      <x:c r="A27" s="31" t="n">
        <x:v>45959</x:v>
      </x:c>
      <x:c r="B27" s="15" t="str">
        <x:v>Polaris Painters</x:v>
      </x:c>
      <x:c r="C27" s="15" t="str">
        <x:v>42</x:v>
      </x:c>
      <x:c r="D27" s="15" t="str">
        <x:v>CAD</x:v>
      </x:c>
      <x:c r="E27" s="32" t="n">
        <x:v>1400</x:v>
      </x:c>
      <x:c r="F27" s="32" t="n">
        <x:v>0</x:v>
      </x:c>
      <x:c r="G27" s="32" t="n">
        <x:v>1400</x:v>
      </x:c>
      <x:c r="H27" s="15" t="str">
        <x:v>unmatched</x:v>
      </x:c>
      <x:c r="I27" s="15" t="str">
        <x:v>invoice</x:v>
      </x:c>
      <x:c r="J27" s="15" t="str"/>
      <x:c r="K27" s="15" t="str"/>
      <x:c r="L27" s="15" t="str"/>
      <x:c r="M27" s="15" t="str">
        <x:v>No</x:v>
      </x:c>
      <x:c r="N27" s="15"/>
      <x:c r="O27" s="15" t="n">
        <x:v>1</x:v>
      </x:c>
      <x:c r="P27" s="15" t="str">
        <x:v>2025-10-29 - Hosted - Jobber Invoice 42 - Services Rendered.pdf</x:v>
      </x:c>
      <x:c r="Q27" s="15" t="str">
        <x:v>gmail-labour-invoices/2025-10-29/e67cbaf5f63f7da6-2025-10-29 - Hosted - Jobber Invoice 42 - Services Rendered.pdf</x:v>
      </x:c>
      <x:c r="R27" s="15" t="str">
        <x:v>e67cbaf5f63f7da6d1714352a75ed7f9339c4db3f45359082e23fba2e39b3db0</x:v>
      </x:c>
    </x:row>
    <x:row r="28">
      <x:c r="A28" s="31" t="n">
        <x:v>45966</x:v>
      </x:c>
      <x:c r="B28" s="15" t="str">
        <x:v>Polaris Painters</x:v>
      </x:c>
      <x:c r="C28" s="15" t="str">
        <x:v>43</x:v>
      </x:c>
      <x:c r="D28" s="15" t="str">
        <x:v>CAD</x:v>
      </x:c>
      <x:c r="E28" s="32" t="n">
        <x:v>900</x:v>
      </x:c>
      <x:c r="F28" s="32" t="n">
        <x:v>0</x:v>
      </x:c>
      <x:c r="G28" s="32" t="n">
        <x:v>900</x:v>
      </x:c>
      <x:c r="H28" s="15" t="str">
        <x:v>unmatched</x:v>
      </x:c>
      <x:c r="I28" s="15" t="str">
        <x:v>invoice</x:v>
      </x:c>
      <x:c r="J28" s="15" t="str"/>
      <x:c r="K28" s="15" t="str"/>
      <x:c r="L28" s="15" t="str"/>
      <x:c r="M28" s="15" t="str">
        <x:v>No</x:v>
      </x:c>
      <x:c r="N28" s="15"/>
      <x:c r="O28" s="15" t="n">
        <x:v>1</x:v>
      </x:c>
      <x:c r="P28" s="15" t="str">
        <x:v>2025-11-05 - Hosted - Jobber Invoice 43 - Nicole.pdf</x:v>
      </x:c>
      <x:c r="Q28" s="15" t="str">
        <x:v>gmail-labour-invoices/2025-11-05/de83b0accab6a0c6-2025-11-05 - Hosted - Jobber Invoice 43 - Nicole.pdf</x:v>
      </x:c>
      <x:c r="R28" s="15" t="str">
        <x:v>de83b0accab6a0c6a53b93cd0b6e5acff074070638f10ab713fab2cd899f79f9</x:v>
      </x:c>
    </x:row>
    <x:row r="29">
      <x:c r="A29" s="31" t="n">
        <x:v>45981</x:v>
      </x:c>
      <x:c r="B29" s="15" t="str">
        <x:v>Polaris Painters</x:v>
      </x:c>
      <x:c r="C29" s="15" t="str">
        <x:v>45</x:v>
      </x:c>
      <x:c r="D29" s="15" t="str">
        <x:v>CAD</x:v>
      </x:c>
      <x:c r="E29" s="32" t="n">
        <x:v>2150</x:v>
      </x:c>
      <x:c r="F29" s="32" t="n">
        <x:v>0</x:v>
      </x:c>
      <x:c r="G29" s="32" t="n">
        <x:v>2150</x:v>
      </x:c>
      <x:c r="H29" s="15" t="str">
        <x:v>unmatched</x:v>
      </x:c>
      <x:c r="I29" s="15" t="str">
        <x:v>invoice</x:v>
      </x:c>
      <x:c r="J29" s="15" t="str"/>
      <x:c r="K29" s="15" t="str"/>
      <x:c r="L29" s="15" t="str"/>
      <x:c r="M29" s="15" t="str">
        <x:v>No</x:v>
      </x:c>
      <x:c r="N29" s="15"/>
      <x:c r="O29" s="15" t="n">
        <x:v>1</x:v>
      </x:c>
      <x:c r="P29" s="15" t="str">
        <x:v>2025-11-20 - Hosted - Jobber Invoice 45 - Elizabeth McCrae.pdf</x:v>
      </x:c>
      <x:c r="Q29" s="15" t="str">
        <x:v>gmail-labour-invoices/2025-11-20/436bbc2bfc648300-2025-11-20 - Hosted - Jobber Invoice 45 - Elizabeth McCrae.pdf</x:v>
      </x:c>
      <x:c r="R29" s="15" t="str">
        <x:v>436bbc2bfc64830007f4d7097447e60ed06d793f90e18146c394828f9216011b</x:v>
      </x:c>
    </x:row>
    <x:row r="30">
      <x:c r="A30" s="31" t="n">
        <x:v>45992</x:v>
      </x:c>
      <x:c r="B30" s="15" t="str">
        <x:v>Polaris Painters</x:v>
      </x:c>
      <x:c r="C30" s="15" t="str">
        <x:v>46</x:v>
      </x:c>
      <x:c r="D30" s="15" t="str">
        <x:v>CAD</x:v>
      </x:c>
      <x:c r="E30" s="32" t="n">
        <x:v>650</x:v>
      </x:c>
      <x:c r="F30" s="32" t="n">
        <x:v>0</x:v>
      </x:c>
      <x:c r="G30" s="32" t="n">
        <x:v>650</x:v>
      </x:c>
      <x:c r="H30" s="15" t="str">
        <x:v>unmatched</x:v>
      </x:c>
      <x:c r="I30" s="15" t="str">
        <x:v>invoice</x:v>
      </x:c>
      <x:c r="J30" s="15" t="str"/>
      <x:c r="K30" s="15" t="str"/>
      <x:c r="L30" s="15" t="str"/>
      <x:c r="M30" s="15" t="str">
        <x:v>No</x:v>
      </x:c>
      <x:c r="N30" s="15"/>
      <x:c r="O30" s="15" t="n">
        <x:v>1</x:v>
      </x:c>
      <x:c r="P30" s="15" t="str">
        <x:v>2025-12-01 - Hosted - Jobber Invoice 46 - Services Rendered.pdf</x:v>
      </x:c>
      <x:c r="Q30" s="15" t="str">
        <x:v>gmail-labour-invoices/2025-12-01/69a3ae9040005b00-2025-12-01 - Hosted - Jobber Invoice 46 - Services Rendered.pdf</x:v>
      </x:c>
      <x:c r="R30" s="15" t="str">
        <x:v>69a3ae9040005b001629e34dec42dc34703f3ef04cb7d5f50d47664545e36049</x:v>
      </x:c>
    </x:row>
    <x:row r="31">
      <x:c r="A31" s="31" t="n">
        <x:v>46006</x:v>
      </x:c>
      <x:c r="B31" s="15" t="str">
        <x:v>Phillip Hyde</x:v>
      </x:c>
      <x:c r="C31" s="15" t="str">
        <x:v>INV-000013</x:v>
      </x:c>
      <x:c r="D31" s="15" t="str">
        <x:v>CAD</x:v>
      </x:c>
      <x:c r="E31" s="32" t="n">
        <x:v>917.34</x:v>
      </x:c>
      <x:c r="F31" s="32" t="n">
        <x:v>0</x:v>
      </x:c>
      <x:c r="G31" s="32" t="n">
        <x:v>917.34</x:v>
      </x:c>
      <x:c r="H31" s="15" t="str">
        <x:v>overhead_unmatched</x:v>
      </x:c>
      <x:c r="I31" s="15" t="str">
        <x:v>invoice</x:v>
      </x:c>
      <x:c r="J31" s="15" t="str"/>
      <x:c r="K31" s="15" t="str"/>
      <x:c r="L31" s="15" t="str"/>
      <x:c r="M31" s="15" t="str">
        <x:v>No</x:v>
      </x:c>
      <x:c r="N31" s="15" t="str">
        <x:v>2ee14e3d56045f3c</x:v>
      </x:c>
      <x:c r="O31" s="15" t="n">
        <x:v>2</x:v>
      </x:c>
      <x:c r="P31" s="15" t="str">
        <x:v>2025-12-15 - INV-000013.pdf</x:v>
      </x:c>
      <x:c r="Q31" s="15" t="str">
        <x:v>gmail-labour-invoices/2025-12-15/b842609bf4ff0eb2-2025-12-15 - INV-000013.pdf</x:v>
      </x:c>
      <x:c r="R31" s="15" t="str">
        <x:v>b842609bf4ff0eb2d14769c7f8106ae6cd490fe0885a9da47f1b2ad76fedd20b</x:v>
      </x:c>
    </x:row>
    <x:row r="32">
      <x:c r="A32" s="31" t="n">
        <x:v>46008</x:v>
      </x:c>
      <x:c r="B32" s="15" t="str">
        <x:v>Polaris Painters</x:v>
      </x:c>
      <x:c r="C32" s="15" t="str">
        <x:v>47</x:v>
      </x:c>
      <x:c r="D32" s="15" t="str">
        <x:v>CAD</x:v>
      </x:c>
      <x:c r="E32" s="32" t="n">
        <x:v>1000</x:v>
      </x:c>
      <x:c r="F32" s="32" t="n">
        <x:v>0</x:v>
      </x:c>
      <x:c r="G32" s="32" t="n">
        <x:v>1000</x:v>
      </x:c>
      <x:c r="H32" s="15" t="str">
        <x:v>unmatched</x:v>
      </x:c>
      <x:c r="I32" s="15" t="str">
        <x:v>invoice</x:v>
      </x:c>
      <x:c r="J32" s="15" t="str"/>
      <x:c r="K32" s="15" t="str"/>
      <x:c r="L32" s="15" t="str"/>
      <x:c r="M32" s="15" t="str">
        <x:v>No</x:v>
      </x:c>
      <x:c r="N32" s="15"/>
      <x:c r="O32" s="15" t="n">
        <x:v>1</x:v>
      </x:c>
      <x:c r="P32" s="15" t="str">
        <x:v>2025-12-17 - Hosted - Jobber Invoice 47 - Rick Peche.pdf</x:v>
      </x:c>
      <x:c r="Q32" s="15" t="str">
        <x:v>gmail-labour-invoices/2025-12-17/91af8a609db4edaf-2025-12-17 - Hosted - Jobber Invoice 47 - Rick Peche.pdf</x:v>
      </x:c>
      <x:c r="R32" s="15" t="str">
        <x:v>91af8a609db4edafbccf1f666db656f2015db826afbe64184e00ba78d988da57</x:v>
      </x:c>
    </x:row>
    <x:row r="33">
      <x:c r="A33" s="31" t="n">
        <x:v>46008</x:v>
      </x:c>
      <x:c r="B33" s="15" t="str">
        <x:v>Polaris Painters</x:v>
      </x:c>
      <x:c r="C33" s="15" t="str">
        <x:v>48</x:v>
      </x:c>
      <x:c r="D33" s="15" t="str">
        <x:v>CAD</x:v>
      </x:c>
      <x:c r="E33" s="32" t="n">
        <x:v>5000</x:v>
      </x:c>
      <x:c r="F33" s="32" t="n">
        <x:v>0</x:v>
      </x:c>
      <x:c r="G33" s="32" t="n">
        <x:v>5000</x:v>
      </x:c>
      <x:c r="H33" s="15" t="str">
        <x:v>unmatched</x:v>
      </x:c>
      <x:c r="I33" s="15" t="str">
        <x:v>invoice</x:v>
      </x:c>
      <x:c r="J33" s="15" t="str"/>
      <x:c r="K33" s="15" t="str"/>
      <x:c r="L33" s="15" t="str"/>
      <x:c r="M33" s="15" t="str">
        <x:v>No</x:v>
      </x:c>
      <x:c r="N33" s="15"/>
      <x:c r="O33" s="15" t="n">
        <x:v>1</x:v>
      </x:c>
      <x:c r="P33" s="15" t="str">
        <x:v>2025-12-17 - Hosted - Jobber Invoice 48 - Salah Osman.pdf</x:v>
      </x:c>
      <x:c r="Q33" s="15" t="str">
        <x:v>gmail-labour-invoices/2025-12-17/59b1ecf1d88795a9-2025-12-17 - Hosted - Jobber Invoice 48 - Salah Osman.pdf</x:v>
      </x:c>
      <x:c r="R33" s="15" t="str">
        <x:v>59b1ecf1d88795a9c74a017cac3d108d620a2393f8b91a56886a374b57779e34</x:v>
      </x:c>
    </x:row>
    <x:row r="34">
      <x:c r="A34" s="31" t="n">
        <x:v>46020</x:v>
      </x:c>
      <x:c r="B34" s="15" t="str">
        <x:v>Phillip Hyde</x:v>
      </x:c>
      <x:c r="C34" s="15" t="str">
        <x:v>INV-000013</x:v>
      </x:c>
      <x:c r="D34" s="15" t="str">
        <x:v>CAD</x:v>
      </x:c>
      <x:c r="E34" s="32" t="n">
        <x:v>917.34</x:v>
      </x:c>
      <x:c r="F34" s="32" t="n">
        <x:v>0</x:v>
      </x:c>
      <x:c r="G34" s="32" t="n">
        <x:v>917.34</x:v>
      </x:c>
      <x:c r="H34" s="15" t="str">
        <x:v>supporting_document</x:v>
      </x:c>
      <x:c r="I34" s="15" t="str">
        <x:v>payment_receipt</x:v>
      </x:c>
      <x:c r="J34" s="15" t="str"/>
      <x:c r="K34" s="15" t="str"/>
      <x:c r="L34" s="15" t="str"/>
      <x:c r="M34" s="15" t="str">
        <x:v>No</x:v>
      </x:c>
      <x:c r="N34" s="15" t="str">
        <x:v>2ee14e3d56045f3c</x:v>
      </x:c>
      <x:c r="O34" s="15" t="n">
        <x:v>2</x:v>
      </x:c>
      <x:c r="P34" s="15" t="str">
        <x:v>2025-12-29 - Payment-1.pdf</x:v>
      </x:c>
      <x:c r="Q34" s="15" t="str">
        <x:v>gmail-labour-invoices/2025-12-29/ede5f28cb775b574-2025-12-29 - Payment-1.pdf</x:v>
      </x:c>
      <x:c r="R34" s="15" t="str">
        <x:v>ede5f28cb775b5745bacc252ffa72b9f7a2cbd9c3831d54187f6513482586781</x:v>
      </x:c>
    </x:row>
    <x:row r="35">
      <x:c r="A35" s="31" t="n">
        <x:v>46032</x:v>
      </x:c>
      <x:c r="B35" s="15" t="str">
        <x:v>Polaris Painters</x:v>
      </x:c>
      <x:c r="C35" s="15" t="str">
        <x:v>51</x:v>
      </x:c>
      <x:c r="D35" s="15" t="str">
        <x:v>CAD</x:v>
      </x:c>
      <x:c r="E35" s="32" t="n">
        <x:v>430</x:v>
      </x:c>
      <x:c r="F35" s="32" t="n">
        <x:v>0</x:v>
      </x:c>
      <x:c r="G35" s="32" t="n">
        <x:v>430</x:v>
      </x:c>
      <x:c r="H35" s="15" t="str">
        <x:v>unmatched</x:v>
      </x:c>
      <x:c r="I35" s="15" t="str">
        <x:v>invoice</x:v>
      </x:c>
      <x:c r="J35" s="15" t="str"/>
      <x:c r="K35" s="15" t="str"/>
      <x:c r="L35" s="15" t="str"/>
      <x:c r="M35" s="15" t="str">
        <x:v>No</x:v>
      </x:c>
      <x:c r="N35" s="15"/>
      <x:c r="O35" s="15" t="n">
        <x:v>1</x:v>
      </x:c>
      <x:c r="P35" s="15" t="str">
        <x:v>2026-01-10 - Hosted - Jobber Invoice 51 - Services Rendered.pdf</x:v>
      </x:c>
      <x:c r="Q35" s="15" t="str">
        <x:v>gmail-labour-invoices/2026-01-10/cdde6b3a1db60b0b-2026-01-10 - Hosted - Jobber Invoice 51 - Services Rendered.pdf</x:v>
      </x:c>
      <x:c r="R35" s="15" t="str">
        <x:v>cdde6b3a1db60b0b8608cdd062cae059370318e1f4924312577086c248ba57a0</x:v>
      </x:c>
    </x:row>
    <x:row r="36">
      <x:c r="A36" s="31" t="n">
        <x:v>46045</x:v>
      </x:c>
      <x:c r="B36" s="15" t="str">
        <x:v>Phillip Hyde</x:v>
      </x:c>
      <x:c r="C36" s="15" t="str">
        <x:v>INV-000015</x:v>
      </x:c>
      <x:c r="D36" s="15" t="str">
        <x:v>CAD</x:v>
      </x:c>
      <x:c r="E36" s="32" t="n">
        <x:v>524.7</x:v>
      </x:c>
      <x:c r="F36" s="32" t="n">
        <x:v>0</x:v>
      </x:c>
      <x:c r="G36" s="32" t="n">
        <x:v>524.7</x:v>
      </x:c>
      <x:c r="H36" s="15" t="str">
        <x:v>overhead_unmatched</x:v>
      </x:c>
      <x:c r="I36" s="15" t="str">
        <x:v>invoice</x:v>
      </x:c>
      <x:c r="J36" s="15" t="str"/>
      <x:c r="K36" s="15" t="str"/>
      <x:c r="L36" s="15" t="str"/>
      <x:c r="M36" s="15" t="str">
        <x:v>No</x:v>
      </x:c>
      <x:c r="N36" s="15" t="str">
        <x:v>b63926c5ddb9489e</x:v>
      </x:c>
      <x:c r="O36" s="15" t="n">
        <x:v>2</x:v>
      </x:c>
      <x:c r="P36" s="15" t="str">
        <x:v>2026-01-23 - INV-000015.pdf</x:v>
      </x:c>
      <x:c r="Q36" s="15" t="str">
        <x:v>gmail-labour-invoices/2026-01-23/62acdd0ea7ec6586-2026-01-23 - INV-000015.pdf</x:v>
      </x:c>
      <x:c r="R36" s="15" t="str">
        <x:v>62acdd0ea7ec6586839563a095de189aeb27c205a1df4fca20049864dbc36cee</x:v>
      </x:c>
    </x:row>
    <x:row r="37">
      <x:c r="A37" s="31" t="n">
        <x:v>46047</x:v>
      </x:c>
      <x:c r="B37" s="15" t="str">
        <x:v>Polaris Painters</x:v>
      </x:c>
      <x:c r="C37" s="15" t="str">
        <x:v>52</x:v>
      </x:c>
      <x:c r="D37" s="15" t="str">
        <x:v>CAD</x:v>
      </x:c>
      <x:c r="E37" s="32" t="n">
        <x:v>500</x:v>
      </x:c>
      <x:c r="F37" s="32" t="n">
        <x:v>0</x:v>
      </x:c>
      <x:c r="G37" s="32" t="n">
        <x:v>500</x:v>
      </x:c>
      <x:c r="H37" s="15" t="str">
        <x:v>matched</x:v>
      </x:c>
      <x:c r="I37" s="15" t="str">
        <x:v>invoice</x:v>
      </x:c>
      <x:c r="J37" s="15" t="str">
        <x:v>97633669</x:v>
      </x:c>
      <x:c r="K37" s="15" t="str">
        <x:v>Ron Burman</x:v>
      </x:c>
      <x:c r="L37" s="15" t="str">
        <x:v>150</x:v>
      </x:c>
      <x:c r="M37" s="15" t="str">
        <x:v>No</x:v>
      </x:c>
      <x:c r="N37" s="15"/>
      <x:c r="O37" s="15" t="n">
        <x:v>1</x:v>
      </x:c>
      <x:c r="P37" s="15" t="str">
        <x:v>2026-01-25 - Hosted - Jobber Invoice 52 - Ron Burman.pdf</x:v>
      </x:c>
      <x:c r="Q37" s="15" t="str">
        <x:v>gmail-labour-invoices/2026-01-25/df232ef8da5e38e8-2026-01-25 - Hosted - Jobber Invoice 52 - Ron Burman.pdf</x:v>
      </x:c>
      <x:c r="R37" s="15" t="str">
        <x:v>df232ef8da5e38e837e299a43ec1c1d6f9f77a02b7564efe22202127a994f1fc</x:v>
      </x:c>
    </x:row>
    <x:row r="38">
      <x:c r="A38" s="31" t="n">
        <x:v>46050</x:v>
      </x:c>
      <x:c r="B38" s="15" t="str">
        <x:v>Phillip Hyde</x:v>
      </x:c>
      <x:c r="C38" s="15" t="str">
        <x:v>INV-000015</x:v>
      </x:c>
      <x:c r="D38" s="15" t="str">
        <x:v>CAD</x:v>
      </x:c>
      <x:c r="E38" s="32" t="n">
        <x:v>524.7</x:v>
      </x:c>
      <x:c r="F38" s="32" t="n">
        <x:v>0</x:v>
      </x:c>
      <x:c r="G38" s="32" t="n">
        <x:v>524.7</x:v>
      </x:c>
      <x:c r="H38" s="15" t="str">
        <x:v>supporting_document</x:v>
      </x:c>
      <x:c r="I38" s="15" t="str">
        <x:v>payment_receipt</x:v>
      </x:c>
      <x:c r="J38" s="15" t="str"/>
      <x:c r="K38" s="15" t="str"/>
      <x:c r="L38" s="15" t="str"/>
      <x:c r="M38" s="15" t="str">
        <x:v>No</x:v>
      </x:c>
      <x:c r="N38" s="15" t="str">
        <x:v>b63926c5ddb9489e</x:v>
      </x:c>
      <x:c r="O38" s="15" t="n">
        <x:v>2</x:v>
      </x:c>
      <x:c r="P38" s="15" t="str">
        <x:v>2026-01-28 - Payment-2.pdf</x:v>
      </x:c>
      <x:c r="Q38" s="15" t="str">
        <x:v>gmail-labour-invoices/2026-01-28/c2d60bba7d5042b0-2026-01-28 - Payment-2.pdf</x:v>
      </x:c>
      <x:c r="R38" s="15" t="str">
        <x:v>c2d60bba7d5042b0b58c4d3620a44395af7edaa9d78d692d772b90066586788f</x:v>
      </x:c>
    </x:row>
    <x:row r="39">
      <x:c r="A39" s="31" t="n">
        <x:v>46051</x:v>
      </x:c>
      <x:c r="B39" s="15" t="str">
        <x:v>Abdellah Aouf</x:v>
      </x:c>
      <x:c r="C39" s="15" t="str">
        <x:v>INV-20260128-001</x:v>
      </x:c>
      <x:c r="D39" s="15" t="str">
        <x:v>CAD</x:v>
      </x:c>
      <x:c r="E39" s="32" t="n">
        <x:v>1900</x:v>
      </x:c>
      <x:c r="F39" s="32" t="n">
        <x:v>0</x:v>
      </x:c>
      <x:c r="G39" s="32" t="n">
        <x:v>1900</x:v>
      </x:c>
      <x:c r="H39" s="15" t="str">
        <x:v>matched_multiple</x:v>
      </x:c>
      <x:c r="I39" s="15" t="str">
        <x:v>invoice</x:v>
      </x:c>
      <x:c r="J39" s="15" t="str">
        <x:v>97635432; 96631889; 96936844</x:v>
      </x:c>
      <x:c r="K39" s="15" t="str">
        <x:v>Alycia Vachon; Mariah Landers; Bethan Elliott</x:v>
      </x:c>
      <x:c r="L39" s="15" t="str">
        <x:v>150; 150; 145</x:v>
      </x:c>
      <x:c r="M39" s="15" t="str">
        <x:v>No</x:v>
      </x:c>
      <x:c r="N39" s="15" t="str">
        <x:v>2e73e3f3895dff2d</x:v>
      </x:c>
      <x:c r="O39" s="15" t="n">
        <x:v>2</x:v>
      </x:c>
      <x:c r="P39" s="15" t="str">
        <x:v>2026-01-29 - invoice_ottawa_painters copy.pdf</x:v>
      </x:c>
      <x:c r="Q39" s="15" t="str">
        <x:v>gmail-labour-invoices/2026-01-29/5bf4de12a1f713b3-2026-01-29 - invoice_ottawa_painters copy.pdf</x:v>
      </x:c>
      <x:c r="R39" s="15" t="str">
        <x:v>5bf4de12a1f713b337e4829495f687305a830a01f24b939b5ca6b4f967704db6</x:v>
      </x:c>
    </x:row>
    <x:row r="40">
      <x:c r="A40" s="31" t="n">
        <x:v>46051</x:v>
      </x:c>
      <x:c r="B40" s="15" t="str">
        <x:v>Unknown supplier</x:v>
      </x:c>
      <x:c r="C40" s="15" t="str">
        <x:v>FILE-DDE04391CBE3</x:v>
      </x:c>
      <x:c r="D40" s="15" t="str">
        <x:v>CAD</x:v>
      </x:c>
      <x:c r="E40" s="32"/>
      <x:c r="F40" s="32"/>
      <x:c r="G40" s="32"/>
      <x:c r="H40" s="15" t="str">
        <x:v>not_invoice</x:v>
      </x:c>
      <x:c r="I40" s="15" t="str">
        <x:v>not_invoice</x:v>
      </x:c>
      <x:c r="J40" s="15" t="str"/>
      <x:c r="K40" s="15" t="str"/>
      <x:c r="L40" s="15" t="str"/>
      <x:c r="M40" s="15" t="str">
        <x:v>No</x:v>
      </x:c>
      <x:c r="N40" s="15"/>
      <x:c r="O40" s="15" t="n">
        <x:v>1</x:v>
      </x:c>
      <x:c r="P40" s="15" t="str">
        <x:v>2026-01-29 - Invoices.eml</x:v>
      </x:c>
      <x:c r="Q40" s="15" t="str">
        <x:v>gmail-labour-invoices/2026-01-29/dde04391cbe304bd-2026-01-29 - Invoices.eml</x:v>
      </x:c>
      <x:c r="R40" s="15" t="str">
        <x:v>dde04391cbe304bdd973a1b6b631fda15a6abd0a48f20f9c474700502ae9700e</x:v>
      </x:c>
    </x:row>
    <x:row r="41">
      <x:c r="A41" s="31" t="n">
        <x:v>46053</x:v>
      </x:c>
      <x:c r="B41" s="15" t="str">
        <x:v>Mas Reno</x:v>
      </x:c>
      <x:c r="C41" s="15" t="str">
        <x:v>012225</x:v>
      </x:c>
      <x:c r="D41" s="15" t="str">
        <x:v>CAD</x:v>
      </x:c>
      <x:c r="E41" s="32" t="n">
        <x:v>1350</x:v>
      </x:c>
      <x:c r="F41" s="32" t="n">
        <x:v>182.5</x:v>
      </x:c>
      <x:c r="G41" s="32" t="n">
        <x:v>1532.5</x:v>
      </x:c>
      <x:c r="H41" s="15" t="str">
        <x:v>matched</x:v>
      </x:c>
      <x:c r="I41" s="15" t="str">
        <x:v>invoice</x:v>
      </x:c>
      <x:c r="J41" s="15" t="str">
        <x:v>96869012</x:v>
      </x:c>
      <x:c r="K41" s="15" t="str">
        <x:v>Natasha Kawam</x:v>
      </x:c>
      <x:c r="L41" s="15" t="str">
        <x:v>85</x:v>
      </x:c>
      <x:c r="M41" s="15" t="str">
        <x:v>No</x:v>
      </x:c>
      <x:c r="N41" s="15"/>
      <x:c r="O41" s="15" t="n">
        <x:v>1</x:v>
      </x:c>
      <x:c r="P41" s="15" t="str">
        <x:v>2026-01-31 - B9DDD3A2-B2E2-4407-8E74-0890B770FBE8.png</x:v>
      </x:c>
      <x:c r="Q41" s="15" t="str">
        <x:v>gmail-labour-invoices/2026-01-31/dc92f4fdc36868cf-2026-01-31 - B9DDD3A2-B2E2-4407-8E74-0890B770FBE8.png</x:v>
      </x:c>
      <x:c r="R41" s="15" t="str">
        <x:v>dc92f4fdc36868cfce12b590972692e285835ce14d2773bb83dc6e78b5207bba</x:v>
      </x:c>
    </x:row>
    <x:row r="42">
      <x:c r="A42" s="31" t="n">
        <x:v>46053</x:v>
      </x:c>
      <x:c r="B42" s="15" t="str">
        <x:v>Mas Reno</x:v>
      </x:c>
      <x:c r="C42" s="15" t="str">
        <x:v>012223</x:v>
      </x:c>
      <x:c r="D42" s="15" t="str">
        <x:v>CAD</x:v>
      </x:c>
      <x:c r="E42" s="32" t="n">
        <x:v>1091</x:v>
      </x:c>
      <x:c r="F42" s="32" t="n">
        <x:v>130</x:v>
      </x:c>
      <x:c r="G42" s="32" t="n">
        <x:v>1221</x:v>
      </x:c>
      <x:c r="H42" s="15" t="str">
        <x:v>matched</x:v>
      </x:c>
      <x:c r="I42" s="15" t="str">
        <x:v>invoice</x:v>
      </x:c>
      <x:c r="J42" s="15" t="str">
        <x:v>97546597</x:v>
      </x:c>
      <x:c r="K42" s="15" t="str">
        <x:v>Jillian Morgan</x:v>
      </x:c>
      <x:c r="L42" s="15" t="str">
        <x:v>85</x:v>
      </x:c>
      <x:c r="M42" s="15" t="str">
        <x:v>No</x:v>
      </x:c>
      <x:c r="N42" s="15"/>
      <x:c r="O42" s="15" t="n">
        <x:v>1</x:v>
      </x:c>
      <x:c r="P42" s="15" t="str">
        <x:v>2026-01-31 - BEC47543-6E34-4983-9A83-EF932417A7C6.png</x:v>
      </x:c>
      <x:c r="Q42" s="15" t="str">
        <x:v>gmail-labour-invoices/2026-01-31/492a4bf2a5c8af8b-2026-01-31 - BEC47543-6E34-4983-9A83-EF932417A7C6.png</x:v>
      </x:c>
      <x:c r="R42" s="15" t="str">
        <x:v>492a4bf2a5c8af8b311a5cb9c9b76b0a936c261627b2df2f5aa18a0d07f928ca</x:v>
      </x:c>
    </x:row>
    <x:row r="43">
      <x:c r="A43" s="31" t="n">
        <x:v>46053</x:v>
      </x:c>
      <x:c r="B43" s="15" t="str">
        <x:v>Unknown supplier</x:v>
      </x:c>
      <x:c r="C43" s="15" t="str">
        <x:v>FILE-1471929AB1AC</x:v>
      </x:c>
      <x:c r="D43" s="15" t="str">
        <x:v>CAD</x:v>
      </x:c>
      <x:c r="E43" s="32" t="n">
        <x:v>30</x:v>
      </x:c>
      <x:c r="F43" s="32" t="n">
        <x:v>0</x:v>
      </x:c>
      <x:c r="G43" s="32" t="n">
        <x:v>30</x:v>
      </x:c>
      <x:c r="H43" s="15" t="str">
        <x:v>unmatched</x:v>
      </x:c>
      <x:c r="I43" s="15" t="str">
        <x:v>receipt</x:v>
      </x:c>
      <x:c r="J43" s="15" t="str"/>
      <x:c r="K43" s="15" t="str"/>
      <x:c r="L43" s="15" t="str"/>
      <x:c r="M43" s="15" t="str">
        <x:v>No</x:v>
      </x:c>
      <x:c r="N43" s="15"/>
      <x:c r="O43" s="15" t="n">
        <x:v>1</x:v>
      </x:c>
      <x:c r="P43" s="15" t="str">
        <x:v>2026-01-31 - IMG_2440.jpeg</x:v>
      </x:c>
      <x:c r="Q43" s="15" t="str">
        <x:v>gmail-labour-invoices/2026-01-31/1471929ab1ac0608-2026-01-31 - IMG_2440.jpeg</x:v>
      </x:c>
      <x:c r="R43" s="15" t="str">
        <x:v>1471929ab1ac0608aa4b95bf231cb37b7e89fbcf1084fe252ecb660d196c4c4f</x:v>
      </x:c>
    </x:row>
    <x:row r="44">
      <x:c r="A44" s="31" t="n">
        <x:v>46053</x:v>
      </x:c>
      <x:c r="B44" s="15" t="str">
        <x:v>Unknown supplier</x:v>
      </x:c>
      <x:c r="C44" s="15" t="str">
        <x:v>FILE-8D1AB8E94D0D</x:v>
      </x:c>
      <x:c r="D44" s="15" t="str">
        <x:v>CAD</x:v>
      </x:c>
      <x:c r="E44" s="32" t="n">
        <x:v>30.9</x:v>
      </x:c>
      <x:c r="F44" s="32" t="n">
        <x:v>0</x:v>
      </x:c>
      <x:c r="G44" s="32" t="n">
        <x:v>30.9</x:v>
      </x:c>
      <x:c r="H44" s="15" t="str">
        <x:v>unmatched</x:v>
      </x:c>
      <x:c r="I44" s="15" t="str">
        <x:v>receipt</x:v>
      </x:c>
      <x:c r="J44" s="15" t="str"/>
      <x:c r="K44" s="15" t="str"/>
      <x:c r="L44" s="15" t="str"/>
      <x:c r="M44" s="15" t="str">
        <x:v>No</x:v>
      </x:c>
      <x:c r="N44" s="15"/>
      <x:c r="O44" s="15" t="n">
        <x:v>1</x:v>
      </x:c>
      <x:c r="P44" s="15" t="str">
        <x:v>2026-01-31 - IMG_2441.jpeg</x:v>
      </x:c>
      <x:c r="Q44" s="15" t="str">
        <x:v>gmail-labour-invoices/2026-01-31/8d1ab8e94d0d426a-2026-01-31 - IMG_2441.jpeg</x:v>
      </x:c>
      <x:c r="R44" s="15" t="str">
        <x:v>8d1ab8e94d0d426a2f7fa8982aa30428964ce1d0bae4bced419ee65cb7f2d7a4</x:v>
      </x:c>
    </x:row>
    <x:row r="45">
      <x:c r="A45" s="31" t="n">
        <x:v>46053</x:v>
      </x:c>
      <x:c r="B45" s="15" t="str">
        <x:v>Unknown supplier</x:v>
      </x:c>
      <x:c r="C45" s="15" t="str">
        <x:v>FILE-A81F03AFDBA2</x:v>
      </x:c>
      <x:c r="D45" s="15" t="str">
        <x:v>CAD</x:v>
      </x:c>
      <x:c r="E45" s="32"/>
      <x:c r="F45" s="32"/>
      <x:c r="G45" s="32"/>
      <x:c r="H45" s="15" t="str">
        <x:v>unmatched</x:v>
      </x:c>
      <x:c r="I45" s="15" t="str">
        <x:v>needs_review</x:v>
      </x:c>
      <x:c r="J45" s="15" t="str"/>
      <x:c r="K45" s="15" t="str"/>
      <x:c r="L45" s="15" t="str"/>
      <x:c r="M45" s="15" t="str">
        <x:v>No</x:v>
      </x:c>
      <x:c r="N45" s="15"/>
      <x:c r="O45" s="15" t="n">
        <x:v>1</x:v>
      </x:c>
      <x:c r="P45" s="15" t="str">
        <x:v>2026-01-31 - IMG_2442.jpeg</x:v>
      </x:c>
      <x:c r="Q45" s="15" t="str">
        <x:v>gmail-labour-invoices/2026-01-31/a81f03afdba2d6e3-2026-01-31 - IMG_2442.jpeg</x:v>
      </x:c>
      <x:c r="R45" s="15" t="str">
        <x:v>a81f03afdba2d6e3221cb18260a78d3c1f5f1bc1481a4aeeb84f238cc87b4d3a</x:v>
      </x:c>
    </x:row>
    <x:row r="46">
      <x:c r="A46" s="31" t="n">
        <x:v>46053</x:v>
      </x:c>
      <x:c r="B46" s="15" t="str">
        <x:v>Unknown supplier</x:v>
      </x:c>
      <x:c r="C46" s="15" t="str">
        <x:v>FILE-2031ADD90A50</x:v>
      </x:c>
      <x:c r="D46" s="15" t="str">
        <x:v>CAD</x:v>
      </x:c>
      <x:c r="E46" s="32"/>
      <x:c r="F46" s="32"/>
      <x:c r="G46" s="32"/>
      <x:c r="H46" s="15" t="str">
        <x:v>unmatched</x:v>
      </x:c>
      <x:c r="I46" s="15" t="str">
        <x:v>needs_review</x:v>
      </x:c>
      <x:c r="J46" s="15" t="str"/>
      <x:c r="K46" s="15" t="str"/>
      <x:c r="L46" s="15" t="str"/>
      <x:c r="M46" s="15" t="str">
        <x:v>No</x:v>
      </x:c>
      <x:c r="N46" s="15"/>
      <x:c r="O46" s="15" t="n">
        <x:v>1</x:v>
      </x:c>
      <x:c r="P46" s="15" t="str">
        <x:v>2026-01-31 - P r.JPG</x:v>
      </x:c>
      <x:c r="Q46" s="15" t="str">
        <x:v>gmail-labour-invoices/2026-01-31/2031add90a500ec6-2026-01-31 - P r.JPG</x:v>
      </x:c>
      <x:c r="R46" s="15" t="str">
        <x:v>2031add90a500ec67dc8f1e79a3b0c5b5281953b9672c8dc82fcd250947aa757</x:v>
      </x:c>
    </x:row>
    <x:row r="47">
      <x:c r="A47" s="31" t="n">
        <x:v>46053</x:v>
      </x:c>
      <x:c r="B47" s="15" t="str">
        <x:v>Unknown supplier</x:v>
      </x:c>
      <x:c r="C47" s="15" t="str">
        <x:v>FILE-D061DF851155</x:v>
      </x:c>
      <x:c r="D47" s="15" t="str">
        <x:v>CAD</x:v>
      </x:c>
      <x:c r="E47" s="32" t="n">
        <x:v>25</x:v>
      </x:c>
      <x:c r="F47" s="32" t="n">
        <x:v>0</x:v>
      </x:c>
      <x:c r="G47" s="32" t="n">
        <x:v>25</x:v>
      </x:c>
      <x:c r="H47" s="15" t="str">
        <x:v>unmatched</x:v>
      </x:c>
      <x:c r="I47" s="15" t="str">
        <x:v>receipt</x:v>
      </x:c>
      <x:c r="J47" s="15" t="str"/>
      <x:c r="K47" s="15" t="str"/>
      <x:c r="L47" s="15" t="str"/>
      <x:c r="M47" s="15" t="str">
        <x:v>No</x:v>
      </x:c>
      <x:c r="N47" s="15"/>
      <x:c r="O47" s="15" t="n">
        <x:v>1</x:v>
      </x:c>
      <x:c r="P47" s="15" t="str">
        <x:v>2026-01-31 - Parking receipt.JPG</x:v>
      </x:c>
      <x:c r="Q47" s="15" t="str">
        <x:v>gmail-labour-invoices/2026-01-31/d061df8511550101-2026-01-31 - Parking receipt.JPG</x:v>
      </x:c>
      <x:c r="R47" s="15" t="str">
        <x:v>d061df851155010173212f79e9e74e7f426472faaea4d7e15a857299d8922a4d</x:v>
      </x:c>
    </x:row>
    <x:row r="48">
      <x:c r="A48" s="31" t="n">
        <x:v>46053</x:v>
      </x:c>
      <x:c r="B48" s="15" t="str">
        <x:v>Unknown supplier</x:v>
      </x:c>
      <x:c r="C48" s="15" t="str">
        <x:v>FILE-8FE7F641A9A6</x:v>
      </x:c>
      <x:c r="D48" s="15" t="str">
        <x:v>CAD</x:v>
      </x:c>
      <x:c r="E48" s="32"/>
      <x:c r="F48" s="32"/>
      <x:c r="G48" s="32"/>
      <x:c r="H48" s="15" t="str">
        <x:v>unmatched</x:v>
      </x:c>
      <x:c r="I48" s="15" t="str">
        <x:v>needs_review</x:v>
      </x:c>
      <x:c r="J48" s="15" t="str"/>
      <x:c r="K48" s="15" t="str"/>
      <x:c r="L48" s="15" t="str"/>
      <x:c r="M48" s="15" t="str">
        <x:v>No</x:v>
      </x:c>
      <x:c r="N48" s="15"/>
      <x:c r="O48" s="15" t="n">
        <x:v>1</x:v>
      </x:c>
      <x:c r="P48" s="15" t="str">
        <x:v>2026-01-31 - Pr.JPG</x:v>
      </x:c>
      <x:c r="Q48" s="15" t="str">
        <x:v>gmail-labour-invoices/2026-01-31/8fe7f641a9a6d753-2026-01-31 - Pr.JPG</x:v>
      </x:c>
      <x:c r="R48" s="15" t="str">
        <x:v>8fe7f641a9a6d753dbcf160f754f08dc112db1c3ef31188113b124b052a9fd21</x:v>
      </x:c>
    </x:row>
    <x:row r="49">
      <x:c r="A49" s="31" t="n">
        <x:v>46053</x:v>
      </x:c>
      <x:c r="B49" s="15" t="str">
        <x:v>Mas Reno</x:v>
      </x:c>
      <x:c r="C49" s="15" t="str">
        <x:v>012224</x:v>
      </x:c>
      <x:c r="D49" s="15" t="str">
        <x:v>CAD</x:v>
      </x:c>
      <x:c r="E49" s="32" t="n">
        <x:v>800</x:v>
      </x:c>
      <x:c r="F49" s="32" t="n">
        <x:v>97.5</x:v>
      </x:c>
      <x:c r="G49" s="32" t="n">
        <x:v>897.5</x:v>
      </x:c>
      <x:c r="H49" s="15" t="str">
        <x:v>unmatched</x:v>
      </x:c>
      <x:c r="I49" s="15" t="str">
        <x:v>invoice</x:v>
      </x:c>
      <x:c r="J49" s="15" t="str"/>
      <x:c r="K49" s="15" t="str"/>
      <x:c r="L49" s="15" t="str"/>
      <x:c r="M49" s="15" t="str">
        <x:v>No</x:v>
      </x:c>
      <x:c r="N49" s="15"/>
      <x:c r="O49" s="15" t="n">
        <x:v>1</x:v>
      </x:c>
      <x:c r="P49" s="15" t="str">
        <x:v>2026-01-31 - Untitled.pdf</x:v>
      </x:c>
      <x:c r="Q49" s="15" t="str">
        <x:v>gmail-labour-invoices/2026-01-31/d0c351eb6a3aa30d-2026-01-31 - Untitled.pdf</x:v>
      </x:c>
      <x:c r="R49" s="15" t="str">
        <x:v>d0c351eb6a3aa30dd4f65f292dd8d956c54575db1e2dad2fbfe589abdb1a7271</x:v>
      </x:c>
    </x:row>
    <x:row r="50">
      <x:c r="A50" s="31" t="n">
        <x:v>46054</x:v>
      </x:c>
      <x:c r="B50" s="15" t="str">
        <x:v>Abdellah Aouf</x:v>
      </x:c>
      <x:c r="C50" s="15" t="str">
        <x:v>20260128</x:v>
      </x:c>
      <x:c r="D50" s="15" t="str">
        <x:v>CAD</x:v>
      </x:c>
      <x:c r="E50" s="32" t="n">
        <x:v>2900</x:v>
      </x:c>
      <x:c r="F50" s="32" t="n">
        <x:v>0</x:v>
      </x:c>
      <x:c r="G50" s="32" t="n">
        <x:v>2900</x:v>
      </x:c>
      <x:c r="H50" s="15" t="str">
        <x:v>matched_multiple</x:v>
      </x:c>
      <x:c r="I50" s="15" t="str">
        <x:v>invoice</x:v>
      </x:c>
      <x:c r="J50" s="15" t="str">
        <x:v>97635432; 96631889; 96936844; 97196041</x:v>
      </x:c>
      <x:c r="K50" s="15" t="str">
        <x:v>Alycia Vachon; Mariah Landers; Bethan Elliott; Tracy Adams</x:v>
      </x:c>
      <x:c r="L50" s="15" t="str">
        <x:v>150; 150; 145; 145</x:v>
      </x:c>
      <x:c r="M50" s="15" t="str">
        <x:v>No</x:v>
      </x:c>
      <x:c r="N50" s="15"/>
      <x:c r="O50" s="15" t="n">
        <x:v>1</x:v>
      </x:c>
      <x:c r="P50" s="15" t="str">
        <x:v>2026-02-01 - invoice_ottawa_painters (1).pdf</x:v>
      </x:c>
      <x:c r="Q50" s="15" t="str">
        <x:v>gmail-labour-invoices/2026-02-01/cf4baa9276a0b9ce-2026-02-01 - invoice_ottawa_painters (1).pdf</x:v>
      </x:c>
      <x:c r="R50" s="15" t="str">
        <x:v>cf4baa9276a0b9cef2a541d014014976e0981cec49eef9a4372fc88991e5ddd2</x:v>
      </x:c>
    </x:row>
    <x:row r="51">
      <x:c r="A51" s="31" t="n">
        <x:v>46055</x:v>
      </x:c>
      <x:c r="B51" s="15" t="str">
        <x:v>Polaris Painters</x:v>
      </x:c>
      <x:c r="C51" s="15" t="str">
        <x:v>53</x:v>
      </x:c>
      <x:c r="D51" s="15" t="str">
        <x:v>CAD</x:v>
      </x:c>
      <x:c r="E51" s="32" t="n">
        <x:v>3700</x:v>
      </x:c>
      <x:c r="F51" s="32" t="n">
        <x:v>0</x:v>
      </x:c>
      <x:c r="G51" s="32" t="n">
        <x:v>3700</x:v>
      </x:c>
      <x:c r="H51" s="15" t="str">
        <x:v>matched</x:v>
      </x:c>
      <x:c r="I51" s="15" t="str">
        <x:v>invoice</x:v>
      </x:c>
      <x:c r="J51" s="15" t="str">
        <x:v>96847472</x:v>
      </x:c>
      <x:c r="K51" s="15" t="str">
        <x:v>Luke Nixon-janssen</x:v>
      </x:c>
      <x:c r="L51" s="15" t="str">
        <x:v>150</x:v>
      </x:c>
      <x:c r="M51" s="15" t="str">
        <x:v>No</x:v>
      </x:c>
      <x:c r="N51" s="15"/>
      <x:c r="O51" s="15" t="n">
        <x:v>1</x:v>
      </x:c>
      <x:c r="P51" s="15" t="str">
        <x:v>2026-02-02 - Hosted - Jobber Invoice 53 - Luke Nixon.pdf</x:v>
      </x:c>
      <x:c r="Q51" s="15" t="str">
        <x:v>gmail-labour-invoices/2026-02-02/4fedc648390f302d-2026-02-02 - Hosted - Jobber Invoice 53 - Luke Nixon.pdf</x:v>
      </x:c>
      <x:c r="R51" s="15" t="str">
        <x:v>4fedc648390f302d02d506d3f6dc3b34be11798ad52e56051eb41b776c6a8e99</x:v>
      </x:c>
    </x:row>
    <x:row r="52">
      <x:c r="A52" s="31" t="n">
        <x:v>46055</x:v>
      </x:c>
      <x:c r="B52" s="15" t="str">
        <x:v>Polaris Painters</x:v>
      </x:c>
      <x:c r="C52" s="15" t="str">
        <x:v>54</x:v>
      </x:c>
      <x:c r="D52" s="15" t="str">
        <x:v>CAD</x:v>
      </x:c>
      <x:c r="E52" s="32" t="n">
        <x:v>950</x:v>
      </x:c>
      <x:c r="F52" s="32" t="n">
        <x:v>0</x:v>
      </x:c>
      <x:c r="G52" s="32" t="n">
        <x:v>950</x:v>
      </x:c>
      <x:c r="H52" s="15" t="str">
        <x:v>matched</x:v>
      </x:c>
      <x:c r="I52" s="15" t="str">
        <x:v>invoice</x:v>
      </x:c>
      <x:c r="J52" s="15" t="str">
        <x:v>98131079</x:v>
      </x:c>
      <x:c r="K52" s="15" t="str">
        <x:v>Kelly Milne</x:v>
      </x:c>
      <x:c r="L52" s="15" t="str">
        <x:v>150</x:v>
      </x:c>
      <x:c r="M52" s="15" t="str">
        <x:v>No</x:v>
      </x:c>
      <x:c r="N52" s="15"/>
      <x:c r="O52" s="15" t="n">
        <x:v>1</x:v>
      </x:c>
      <x:c r="P52" s="15" t="str">
        <x:v>2026-02-02 - Hosted - Jobber Invoice 54 - Kelly Milne.pdf</x:v>
      </x:c>
      <x:c r="Q52" s="15" t="str">
        <x:v>gmail-labour-invoices/2026-02-02/64c92ed85468bea0-2026-02-02 - Hosted - Jobber Invoice 54 - Kelly Milne.pdf</x:v>
      </x:c>
      <x:c r="R52" s="15" t="str">
        <x:v>64c92ed85468bea0a2278c0874bca81bfc87a7e11f3d74ffb90e8509eb34b33c</x:v>
      </x:c>
    </x:row>
    <x:row r="53">
      <x:c r="A53" s="31" t="n">
        <x:v>46057</x:v>
      </x:c>
      <x:c r="B53" s="15" t="str">
        <x:v>Premium Coat</x:v>
      </x:c>
      <x:c r="C53" s="15" t="str">
        <x:v>FILE-DFDBFAFB5A7E</x:v>
      </x:c>
      <x:c r="D53" s="15" t="str">
        <x:v>CAD</x:v>
      </x:c>
      <x:c r="E53" s="32"/>
      <x:c r="F53" s="32"/>
      <x:c r="G53" s="32"/>
      <x:c r="H53" s="15" t="str">
        <x:v>not_invoice</x:v>
      </x:c>
      <x:c r="I53" s="15" t="str">
        <x:v>not_invoice</x:v>
      </x:c>
      <x:c r="J53" s="15" t="str"/>
      <x:c r="K53" s="15" t="str"/>
      <x:c r="L53" s="15" t="str"/>
      <x:c r="M53" s="15" t="str">
        <x:v>No</x:v>
      </x:c>
      <x:c r="N53" s="15"/>
      <x:c r="O53" s="15" t="n">
        <x:v>1</x:v>
      </x:c>
      <x:c r="P53" s="15" t="str">
        <x:v>2026-02-04 - Portafolio - Premium Coat.ca.pdf</x:v>
      </x:c>
      <x:c r="Q53" s="15" t="str">
        <x:v>gmail-labour-invoices/2026-02-04/dfdbfafb5a7eccff-2026-02-04 - Portafolio - Premium Coat.ca.pdf</x:v>
      </x:c>
      <x:c r="R53" s="15" t="str">
        <x:v>dfdbfafb5a7eccff4d6076912a978014bc7c7778176bdbc6ffc4c5f775a0a45f</x:v>
      </x:c>
    </x:row>
    <x:row r="54">
      <x:c r="A54" s="31" t="n">
        <x:v>46058</x:v>
      </x:c>
      <x:c r="B54" s="15" t="str">
        <x:v>Unknown supplier</x:v>
      </x:c>
      <x:c r="C54" s="15" t="str">
        <x:v>FILE-A00158AFD079</x:v>
      </x:c>
      <x:c r="D54" s="15" t="str">
        <x:v>CAD</x:v>
      </x:c>
      <x:c r="E54" s="32"/>
      <x:c r="F54" s="32"/>
      <x:c r="G54" s="32"/>
      <x:c r="H54" s="15" t="str">
        <x:v>not_invoice</x:v>
      </x:c>
      <x:c r="I54" s="15" t="str">
        <x:v>not_invoice</x:v>
      </x:c>
      <x:c r="J54" s="15" t="str"/>
      <x:c r="K54" s="15" t="str"/>
      <x:c r="L54" s="15" t="str"/>
      <x:c r="M54" s="15" t="str">
        <x:v>No</x:v>
      </x:c>
      <x:c r="N54" s="15"/>
      <x:c r="O54" s="15" t="n">
        <x:v>1</x:v>
      </x:c>
      <x:c r="P54" s="15" t="str">
        <x:v>2026-02-05 - Addendum #9.pdf</x:v>
      </x:c>
      <x:c r="Q54" s="15" t="str">
        <x:v>gmail-labour-invoices/2026-02-05/a00158afd079597a-2026-02-05 - Addendum -9.pdf</x:v>
      </x:c>
      <x:c r="R54" s="15" t="str">
        <x:v>a00158afd079597ae10b72f4a640e92859d3e1be17408494cec1827ac87c2323</x:v>
      </x:c>
    </x:row>
    <x:row r="55">
      <x:c r="A55" s="31" t="n">
        <x:v>46058</x:v>
      </x:c>
      <x:c r="B55" s="15" t="str">
        <x:v>Caledonian Painting Ltd</x:v>
      </x:c>
      <x:c r="C55" s="15" t="str">
        <x:v>380069</x:v>
      </x:c>
      <x:c r="D55" s="15" t="str">
        <x:v>CAD</x:v>
      </x:c>
      <x:c r="E55" s="32" t="n">
        <x:v>5107.86</x:v>
      </x:c>
      <x:c r="F55" s="32" t="n">
        <x:v>607.36</x:v>
      </x:c>
      <x:c r="G55" s="32" t="n">
        <x:v>5715.22</x:v>
      </x:c>
      <x:c r="H55" s="15" t="str">
        <x:v>matched</x:v>
      </x:c>
      <x:c r="I55" s="15" t="str">
        <x:v>invoice</x:v>
      </x:c>
      <x:c r="J55" s="15" t="str">
        <x:v>97255657</x:v>
      </x:c>
      <x:c r="K55" s="15" t="str">
        <x:v>Gordon Zans</x:v>
      </x:c>
      <x:c r="L55" s="15" t="str">
        <x:v>65</x:v>
      </x:c>
      <x:c r="M55" s="15" t="str">
        <x:v>No</x:v>
      </x:c>
      <x:c r="N55" s="15"/>
      <x:c r="O55" s="15" t="n">
        <x:v>1</x:v>
      </x:c>
      <x:c r="P55" s="15" t="str">
        <x:v>2026-02-05 - Hosted - invoice-380069.pdf</x:v>
      </x:c>
      <x:c r="Q55" s="15" t="str">
        <x:v>gmail-labour-invoices/2026-02-05/5aeb30922c77792f-2026-02-05 - Hosted - invoice-380069.pdf</x:v>
      </x:c>
      <x:c r="R55" s="15" t="str">
        <x:v>5aeb30922c77792f3d4ce034fddc0a685196d80b9f89d0fecf965439ea468597</x:v>
      </x:c>
    </x:row>
    <x:row r="56">
      <x:c r="A56" s="31" t="n">
        <x:v>46064</x:v>
      </x:c>
      <x:c r="B56" s="15" t="str">
        <x:v>Angel Marcelo Cabrera</x:v>
      </x:c>
      <x:c r="C56" s="15" t="str">
        <x:v>1</x:v>
      </x:c>
      <x:c r="D56" s="15" t="str">
        <x:v>CAD</x:v>
      </x:c>
      <x:c r="E56" s="32" t="n">
        <x:v>250</x:v>
      </x:c>
      <x:c r="F56" s="32" t="n">
        <x:v>0</x:v>
      </x:c>
      <x:c r="G56" s="32" t="n">
        <x:v>250</x:v>
      </x:c>
      <x:c r="H56" s="15" t="str">
        <x:v>unmatched</x:v>
      </x:c>
      <x:c r="I56" s="15" t="str">
        <x:v>invoice</x:v>
      </x:c>
      <x:c r="J56" s="15" t="str"/>
      <x:c r="K56" s="15" t="str"/>
      <x:c r="L56" s="15" t="str"/>
      <x:c r="M56" s="15" t="str">
        <x:v>No</x:v>
      </x:c>
      <x:c r="N56" s="15"/>
      <x:c r="O56" s="15" t="n">
        <x:v>1</x:v>
      </x:c>
      <x:c r="P56" s="15" t="str">
        <x:v>2026-02-11 - application_1.pdf</x:v>
      </x:c>
      <x:c r="Q56" s="15" t="str">
        <x:v>gmail-labour-invoices/2026-02-11/735c1e47044957c0-2026-02-11 - application_1.pdf</x:v>
      </x:c>
      <x:c r="R56" s="15" t="str">
        <x:v>735c1e47044957c0a761add9da33e92703d0ea2b89a447e0b78ded32bf0a1cdd</x:v>
      </x:c>
    </x:row>
    <x:row r="57">
      <x:c r="A57" s="31" t="n">
        <x:v>46065</x:v>
      </x:c>
      <x:c r="B57" s="15" t="str">
        <x:v>Polaris Painters</x:v>
      </x:c>
      <x:c r="C57" s="15" t="str">
        <x:v>55</x:v>
      </x:c>
      <x:c r="D57" s="15" t="str">
        <x:v>CAD</x:v>
      </x:c>
      <x:c r="E57" s="32" t="n">
        <x:v>1200</x:v>
      </x:c>
      <x:c r="F57" s="32" t="n">
        <x:v>0</x:v>
      </x:c>
      <x:c r="G57" s="32" t="n">
        <x:v>1200</x:v>
      </x:c>
      <x:c r="H57" s="15" t="str">
        <x:v>matched</x:v>
      </x:c>
      <x:c r="I57" s="15" t="str">
        <x:v>invoice</x:v>
      </x:c>
      <x:c r="J57" s="15" t="str">
        <x:v>98421832</x:v>
      </x:c>
      <x:c r="K57" s="15" t="str">
        <x:v>Shawn Myers</x:v>
      </x:c>
      <x:c r="L57" s="15" t="str">
        <x:v>150</x:v>
      </x:c>
      <x:c r="M57" s="15" t="str">
        <x:v>No</x:v>
      </x:c>
      <x:c r="N57" s="15"/>
      <x:c r="O57" s="15" t="n">
        <x:v>1</x:v>
      </x:c>
      <x:c r="P57" s="15" t="str">
        <x:v>2026-02-12 - Hosted - Jobber Invoice 55 - Shawn Myers.pdf</x:v>
      </x:c>
      <x:c r="Q57" s="15" t="str">
        <x:v>gmail-labour-invoices/2026-02-12/0f38e6a08818c7fd-2026-02-12 - Hosted - Jobber Invoice 55 - Shawn Myers.pdf</x:v>
      </x:c>
      <x:c r="R57" s="15" t="str">
        <x:v>0f38e6a08818c7fd65ae5141c4ccf2d19664b322607510689a6d3b24ce8499b0</x:v>
      </x:c>
    </x:row>
    <x:row r="58">
      <x:c r="A58" s="31" t="n">
        <x:v>46065</x:v>
      </x:c>
      <x:c r="B58" s="15" t="str">
        <x:v>Polaris Painters</x:v>
      </x:c>
      <x:c r="C58" s="15" t="str">
        <x:v>56</x:v>
      </x:c>
      <x:c r="D58" s="15" t="str">
        <x:v>CAD</x:v>
      </x:c>
      <x:c r="E58" s="32" t="n">
        <x:v>180</x:v>
      </x:c>
      <x:c r="F58" s="32" t="n">
        <x:v>0</x:v>
      </x:c>
      <x:c r="G58" s="32" t="n">
        <x:v>180</x:v>
      </x:c>
      <x:c r="H58" s="15" t="str">
        <x:v>unmatched</x:v>
      </x:c>
      <x:c r="I58" s="15" t="str">
        <x:v>invoice</x:v>
      </x:c>
      <x:c r="J58" s="15" t="str"/>
      <x:c r="K58" s="15" t="str"/>
      <x:c r="L58" s="15" t="str"/>
      <x:c r="M58" s="15" t="str">
        <x:v>No</x:v>
      </x:c>
      <x:c r="N58" s="15"/>
      <x:c r="O58" s="15" t="n">
        <x:v>1</x:v>
      </x:c>
      <x:c r="P58" s="15" t="str">
        <x:v>2026-02-12 - Hosted - Jobber Invoice 56 - Reza - work with Scott.pdf</x:v>
      </x:c>
      <x:c r="Q58" s="15" t="str">
        <x:v>gmail-labour-invoices/2026-02-12/c3ae65e30063c7fc-2026-02-12 - Hosted - Jobber Invoice 56 - Reza - work with Scott.pdf</x:v>
      </x:c>
      <x:c r="R58" s="15" t="str">
        <x:v>c3ae65e30063c7fc09a9250f78204de90a9034196b2801b8505f91d7325acb1c</x:v>
      </x:c>
    </x:row>
    <x:row r="59">
      <x:c r="A59" s="31" t="n">
        <x:v>46065</x:v>
      </x:c>
      <x:c r="B59" s="15" t="str">
        <x:v>Polaris Painters</x:v>
      </x:c>
      <x:c r="C59" s="15" t="str">
        <x:v>57</x:v>
      </x:c>
      <x:c r="D59" s="15" t="str">
        <x:v>CAD</x:v>
      </x:c>
      <x:c r="E59" s="32" t="n">
        <x:v>990</x:v>
      </x:c>
      <x:c r="F59" s="32" t="n">
        <x:v>0</x:v>
      </x:c>
      <x:c r="G59" s="32" t="n">
        <x:v>990</x:v>
      </x:c>
      <x:c r="H59" s="15" t="str">
        <x:v>matched</x:v>
      </x:c>
      <x:c r="I59" s="15" t="str">
        <x:v>invoice</x:v>
      </x:c>
      <x:c r="J59" s="15" t="str">
        <x:v>96830875</x:v>
      </x:c>
      <x:c r="K59" s="15" t="str">
        <x:v>Sonya Lee</x:v>
      </x:c>
      <x:c r="L59" s="15" t="str">
        <x:v>65</x:v>
      </x:c>
      <x:c r="M59" s="15" t="str">
        <x:v>No</x:v>
      </x:c>
      <x:c r="N59" s="15"/>
      <x:c r="O59" s="15" t="n">
        <x:v>1</x:v>
      </x:c>
      <x:c r="P59" s="15" t="str">
        <x:v>2026-02-12 - Hosted - Jobber Invoice 57 - Sonya Lee.pdf</x:v>
      </x:c>
      <x:c r="Q59" s="15" t="str">
        <x:v>gmail-labour-invoices/2026-02-12/eb7433f84908b353-2026-02-12 - Hosted - Jobber Invoice 57 - Sonya Lee.pdf</x:v>
      </x:c>
      <x:c r="R59" s="15" t="str">
        <x:v>eb7433f84908b353db72bf854c47fba3636704bd504eabf5918bd4285020980b</x:v>
      </x:c>
    </x:row>
    <x:row r="60">
      <x:c r="A60" s="31" t="n">
        <x:v>46071</x:v>
      </x:c>
      <x:c r="B60" s="15" t="str">
        <x:v>Polaris Painters</x:v>
      </x:c>
      <x:c r="C60" s="15" t="str">
        <x:v>59</x:v>
      </x:c>
      <x:c r="D60" s="15" t="str">
        <x:v>CAD</x:v>
      </x:c>
      <x:c r="E60" s="32" t="n">
        <x:v>1200</x:v>
      </x:c>
      <x:c r="F60" s="32" t="n">
        <x:v>0</x:v>
      </x:c>
      <x:c r="G60" s="32" t="n">
        <x:v>1200</x:v>
      </x:c>
      <x:c r="H60" s="15" t="str">
        <x:v>matched</x:v>
      </x:c>
      <x:c r="I60" s="15" t="str">
        <x:v>invoice</x:v>
      </x:c>
      <x:c r="J60" s="15" t="str">
        <x:v>97440119</x:v>
      </x:c>
      <x:c r="K60" s="15" t="str">
        <x:v>Natacha McGuire</x:v>
      </x:c>
      <x:c r="L60" s="15" t="str">
        <x:v>150</x:v>
      </x:c>
      <x:c r="M60" s="15" t="str">
        <x:v>No</x:v>
      </x:c>
      <x:c r="N60" s="15"/>
      <x:c r="O60" s="15" t="n">
        <x:v>1</x:v>
      </x:c>
      <x:c r="P60" s="15" t="str">
        <x:v>2026-02-18 - Hosted - Jobber Invoice 59 - Natacha McGuire.pdf</x:v>
      </x:c>
      <x:c r="Q60" s="15" t="str">
        <x:v>gmail-labour-invoices/2026-02-18/c0a2e2403ab03f1e-2026-02-18 - Hosted - Jobber Invoice 59 - Natacha McGuire.pdf</x:v>
      </x:c>
      <x:c r="R60" s="15" t="str">
        <x:v>c0a2e2403ab03f1ef6adc4476324cc00a77bbb1c5ad2c44760d2b89749aa5041</x:v>
      </x:c>
    </x:row>
    <x:row r="61">
      <x:c r="A61" s="31" t="n">
        <x:v>46072</x:v>
      </x:c>
      <x:c r="B61" s="15" t="str">
        <x:v>Polaris Painters</x:v>
      </x:c>
      <x:c r="C61" s="15" t="str">
        <x:v>58</x:v>
      </x:c>
      <x:c r="D61" s="15" t="str">
        <x:v>CAD</x:v>
      </x:c>
      <x:c r="E61" s="32" t="n">
        <x:v>1200</x:v>
      </x:c>
      <x:c r="F61" s="32" t="n">
        <x:v>0</x:v>
      </x:c>
      <x:c r="G61" s="32" t="n">
        <x:v>1200</x:v>
      </x:c>
      <x:c r="H61" s="15" t="str">
        <x:v>matched</x:v>
      </x:c>
      <x:c r="I61" s="15" t="str">
        <x:v>invoice</x:v>
      </x:c>
      <x:c r="J61" s="15" t="str">
        <x:v>96916023</x:v>
      </x:c>
      <x:c r="K61" s="15" t="str">
        <x:v>Marilyn Hingorani</x:v>
      </x:c>
      <x:c r="L61" s="15" t="str">
        <x:v>65</x:v>
      </x:c>
      <x:c r="M61" s="15" t="str">
        <x:v>No</x:v>
      </x:c>
      <x:c r="N61" s="15"/>
      <x:c r="O61" s="15" t="n">
        <x:v>1</x:v>
      </x:c>
      <x:c r="P61" s="15" t="str">
        <x:v>2026-02-19 - Hosted - Jobber Invoice 58 - Services Rendered - Marilyn.pdf</x:v>
      </x:c>
      <x:c r="Q61" s="15" t="str">
        <x:v>gmail-labour-invoices/2026-02-19/4ace1432aad16f51-2026-02-19 - Hosted - Jobber Invoice 58 - Services Rendered - Marilyn.pdf</x:v>
      </x:c>
      <x:c r="R61" s="15" t="str">
        <x:v>4ace1432aad16f51084eff37060683b22b5c1a1db0ea6b6bc4059bb8ef9fc9ad</x:v>
      </x:c>
    </x:row>
    <x:row r="62">
      <x:c r="A62" s="31" t="n">
        <x:v>46072</x:v>
      </x:c>
      <x:c r="B62" s="15" t="str">
        <x:v>Polaris Painters</x:v>
      </x:c>
      <x:c r="C62" s="15" t="str">
        <x:v>60</x:v>
      </x:c>
      <x:c r="D62" s="15" t="str">
        <x:v>CAD</x:v>
      </x:c>
      <x:c r="E62" s="32" t="n">
        <x:v>1040</x:v>
      </x:c>
      <x:c r="F62" s="32" t="n">
        <x:v>0</x:v>
      </x:c>
      <x:c r="G62" s="32" t="n">
        <x:v>1040</x:v>
      </x:c>
      <x:c r="H62" s="15" t="str">
        <x:v>unmatched</x:v>
      </x:c>
      <x:c r="I62" s="15" t="str">
        <x:v>invoice</x:v>
      </x:c>
      <x:c r="J62" s="15" t="str"/>
      <x:c r="K62" s="15" t="str"/>
      <x:c r="L62" s="15" t="str"/>
      <x:c r="M62" s="15" t="str">
        <x:v>No</x:v>
      </x:c>
      <x:c r="N62" s="15"/>
      <x:c r="O62" s="15" t="n">
        <x:v>1</x:v>
      </x:c>
      <x:c r="P62" s="15" t="str">
        <x:v>2026-02-19 - Hosted - Jobber Invoice 60 - Services Rendered.pdf</x:v>
      </x:c>
      <x:c r="Q62" s="15" t="str">
        <x:v>gmail-labour-invoices/2026-02-19/f7446fd3c9df5f5e-2026-02-19 - Hosted - Jobber Invoice 60 - Services Rendered.pdf</x:v>
      </x:c>
      <x:c r="R62" s="15" t="str">
        <x:v>f7446fd3c9df5f5edd74a25cedbe6495df9837b12698f447d4a6fa725cad65c8</x:v>
      </x:c>
    </x:row>
    <x:row r="63">
      <x:c r="A63" s="31" t="n">
        <x:v>46073</x:v>
      </x:c>
      <x:c r="B63" s="15" t="str">
        <x:v>Unknown supplier</x:v>
      </x:c>
      <x:c r="C63" s="15" t="str">
        <x:v>FILE-FD1D93A146D7</x:v>
      </x:c>
      <x:c r="D63" s="15" t="str">
        <x:v>CAD</x:v>
      </x:c>
      <x:c r="E63" s="32"/>
      <x:c r="F63" s="32"/>
      <x:c r="G63" s="32"/>
      <x:c r="H63" s="15" t="str">
        <x:v>unmatched</x:v>
      </x:c>
      <x:c r="I63" s="15" t="str">
        <x:v>needs_review</x:v>
      </x:c>
      <x:c r="J63" s="15" t="str"/>
      <x:c r="K63" s="15" t="str"/>
      <x:c r="L63" s="15" t="str"/>
      <x:c r="M63" s="15" t="str">
        <x:v>No</x:v>
      </x:c>
      <x:c r="N63" s="15"/>
      <x:c r="O63" s="15" t="n">
        <x:v>1</x:v>
      </x:c>
      <x:c r="P63" s="15" t="str">
        <x:v>2026-02-20 - 1000170276.heic</x:v>
      </x:c>
      <x:c r="Q63" s="15" t="str">
        <x:v>gmail-labour-invoices/2026-02-20/fd1d93a146d7f9a3-2026-02-20 - 1000170276.heic</x:v>
      </x:c>
      <x:c r="R63" s="15" t="str">
        <x:v>fd1d93a146d7f9a3bcc852f97d109c3ec3c466bf6424ff17b9d5372a58b4b8c4</x:v>
      </x:c>
    </x:row>
    <x:row r="64">
      <x:c r="A64" s="31" t="n">
        <x:v>46073</x:v>
      </x:c>
      <x:c r="B64" s="15" t="str">
        <x:v>Abdellah Aouf</x:v>
      </x:c>
      <x:c r="C64" s="15" t="str">
        <x:v>INV-20260128-001</x:v>
      </x:c>
      <x:c r="D64" s="15" t="str">
        <x:v>CAD</x:v>
      </x:c>
      <x:c r="E64" s="32" t="n">
        <x:v>800</x:v>
      </x:c>
      <x:c r="F64" s="32" t="n">
        <x:v>0</x:v>
      </x:c>
      <x:c r="G64" s="32" t="n">
        <x:v>800</x:v>
      </x:c>
      <x:c r="H64" s="15" t="str">
        <x:v>matched_multiple</x:v>
      </x:c>
      <x:c r="I64" s="15" t="str">
        <x:v>invoice</x:v>
      </x:c>
      <x:c r="J64" s="15" t="str">
        <x:v>97255657; 97216872</x:v>
      </x:c>
      <x:c r="K64" s="15" t="str">
        <x:v>Gordon Zans; Tom Benton</x:v>
      </x:c>
      <x:c r="L64" s="15" t="str">
        <x:v>150; 150</x:v>
      </x:c>
      <x:c r="M64" s="15" t="str">
        <x:v>No</x:v>
      </x:c>
      <x:c r="N64" s="15" t="str">
        <x:v>2e73e3f3895dff2d</x:v>
      </x:c>
      <x:c r="O64" s="15" t="n">
        <x:v>2</x:v>
      </x:c>
      <x:c r="P64" s="15" t="str">
        <x:v>2026-02-20 - Invoice Feb 18.pdf</x:v>
      </x:c>
      <x:c r="Q64" s="15" t="str">
        <x:v>gmail-labour-invoices/2026-02-20/e121ad4de0a9ebb8-2026-02-20 - Invoice Feb 18.pdf</x:v>
      </x:c>
      <x:c r="R64" s="15" t="str">
        <x:v>e121ad4de0a9ebb8884380cd4a74977e00e99f50f19976ee21be33f59e7ef5fa</x:v>
      </x:c>
    </x:row>
    <x:row r="65">
      <x:c r="A65" s="31" t="n">
        <x:v>46074</x:v>
      </x:c>
      <x:c r="B65" s="15" t="str">
        <x:v>XDesign Dev Inc</x:v>
      </x:c>
      <x:c r="C65" s="15" t="str">
        <x:v>8524</x:v>
      </x:c>
      <x:c r="D65" s="15" t="str">
        <x:v>CAD</x:v>
      </x:c>
      <x:c r="E65" s="32" t="n">
        <x:v>250</x:v>
      </x:c>
      <x:c r="F65" s="32" t="n">
        <x:v>32.5</x:v>
      </x:c>
      <x:c r="G65" s="32" t="n">
        <x:v>282.5</x:v>
      </x:c>
      <x:c r="H65" s="15" t="str">
        <x:v>unmatched</x:v>
      </x:c>
      <x:c r="I65" s="15" t="str">
        <x:v>invoice</x:v>
      </x:c>
      <x:c r="J65" s="15" t="str"/>
      <x:c r="K65" s="15" t="str"/>
      <x:c r="L65" s="15" t="str"/>
      <x:c r="M65" s="15" t="str">
        <x:v>No</x:v>
      </x:c>
      <x:c r="N65" s="15"/>
      <x:c r="O65" s="15" t="n">
        <x:v>1</x:v>
      </x:c>
      <x:c r="P65" s="15" t="str">
        <x:v>2026-02-21 - Invoice_8524_2026-02-22.pdf</x:v>
      </x:c>
      <x:c r="Q65" s="15" t="str">
        <x:v>gmail-labour-invoices/2026-02-21/140c7c23edc7199d-2026-02-21 - Invoice_8524_2026-02-22.pdf</x:v>
      </x:c>
      <x:c r="R65" s="15" t="str">
        <x:v>140c7c23edc7199d25d43cb9e9f3e46e8928e6d3d3f5b2a65627da610430ce5a</x:v>
      </x:c>
    </x:row>
    <x:row r="66">
      <x:c r="A66" s="31" t="n">
        <x:v>46079</x:v>
      </x:c>
      <x:c r="B66" s="15" t="str">
        <x:v>Polaris Painters</x:v>
      </x:c>
      <x:c r="C66" s="15" t="str">
        <x:v>61</x:v>
      </x:c>
      <x:c r="D66" s="15" t="str">
        <x:v>CAD</x:v>
      </x:c>
      <x:c r="E66" s="32" t="n">
        <x:v>1060</x:v>
      </x:c>
      <x:c r="F66" s="32" t="n">
        <x:v>0</x:v>
      </x:c>
      <x:c r="G66" s="32" t="n">
        <x:v>1060</x:v>
      </x:c>
      <x:c r="H66" s="15" t="str">
        <x:v>matched</x:v>
      </x:c>
      <x:c r="I66" s="15" t="str">
        <x:v>invoice</x:v>
      </x:c>
      <x:c r="J66" s="15" t="str">
        <x:v>98071435</x:v>
      </x:c>
      <x:c r="K66" s="15" t="str">
        <x:v>Courtney Mondoux</x:v>
      </x:c>
      <x:c r="L66" s="15" t="str">
        <x:v>65</x:v>
      </x:c>
      <x:c r="M66" s="15" t="str">
        <x:v>No</x:v>
      </x:c>
      <x:c r="N66" s="15"/>
      <x:c r="O66" s="15" t="n">
        <x:v>1</x:v>
      </x:c>
      <x:c r="P66" s="15" t="str">
        <x:v>2026-02-26 - Hosted - Jobber Invoice 61 - Courtney Mondoux.pdf</x:v>
      </x:c>
      <x:c r="Q66" s="15" t="str">
        <x:v>gmail-labour-invoices/2026-02-26/f9229d8b50ec9c92-2026-02-26 - Hosted - Jobber Invoice 61 - Courtney Mondoux.pdf</x:v>
      </x:c>
      <x:c r="R66" s="15" t="str">
        <x:v>f9229d8b50ec9c92cbba5a3f4cc8c863b19f2b87090aa2c978d1b8474cfd037a</x:v>
      </x:c>
    </x:row>
    <x:row r="67">
      <x:c r="A67" s="31" t="n">
        <x:v>46079</x:v>
      </x:c>
      <x:c r="B67" s="15" t="str">
        <x:v>Polaris Painters</x:v>
      </x:c>
      <x:c r="C67" s="15" t="str">
        <x:v>62</x:v>
      </x:c>
      <x:c r="D67" s="15" t="str">
        <x:v>CAD</x:v>
      </x:c>
      <x:c r="E67" s="32" t="n">
        <x:v>200</x:v>
      </x:c>
      <x:c r="F67" s="32" t="n">
        <x:v>0</x:v>
      </x:c>
      <x:c r="G67" s="32" t="n">
        <x:v>200</x:v>
      </x:c>
      <x:c r="H67" s="15" t="str">
        <x:v>matched</x:v>
      </x:c>
      <x:c r="I67" s="15" t="str">
        <x:v>invoice</x:v>
      </x:c>
      <x:c r="J67" s="15" t="str">
        <x:v>96916023</x:v>
      </x:c>
      <x:c r="K67" s="15" t="str">
        <x:v>Marilyn Hingorani</x:v>
      </x:c>
      <x:c r="L67" s="15" t="str">
        <x:v>65</x:v>
      </x:c>
      <x:c r="M67" s="15" t="str">
        <x:v>No</x:v>
      </x:c>
      <x:c r="N67" s="15"/>
      <x:c r="O67" s="15" t="n">
        <x:v>1</x:v>
      </x:c>
      <x:c r="P67" s="15" t="str">
        <x:v>2026-02-26 - Hosted - Jobber Invoice 62 - Marilyn Hingorani.pdf</x:v>
      </x:c>
      <x:c r="Q67" s="15" t="str">
        <x:v>gmail-labour-invoices/2026-02-26/d37c119f0fc409ec-2026-02-26 - Hosted - Jobber Invoice 62 - Marilyn Hingorani.pdf</x:v>
      </x:c>
      <x:c r="R67" s="15" t="str">
        <x:v>d37c119f0fc409ecf6de8a99450fc69e28a7fdc54b1e1028eb9910d3e45aca72</x:v>
      </x:c>
    </x:row>
    <x:row r="68">
      <x:c r="A68" s="31" t="n">
        <x:v>46083</x:v>
      </x:c>
      <x:c r="B68" s="15" t="str">
        <x:v>Assmaâ Senni</x:v>
      </x:c>
      <x:c r="C68" s="15" t="str">
        <x:v>2026-001</x:v>
      </x:c>
      <x:c r="D68" s="15" t="str">
        <x:v>USD</x:v>
      </x:c>
      <x:c r="E68" s="32" t="n">
        <x:v>276</x:v>
      </x:c>
      <x:c r="F68" s="32" t="n">
        <x:v>0</x:v>
      </x:c>
      <x:c r="G68" s="32" t="n">
        <x:v>276</x:v>
      </x:c>
      <x:c r="H68" s="15" t="str">
        <x:v>overhead_unmatched</x:v>
      </x:c>
      <x:c r="I68" s="15" t="str">
        <x:v>invoice</x:v>
      </x:c>
      <x:c r="J68" s="15" t="str"/>
      <x:c r="K68" s="15" t="str"/>
      <x:c r="L68" s="15" t="str"/>
      <x:c r="M68" s="15" t="str">
        <x:v>No</x:v>
      </x:c>
      <x:c r="N68" s="15"/>
      <x:c r="O68" s="15" t="n">
        <x:v>1</x:v>
      </x:c>
      <x:c r="P68" s="15" t="str">
        <x:v>2026-03-02 - Asmaa senni-INVOICE001.docx</x:v>
      </x:c>
      <x:c r="Q68" s="15" t="str">
        <x:v>gmail-labour-invoices/2026-03-02/1802ad001822872f-2026-03-02 - Asmaa senni-INVOICE001.docx</x:v>
      </x:c>
      <x:c r="R68" s="15" t="str">
        <x:v>1802ad001822872f352fdc61f9a7cc0ced8312579ec1c786aeefb7a1a9979f9e</x:v>
      </x:c>
    </x:row>
    <x:row r="69">
      <x:c r="A69" s="31" t="n">
        <x:v>46083</x:v>
      </x:c>
      <x:c r="B69" s="15" t="str">
        <x:v>Angel Marcelo Cabrera</x:v>
      </x:c>
      <x:c r="C69" s="15" t="str">
        <x:v>3</x:v>
      </x:c>
      <x:c r="D69" s="15" t="str">
        <x:v>CAD</x:v>
      </x:c>
      <x:c r="E69" s="32" t="n">
        <x:v>1728</x:v>
      </x:c>
      <x:c r="F69" s="32" t="n">
        <x:v>0</x:v>
      </x:c>
      <x:c r="G69" s="32" t="n">
        <x:v>1728</x:v>
      </x:c>
      <x:c r="H69" s="15" t="str">
        <x:v>matched</x:v>
      </x:c>
      <x:c r="I69" s="15" t="str">
        <x:v>invoice</x:v>
      </x:c>
      <x:c r="J69" s="15" t="str">
        <x:v>99430054</x:v>
      </x:c>
      <x:c r="K69" s="15" t="str">
        <x:v>Jillian Letts</x:v>
      </x:c>
      <x:c r="L69" s="15" t="str">
        <x:v>85</x:v>
      </x:c>
      <x:c r="M69" s="15" t="str">
        <x:v>No</x:v>
      </x:c>
      <x:c r="N69" s="15" t="str">
        <x:v>441fa0ae6f846cee</x:v>
      </x:c>
      <x:c r="O69" s="15" t="n">
        <x:v>4</x:v>
      </x:c>
      <x:c r="P69" s="15" t="str">
        <x:v>2026-03-02 - Marcelo invoice #3-1.pdf</x:v>
      </x:c>
      <x:c r="Q69" s="15" t="str">
        <x:v>gmail-labour-invoices/2026-03-02/2d6e9d8e0bed733d-2026-03-02 - Marcelo invoice -3-1.pdf</x:v>
      </x:c>
      <x:c r="R69" s="15" t="str">
        <x:v>2d6e9d8e0bed733d220af52c69888af167030a578472aa52c3f8363255c4845c</x:v>
      </x:c>
    </x:row>
    <x:row r="70">
      <x:c r="A70" s="31" t="n">
        <x:v>46083</x:v>
      </x:c>
      <x:c r="B70" s="15" t="str">
        <x:v>Angel Marcelo Cabrera</x:v>
      </x:c>
      <x:c r="C70" s="15" t="str">
        <x:v>3</x:v>
      </x:c>
      <x:c r="D70" s="15" t="str">
        <x:v>CAD</x:v>
      </x:c>
      <x:c r="E70" s="32" t="n">
        <x:v>1728</x:v>
      </x:c>
      <x:c r="F70" s="32" t="n">
        <x:v>0</x:v>
      </x:c>
      <x:c r="G70" s="32" t="n">
        <x:v>1728</x:v>
      </x:c>
      <x:c r="H70" s="15" t="str">
        <x:v>matched_multiple</x:v>
      </x:c>
      <x:c r="I70" s="15" t="str">
        <x:v>invoice</x:v>
      </x:c>
      <x:c r="J70" s="15" t="str">
        <x:v>99430054; 99369940</x:v>
      </x:c>
      <x:c r="K70" s="15" t="str">
        <x:v>Jillian Letts; David Singh</x:v>
      </x:c>
      <x:c r="L70" s="15" t="str">
        <x:v>150; 65</x:v>
      </x:c>
      <x:c r="M70" s="15" t="str">
        <x:v>No</x:v>
      </x:c>
      <x:c r="N70" s="15" t="str">
        <x:v>441fa0ae6f846cee</x:v>
      </x:c>
      <x:c r="O70" s="15" t="n">
        <x:v>4</x:v>
      </x:c>
      <x:c r="P70" s="15" t="str">
        <x:v>2026-03-02 - Marcelo invoice#3.pdf</x:v>
      </x:c>
      <x:c r="Q70" s="15" t="str">
        <x:v>gmail-labour-invoices/2026-03-02/de76860a128e1485-2026-03-02 - Marcelo invoice-3.pdf</x:v>
      </x:c>
      <x:c r="R70" s="15" t="str">
        <x:v>de76860a128e14857c989e6a40e940ab18f4c9c83769bf45f745d013726a5d15</x:v>
      </x:c>
    </x:row>
    <x:row r="71">
      <x:c r="A71" s="31" t="n">
        <x:v>46084</x:v>
      </x:c>
      <x:c r="B71" s="15" t="str">
        <x:v>Abdellah Aouf</x:v>
      </x:c>
      <x:c r="C71" s="15" t="str">
        <x:v>INV-20260302-001</x:v>
      </x:c>
      <x:c r="D71" s="15" t="str">
        <x:v>CAD</x:v>
      </x:c>
      <x:c r="E71" s="32" t="n">
        <x:v>950</x:v>
      </x:c>
      <x:c r="F71" s="32" t="n">
        <x:v>0</x:v>
      </x:c>
      <x:c r="G71" s="32" t="n">
        <x:v>950</x:v>
      </x:c>
      <x:c r="H71" s="15" t="str">
        <x:v>matched_multiple</x:v>
      </x:c>
      <x:c r="I71" s="15" t="str">
        <x:v>invoice</x:v>
      </x:c>
      <x:c r="J71" s="15" t="str">
        <x:v>99430054; 99182464</x:v>
      </x:c>
      <x:c r="K71" s="15" t="str">
        <x:v>Jillian Letts; Kim Johnson</x:v>
      </x:c>
      <x:c r="L71" s="15" t="str">
        <x:v>150; 85</x:v>
      </x:c>
      <x:c r="M71" s="15" t="str">
        <x:v>No</x:v>
      </x:c>
      <x:c r="N71" s="15"/>
      <x:c r="O71" s="15" t="n">
        <x:v>1</x:v>
      </x:c>
      <x:c r="P71" s="15" t="str">
        <x:v>2026-03-03 - INV-20260302-001.pdf</x:v>
      </x:c>
      <x:c r="Q71" s="15" t="str">
        <x:v>gmail-labour-invoices/2026-03-03/2d541ec0a54a2551-2026-03-03 - INV-20260302-001.pdf</x:v>
      </x:c>
      <x:c r="R71" s="15" t="str">
        <x:v>2d541ec0a54a2551993c6fbe7d947be75fe265ea4c2aae63782158a184af9776</x:v>
      </x:c>
    </x:row>
    <x:row r="72">
      <x:c r="A72" s="31" t="n">
        <x:v>46087</x:v>
      </x:c>
      <x:c r="B72" s="15" t="str">
        <x:v>Polaris Painters</x:v>
      </x:c>
      <x:c r="C72" s="15" t="str">
        <x:v>63</x:v>
      </x:c>
      <x:c r="D72" s="15" t="str">
        <x:v>CAD</x:v>
      </x:c>
      <x:c r="E72" s="32" t="n">
        <x:v>700</x:v>
      </x:c>
      <x:c r="F72" s="32" t="n">
        <x:v>0</x:v>
      </x:c>
      <x:c r="G72" s="32" t="n">
        <x:v>700</x:v>
      </x:c>
      <x:c r="H72" s="15" t="str">
        <x:v>matched</x:v>
      </x:c>
      <x:c r="I72" s="15" t="str">
        <x:v>invoice</x:v>
      </x:c>
      <x:c r="J72" s="15" t="str">
        <x:v>99572386</x:v>
      </x:c>
      <x:c r="K72" s="15" t="str">
        <x:v>Claire Colbert</x:v>
      </x:c>
      <x:c r="L72" s="15" t="str">
        <x:v>65</x:v>
      </x:c>
      <x:c r="M72" s="15" t="str">
        <x:v>No</x:v>
      </x:c>
      <x:c r="N72" s="15"/>
      <x:c r="O72" s="15" t="n">
        <x:v>1</x:v>
      </x:c>
      <x:c r="P72" s="15" t="str">
        <x:v>2026-03-06 - Hosted - Jobber Invoice 63 - Claire Colbert.pdf</x:v>
      </x:c>
      <x:c r="Q72" s="15" t="str">
        <x:v>gmail-labour-invoices/2026-03-06/8869cb1c8fb64fe7-2026-03-06 - Hosted - Jobber Invoice 63 - Claire Colbert.pdf</x:v>
      </x:c>
      <x:c r="R72" s="15" t="str">
        <x:v>8869cb1c8fb64fe7801ae08adf2d2be3b98c6ec5112e4c2ffe8b846994499bf2</x:v>
      </x:c>
    </x:row>
    <x:row r="73">
      <x:c r="A73" s="31" t="n">
        <x:v>46087</x:v>
      </x:c>
      <x:c r="B73" s="15" t="str">
        <x:v>Polaris Painters</x:v>
      </x:c>
      <x:c r="C73" s="15" t="str">
        <x:v>64</x:v>
      </x:c>
      <x:c r="D73" s="15" t="str">
        <x:v>CAD</x:v>
      </x:c>
      <x:c r="E73" s="32" t="n">
        <x:v>3450</x:v>
      </x:c>
      <x:c r="F73" s="32" t="n">
        <x:v>0</x:v>
      </x:c>
      <x:c r="G73" s="32" t="n">
        <x:v>3450</x:v>
      </x:c>
      <x:c r="H73" s="15" t="str">
        <x:v>matched</x:v>
      </x:c>
      <x:c r="I73" s="15" t="str">
        <x:v>invoice</x:v>
      </x:c>
      <x:c r="J73" s="15" t="str">
        <x:v>99838215</x:v>
      </x:c>
      <x:c r="K73" s="15" t="str">
        <x:v>Justin Wagar</x:v>
      </x:c>
      <x:c r="L73" s="15" t="str">
        <x:v>150</x:v>
      </x:c>
      <x:c r="M73" s="15" t="str">
        <x:v>No</x:v>
      </x:c>
      <x:c r="N73" s="15"/>
      <x:c r="O73" s="15" t="n">
        <x:v>1</x:v>
      </x:c>
      <x:c r="P73" s="15" t="str">
        <x:v>2026-03-06 - Hosted - Jobber Invoice 64 - Justin Wagar.pdf</x:v>
      </x:c>
      <x:c r="Q73" s="15" t="str">
        <x:v>gmail-labour-invoices/2026-03-06/294d643df31c0018-2026-03-06 - Hosted - Jobber Invoice 64 - Justin Wagar.pdf</x:v>
      </x:c>
      <x:c r="R73" s="15" t="str">
        <x:v>294d643df31c0018d32ce4f5411796f8a625521561aecc2e1f7f90935ba0dfa3</x:v>
      </x:c>
    </x:row>
    <x:row r="74">
      <x:c r="A74" s="31" t="n">
        <x:v>46087</x:v>
      </x:c>
      <x:c r="B74" s="15" t="str">
        <x:v>Caledonian Painting Ltd</x:v>
      </x:c>
      <x:c r="C74" s="15" t="str">
        <x:v>1</x:v>
      </x:c>
      <x:c r="D74" s="15" t="str">
        <x:v>CAD</x:v>
      </x:c>
      <x:c r="E74" s="32" t="n">
        <x:v>7525.65</x:v>
      </x:c>
      <x:c r="F74" s="32" t="n">
        <x:v>888.82</x:v>
      </x:c>
      <x:c r="G74" s="32" t="n">
        <x:v>8414.47</x:v>
      </x:c>
      <x:c r="H74" s="15" t="str">
        <x:v>matched_multiple</x:v>
      </x:c>
      <x:c r="I74" s="15" t="str">
        <x:v>receipt</x:v>
      </x:c>
      <x:c r="J74" s="15" t="str">
        <x:v>98940036; 96869012; 98421832</x:v>
      </x:c>
      <x:c r="K74" s="15" t="str">
        <x:v>Katie Kobia; Natasha Kawam; Shawn Myers</x:v>
      </x:c>
      <x:c r="L74" s="15" t="str">
        <x:v>65; 65; 65</x:v>
      </x:c>
      <x:c r="M74" s="15" t="str">
        <x:v>No</x:v>
      </x:c>
      <x:c r="N74" s="15"/>
      <x:c r="O74" s="15" t="n">
        <x:v>1</x:v>
      </x:c>
      <x:c r="P74" s="15" t="str">
        <x:v>2026-03-06 - Invoice #1.pdf</x:v>
      </x:c>
      <x:c r="Q74" s="15" t="str">
        <x:v>gmail-labour-invoices/2026-03-06/abcf634efcd01df1-2026-03-06 - Invoice -1.pdf</x:v>
      </x:c>
      <x:c r="R74" s="15" t="str">
        <x:v>abcf634efcd01df1099eb6baa3b2a1387aa4bb12cad523a26ba39eb7447fe220</x:v>
      </x:c>
    </x:row>
    <x:row r="75">
      <x:c r="A75" s="31" t="n">
        <x:v>46087</x:v>
      </x:c>
      <x:c r="B75" s="15" t="str">
        <x:v>Niels Aschengreen</x:v>
      </x:c>
      <x:c r="C75" s="15" t="str">
        <x:v>20260306</x:v>
      </x:c>
      <x:c r="D75" s="15" t="str">
        <x:v>CAD</x:v>
      </x:c>
      <x:c r="E75" s="32" t="n">
        <x:v>672</x:v>
      </x:c>
      <x:c r="F75" s="32" t="n">
        <x:v>0</x:v>
      </x:c>
      <x:c r="G75" s="32" t="n">
        <x:v>672</x:v>
      </x:c>
      <x:c r="H75" s="15" t="str">
        <x:v>matched_multiple</x:v>
      </x:c>
      <x:c r="I75" s="15" t="str">
        <x:v>invoice</x:v>
      </x:c>
      <x:c r="J75" s="15" t="str">
        <x:v>99786158; 99905376</x:v>
      </x:c>
      <x:c r="K75" s="15" t="str">
        <x:v>Krista Colwell; Sukaina Okorofsky</x:v>
      </x:c>
      <x:c r="L75" s="15" t="str">
        <x:v>85; 85</x:v>
      </x:c>
      <x:c r="M75" s="15" t="str">
        <x:v>No</x:v>
      </x:c>
      <x:c r="N75" s="15"/>
      <x:c r="O75" s="15" t="n">
        <x:v>1</x:v>
      </x:c>
      <x:c r="P75" s="15" t="str">
        <x:v>2026-03-06 - Invoice 1.docx</x:v>
      </x:c>
      <x:c r="Q75" s="15" t="str">
        <x:v>gmail-labour-invoices/2026-03-06/cead04be1c88901a-2026-03-06 - Invoice 1.docx</x:v>
      </x:c>
      <x:c r="R75" s="15" t="str">
        <x:v>cead04be1c88901a23c82d65802160b998cbb0b064687434e9f05d419068db19</x:v>
      </x:c>
    </x:row>
    <x:row r="76">
      <x:c r="A76" s="31" t="n">
        <x:v>46087</x:v>
      </x:c>
      <x:c r="B76" s="15" t="str">
        <x:v>Angel Marcelo Cabrera</x:v>
      </x:c>
      <x:c r="C76" s="15" t="str">
        <x:v>3</x:v>
      </x:c>
      <x:c r="D76" s="15" t="str">
        <x:v>CAD</x:v>
      </x:c>
      <x:c r="E76" s="32" t="n">
        <x:v>1275</x:v>
      </x:c>
      <x:c r="F76" s="32" t="n">
        <x:v>0</x:v>
      </x:c>
      <x:c r="G76" s="32" t="n">
        <x:v>1275</x:v>
      </x:c>
      <x:c r="H76" s="15" t="str">
        <x:v>matched_multiple</x:v>
      </x:c>
      <x:c r="I76" s="15" t="str">
        <x:v>invoice</x:v>
      </x:c>
      <x:c r="J76" s="15" t="str">
        <x:v>99786158; 99905376</x:v>
      </x:c>
      <x:c r="K76" s="15" t="str">
        <x:v>Krista Colwell; Sukaina Okorofsky</x:v>
      </x:c>
      <x:c r="L76" s="15" t="str">
        <x:v>150; 150</x:v>
      </x:c>
      <x:c r="M76" s="15" t="str">
        <x:v>No</x:v>
      </x:c>
      <x:c r="N76" s="15" t="str">
        <x:v>441fa0ae6f846cee</x:v>
      </x:c>
      <x:c r="O76" s="15" t="n">
        <x:v>4</x:v>
      </x:c>
      <x:c r="P76" s="15" t="str">
        <x:v>2026-03-06 - Marcelo invoice#3-1.pdf</x:v>
      </x:c>
      <x:c r="Q76" s="15" t="str">
        <x:v>gmail-labour-invoices/2026-03-06/3aa9ef31091ecf6f-2026-03-06 - Marcelo invoice-3-1.pdf</x:v>
      </x:c>
      <x:c r="R76" s="15" t="str">
        <x:v>3aa9ef31091ecf6f848ba9a690f2a6f45033b528ccddd20db9c85d2ff902d439</x:v>
      </x:c>
    </x:row>
    <x:row r="77">
      <x:c r="A77" s="31" t="n">
        <x:v>46091</x:v>
      </x:c>
      <x:c r="B77" s="15" t="str">
        <x:v>Polaris Painters</x:v>
      </x:c>
      <x:c r="C77" s="15" t="str">
        <x:v>65</x:v>
      </x:c>
      <x:c r="D77" s="15" t="str">
        <x:v>CAD</x:v>
      </x:c>
      <x:c r="E77" s="32" t="n">
        <x:v>2000</x:v>
      </x:c>
      <x:c r="F77" s="32" t="n">
        <x:v>0</x:v>
      </x:c>
      <x:c r="G77" s="32" t="n">
        <x:v>2000</x:v>
      </x:c>
      <x:c r="H77" s="15" t="str">
        <x:v>matched</x:v>
      </x:c>
      <x:c r="I77" s="15" t="str">
        <x:v>invoice</x:v>
      </x:c>
      <x:c r="J77" s="15" t="str">
        <x:v>98232792</x:v>
      </x:c>
      <x:c r="K77" s="15" t="str">
        <x:v>Debbie Byrnes</x:v>
      </x:c>
      <x:c r="L77" s="15" t="str">
        <x:v>65</x:v>
      </x:c>
      <x:c r="M77" s="15" t="str">
        <x:v>No</x:v>
      </x:c>
      <x:c r="N77" s="15"/>
      <x:c r="O77" s="15" t="n">
        <x:v>1</x:v>
      </x:c>
      <x:c r="P77" s="15" t="str">
        <x:v>2026-03-10 - Hosted - Jobber Invoice 65 - Debbie Byrnes.pdf</x:v>
      </x:c>
      <x:c r="Q77" s="15" t="str">
        <x:v>gmail-labour-invoices/2026-03-10/6a019157e49fae34-2026-03-10 - Hosted - Jobber Invoice 65 - Debbie Byrnes.pdf</x:v>
      </x:c>
      <x:c r="R77" s="15" t="str">
        <x:v>6a019157e49fae34eb91cf3d7dda2f440f56665f08f5d122ef2b4101c44b075a</x:v>
      </x:c>
    </x:row>
    <x:row r="78">
      <x:c r="A78" s="31" t="n">
        <x:v>46091</x:v>
      </x:c>
      <x:c r="B78" s="15" t="str">
        <x:v>Assmaâ Senni</x:v>
      </x:c>
      <x:c r="C78" s="15" t="str">
        <x:v>2026-002</x:v>
      </x:c>
      <x:c r="D78" s="15" t="str">
        <x:v>USD</x:v>
      </x:c>
      <x:c r="E78" s="32" t="n">
        <x:v>270</x:v>
      </x:c>
      <x:c r="F78" s="32" t="n">
        <x:v>0</x:v>
      </x:c>
      <x:c r="G78" s="32" t="n">
        <x:v>270</x:v>
      </x:c>
      <x:c r="H78" s="15" t="str">
        <x:v>overhead_unmatched</x:v>
      </x:c>
      <x:c r="I78" s="15" t="str">
        <x:v>invoice</x:v>
      </x:c>
      <x:c r="J78" s="15" t="str"/>
      <x:c r="K78" s="15" t="str"/>
      <x:c r="L78" s="15" t="str"/>
      <x:c r="M78" s="15" t="str">
        <x:v>No</x:v>
      </x:c>
      <x:c r="N78" s="15"/>
      <x:c r="O78" s="15" t="n">
        <x:v>1</x:v>
      </x:c>
      <x:c r="P78" s="15" t="str">
        <x:v>2026-03-10 - Invoice_2026-002.docx</x:v>
      </x:c>
      <x:c r="Q78" s="15" t="str">
        <x:v>gmail-labour-invoices/2026-03-10/7d26b3c2c79bea7e-2026-03-10 - Invoice_2026-002.docx</x:v>
      </x:c>
      <x:c r="R78" s="15" t="str">
        <x:v>7d26b3c2c79bea7ed4447737f63e92f8a511d5e312af1006de494b497e539234</x:v>
      </x:c>
    </x:row>
    <x:row r="79">
      <x:c r="A79" s="31" t="n">
        <x:v>46092</x:v>
      </x:c>
      <x:c r="B79" s="15" t="str">
        <x:v>Niels Aschengreen</x:v>
      </x:c>
      <x:c r="C79" s="15" t="str">
        <x:v>20260311</x:v>
      </x:c>
      <x:c r="D79" s="15" t="str">
        <x:v>CAD</x:v>
      </x:c>
      <x:c r="E79" s="32" t="n">
        <x:v>459</x:v>
      </x:c>
      <x:c r="F79" s="32" t="n">
        <x:v>0</x:v>
      </x:c>
      <x:c r="G79" s="32" t="n">
        <x:v>459</x:v>
      </x:c>
      <x:c r="H79" s="15" t="str">
        <x:v>unmatched</x:v>
      </x:c>
      <x:c r="I79" s="15" t="str">
        <x:v>invoice</x:v>
      </x:c>
      <x:c r="J79" s="15" t="str"/>
      <x:c r="K79" s="15" t="str"/>
      <x:c r="L79" s="15" t="str"/>
      <x:c r="M79" s="15" t="str">
        <x:v>No</x:v>
      </x:c>
      <x:c r="N79" s="15"/>
      <x:c r="O79" s="15" t="n">
        <x:v>1</x:v>
      </x:c>
      <x:c r="P79" s="15" t="str">
        <x:v>2026-03-11 - Invoice 2.docx</x:v>
      </x:c>
      <x:c r="Q79" s="15" t="str">
        <x:v>gmail-labour-invoices/2026-03-11/974dbee6707918fb-2026-03-11 - Invoice 2.docx</x:v>
      </x:c>
      <x:c r="R79" s="15" t="str">
        <x:v>974dbee6707918fbc3d0d06a7b08261fadb6d52b98dcf1eedb1b3d6165a17bc5</x:v>
      </x:c>
    </x:row>
    <x:row r="80">
      <x:c r="A80" s="31" t="n">
        <x:v>46092</x:v>
      </x:c>
      <x:c r="B80" s="15" t="str">
        <x:v>Angel Marcelo Cabrera</x:v>
      </x:c>
      <x:c r="C80" s="15" t="str">
        <x:v>3</x:v>
      </x:c>
      <x:c r="D80" s="15" t="str">
        <x:v>CAD</x:v>
      </x:c>
      <x:c r="E80" s="32" t="n">
        <x:v>646.88</x:v>
      </x:c>
      <x:c r="F80" s="32" t="n">
        <x:v>0</x:v>
      </x:c>
      <x:c r="G80" s="32" t="n">
        <x:v>646.88</x:v>
      </x:c>
      <x:c r="H80" s="15" t="str">
        <x:v>matched</x:v>
      </x:c>
      <x:c r="I80" s="15" t="str">
        <x:v>invoice</x:v>
      </x:c>
      <x:c r="J80" s="15" t="str">
        <x:v>98894646</x:v>
      </x:c>
      <x:c r="K80" s="15" t="str">
        <x:v>Gregg Alexander</x:v>
      </x:c>
      <x:c r="L80" s="15" t="str">
        <x:v>147</x:v>
      </x:c>
      <x:c r="M80" s="15" t="str">
        <x:v>No</x:v>
      </x:c>
      <x:c r="N80" s="15" t="str">
        <x:v>441fa0ae6f846cee</x:v>
      </x:c>
      <x:c r="O80" s="15" t="n">
        <x:v>4</x:v>
      </x:c>
      <x:c r="P80" s="15" t="str">
        <x:v>2026-03-11 - Marcelo invoice#4.pdf</x:v>
      </x:c>
      <x:c r="Q80" s="15" t="str">
        <x:v>gmail-labour-invoices/2026-03-11/d8d3322a6bb32801-2026-03-11 - Marcelo invoice-4.pdf</x:v>
      </x:c>
      <x:c r="R80" s="15" t="str">
        <x:v>d8d3322a6bb328017845b8f17093e006b026ce29b3fb8321648a3915975a3cea</x:v>
      </x:c>
    </x:row>
    <x:row r="81">
      <x:c r="A81" s="31" t="n">
        <x:v>46096</x:v>
      </x:c>
      <x:c r="B81" s="15" t="str">
        <x:v>Premium Coat</x:v>
      </x:c>
      <x:c r="C81" s="15" t="str">
        <x:v>FM-143</x:v>
      </x:c>
      <x:c r="D81" s="15" t="str">
        <x:v>CAD</x:v>
      </x:c>
      <x:c r="E81" s="32" t="n">
        <x:v>1700</x:v>
      </x:c>
      <x:c r="F81" s="32" t="n">
        <x:v>221</x:v>
      </x:c>
      <x:c r="G81" s="32" t="n">
        <x:v>1921</x:v>
      </x:c>
      <x:c r="H81" s="15" t="str">
        <x:v>matched</x:v>
      </x:c>
      <x:c r="I81" s="15" t="str">
        <x:v>invoice</x:v>
      </x:c>
      <x:c r="J81" s="15" t="str">
        <x:v>100176009</x:v>
      </x:c>
      <x:c r="K81" s="15" t="str">
        <x:v>Angela Bilmer</x:v>
      </x:c>
      <x:c r="L81" s="15" t="str">
        <x:v>150</x:v>
      </x:c>
      <x:c r="M81" s="15" t="str">
        <x:v>No</x:v>
      </x:c>
      <x:c r="N81" s="15"/>
      <x:c r="O81" s="15" t="n">
        <x:v>1</x:v>
      </x:c>
      <x:c r="P81" s="15" t="str">
        <x:v>2026-03-15 - FM-143 Premium Coat.pdf</x:v>
      </x:c>
      <x:c r="Q81" s="15" t="str">
        <x:v>gmail-labour-invoices/2026-03-15/158916d1bbb47150-2026-03-15 - FM-143 Premium Coat.pdf</x:v>
      </x:c>
      <x:c r="R81" s="15" t="str">
        <x:v>158916d1bbb4715020bec0348336eee6283aa29e21a57278b20fa83db703c584</x:v>
      </x:c>
    </x:row>
    <x:row r="82">
      <x:c r="A82" s="31" t="n">
        <x:v>46097</x:v>
      </x:c>
      <x:c r="B82" s="15" t="str">
        <x:v>Abdellah Aouf</x:v>
      </x:c>
      <x:c r="C82" s="15" t="str">
        <x:v>INV-20260316-001</x:v>
      </x:c>
      <x:c r="D82" s="15" t="str">
        <x:v>CAD</x:v>
      </x:c>
      <x:c r="E82" s="32" t="n">
        <x:v>912.59</x:v>
      </x:c>
      <x:c r="F82" s="32" t="n">
        <x:v>0</x:v>
      </x:c>
      <x:c r="G82" s="32" t="n">
        <x:v>912.59</x:v>
      </x:c>
      <x:c r="H82" s="15" t="str">
        <x:v>matched_multiple</x:v>
      </x:c>
      <x:c r="I82" s="15" t="str">
        <x:v>invoice</x:v>
      </x:c>
      <x:c r="J82" s="15" t="str">
        <x:v>98894646; 98236994</x:v>
      </x:c>
      <x:c r="K82" s="15" t="str">
        <x:v>Gregg Alexander; Libby Boulianne</x:v>
      </x:c>
      <x:c r="L82" s="15" t="str">
        <x:v>87; 85</x:v>
      </x:c>
      <x:c r="M82" s="15" t="str">
        <x:v>No</x:v>
      </x:c>
      <x:c r="N82" s="15"/>
      <x:c r="O82" s="15" t="n">
        <x:v>1</x:v>
      </x:c>
      <x:c r="P82" s="15" t="str">
        <x:v>2026-03-16 - INV-20260316-001.pdf</x:v>
      </x:c>
      <x:c r="Q82" s="15" t="str">
        <x:v>gmail-labour-invoices/2026-03-16/3ef9998822dbfbf6-2026-03-16 - INV-20260316-001.pdf</x:v>
      </x:c>
      <x:c r="R82" s="15" t="str">
        <x:v>3ef9998822dbfbf6f828301dd52d5c565ccdd906137b053b5dda599e85c9f0db</x:v>
      </x:c>
    </x:row>
    <x:row r="83">
      <x:c r="A83" s="31" t="n">
        <x:v>46097</x:v>
      </x:c>
      <x:c r="B83" s="15" t="str">
        <x:v>Angel Marcelo Cabrera</x:v>
      </x:c>
      <x:c r="C83" s="15" t="str">
        <x:v>5</x:v>
      </x:c>
      <x:c r="D83" s="15" t="str">
        <x:v>CAD</x:v>
      </x:c>
      <x:c r="E83" s="32" t="n">
        <x:v>975</x:v>
      </x:c>
      <x:c r="F83" s="32" t="n">
        <x:v>0</x:v>
      </x:c>
      <x:c r="G83" s="32" t="n">
        <x:v>975</x:v>
      </x:c>
      <x:c r="H83" s="15" t="str">
        <x:v>matched_multiple</x:v>
      </x:c>
      <x:c r="I83" s="15" t="str">
        <x:v>invoice</x:v>
      </x:c>
      <x:c r="J83" s="15" t="str">
        <x:v>98894646; 98236994</x:v>
      </x:c>
      <x:c r="K83" s="15" t="str">
        <x:v>Gregg Alexander; Libby Boulianne</x:v>
      </x:c>
      <x:c r="L83" s="15" t="str">
        <x:v>147; 85</x:v>
      </x:c>
      <x:c r="M83" s="15" t="str">
        <x:v>No</x:v>
      </x:c>
      <x:c r="N83" s="15"/>
      <x:c r="O83" s="15" t="n">
        <x:v>1</x:v>
      </x:c>
      <x:c r="P83" s="15" t="str">
        <x:v>2026-03-16 - Marcelo invoice#4.pdf</x:v>
      </x:c>
      <x:c r="Q83" s="15" t="str">
        <x:v>gmail-labour-invoices/2026-03-16/bd209befad7570c5-2026-03-16 - Marcelo invoice-4.pdf</x:v>
      </x:c>
      <x:c r="R83" s="15" t="str">
        <x:v>bd209befad7570c563b9e9ba73757927616ec010fe3b86052fe143e8018668df</x:v>
      </x:c>
    </x:row>
    <x:row r="84">
      <x:c r="A84" s="31" t="n">
        <x:v>46098</x:v>
      </x:c>
      <x:c r="B84" s="15" t="str">
        <x:v>Assmaâ Senni</x:v>
      </x:c>
      <x:c r="C84" s="15" t="str">
        <x:v>2026-003</x:v>
      </x:c>
      <x:c r="D84" s="15" t="str">
        <x:v>USD</x:v>
      </x:c>
      <x:c r="E84" s="32" t="n">
        <x:v>268</x:v>
      </x:c>
      <x:c r="F84" s="32" t="n">
        <x:v>0</x:v>
      </x:c>
      <x:c r="G84" s="32" t="n">
        <x:v>268</x:v>
      </x:c>
      <x:c r="H84" s="15" t="str">
        <x:v>overhead_unmatched</x:v>
      </x:c>
      <x:c r="I84" s="15" t="str">
        <x:v>invoice</x:v>
      </x:c>
      <x:c r="J84" s="15" t="str"/>
      <x:c r="K84" s="15" t="str"/>
      <x:c r="L84" s="15" t="str"/>
      <x:c r="M84" s="15" t="str">
        <x:v>No</x:v>
      </x:c>
      <x:c r="N84" s="15"/>
      <x:c r="O84" s="15" t="n">
        <x:v>1</x:v>
      </x:c>
      <x:c r="P84" s="15" t="str">
        <x:v>2026-03-17 - Invoice_2026-003.docx</x:v>
      </x:c>
      <x:c r="Q84" s="15" t="str">
        <x:v>gmail-labour-invoices/2026-03-17/f6f0123d3be59b19-2026-03-17 - Invoice_2026-003.docx</x:v>
      </x:c>
      <x:c r="R84" s="15" t="str">
        <x:v>f6f0123d3be59b19b014d0d0d421fd52d520d913a77024ffab8e32265da85864</x:v>
      </x:c>
    </x:row>
    <x:row r="85">
      <x:c r="A85" s="31" t="n">
        <x:v>46100</x:v>
      </x:c>
      <x:c r="B85" s="15" t="str">
        <x:v>Premium Coat</x:v>
      </x:c>
      <x:c r="C85" s="15" t="str">
        <x:v>FILE-72089F5FA899</x:v>
      </x:c>
      <x:c r="D85" s="15" t="str">
        <x:v>CAD</x:v>
      </x:c>
      <x:c r="E85" s="32"/>
      <x:c r="F85" s="32"/>
      <x:c r="G85" s="32"/>
      <x:c r="H85" s="15" t="str">
        <x:v>not_invoice</x:v>
      </x:c>
      <x:c r="I85" s="15" t="str">
        <x:v>not_invoice</x:v>
      </x:c>
      <x:c r="J85" s="15" t="str"/>
      <x:c r="K85" s="15" t="str"/>
      <x:c r="L85" s="15" t="str"/>
      <x:c r="M85" s="15" t="str">
        <x:v>No</x:v>
      </x:c>
      <x:c r="N85" s="15"/>
      <x:c r="O85" s="15" t="n">
        <x:v>1</x:v>
      </x:c>
      <x:c r="P85" s="15" t="str">
        <x:v>2026-03-19 - PREMIUM COAT - Portafolio (1).pdf</x:v>
      </x:c>
      <x:c r="Q85" s="15" t="str">
        <x:v>gmail-labour-invoices/2026-03-19/72089f5fa899b9f6-2026-03-19 - PREMIUM COAT - Portafolio (1).pdf</x:v>
      </x:c>
      <x:c r="R85" s="15" t="str">
        <x:v>72089f5fa899b9f6d3142afe7940296a2db616f89653b322e5086f684710b506</x:v>
      </x:c>
    </x:row>
    <x:row r="86">
      <x:c r="A86" s="31" t="n">
        <x:v>46101</x:v>
      </x:c>
      <x:c r="B86" s="15" t="str">
        <x:v>XDesign Dev Inc</x:v>
      </x:c>
      <x:c r="C86" s="15" t="str">
        <x:v>8553</x:v>
      </x:c>
      <x:c r="D86" s="15" t="str">
        <x:v>CAD</x:v>
      </x:c>
      <x:c r="E86" s="32" t="n">
        <x:v>390</x:v>
      </x:c>
      <x:c r="F86" s="32" t="n">
        <x:v>50.7</x:v>
      </x:c>
      <x:c r="G86" s="32" t="n">
        <x:v>440.7</x:v>
      </x:c>
      <x:c r="H86" s="15" t="str">
        <x:v>matched</x:v>
      </x:c>
      <x:c r="I86" s="15" t="str">
        <x:v>invoice</x:v>
      </x:c>
      <x:c r="J86" s="15" t="str">
        <x:v>100297966</x:v>
      </x:c>
      <x:c r="K86" s="15" t="str">
        <x:v>Mike Keillor</x:v>
      </x:c>
      <x:c r="L86" s="15" t="str">
        <x:v>150</x:v>
      </x:c>
      <x:c r="M86" s="15" t="str">
        <x:v>No</x:v>
      </x:c>
      <x:c r="N86" s="15"/>
      <x:c r="O86" s="15" t="n">
        <x:v>1</x:v>
      </x:c>
      <x:c r="P86" s="15" t="str">
        <x:v>2026-03-20 - Hosted - Invoice_8553_2026-03-23.pdf</x:v>
      </x:c>
      <x:c r="Q86" s="15" t="str">
        <x:v>gmail-labour-invoices/2026-03-20/29cd79ac662b4985-2026-03-20 - Hosted - Invoice_8553_2026-03-23.pdf</x:v>
      </x:c>
      <x:c r="R86" s="15" t="str">
        <x:v>29cd79ac662b4985448059799a9fc63cd3f5b85d814df1cb872d76dc0d1c1069</x:v>
      </x:c>
    </x:row>
    <x:row r="87">
      <x:c r="A87" s="31" t="n">
        <x:v>46102</x:v>
      </x:c>
      <x:c r="B87" s="15" t="str">
        <x:v>Premium Coat</x:v>
      </x:c>
      <x:c r="C87" s="15" t="str">
        <x:v>FM-149</x:v>
      </x:c>
      <x:c r="D87" s="15" t="str">
        <x:v>CAD</x:v>
      </x:c>
      <x:c r="E87" s="32" t="n">
        <x:v>6400.17</x:v>
      </x:c>
      <x:c r="F87" s="32" t="n">
        <x:v>832.02</x:v>
      </x:c>
      <x:c r="G87" s="32" t="n">
        <x:v>7232.19</x:v>
      </x:c>
      <x:c r="H87" s="15" t="str">
        <x:v>matched</x:v>
      </x:c>
      <x:c r="I87" s="15" t="str">
        <x:v>receipt</x:v>
      </x:c>
      <x:c r="J87" s="15" t="str">
        <x:v>97577862</x:v>
      </x:c>
      <x:c r="K87" s="15" t="str">
        <x:v>Laura Van Cleef</x:v>
      </x:c>
      <x:c r="L87" s="15" t="str">
        <x:v>150</x:v>
      </x:c>
      <x:c r="M87" s="15" t="str">
        <x:v>No</x:v>
      </x:c>
      <x:c r="N87" s="15"/>
      <x:c r="O87" s="15" t="n">
        <x:v>1</x:v>
      </x:c>
      <x:c r="P87" s="15" t="str">
        <x:v>2026-03-21 - FM-149 Premium Coat.pdf</x:v>
      </x:c>
      <x:c r="Q87" s="15" t="str">
        <x:v>gmail-labour-invoices/2026-03-21/41262f5af2f1b319-2026-03-21 - FM-149 Premium Coat.pdf</x:v>
      </x:c>
      <x:c r="R87" s="15" t="str">
        <x:v>41262f5af2f1b3195ac92d974f6a81a238fbec3988d1495174c7f4dc68b74113</x:v>
      </x:c>
    </x:row>
    <x:row r="88">
      <x:c r="A88" s="31" t="n">
        <x:v>46102</x:v>
      </x:c>
      <x:c r="B88" s="15" t="str">
        <x:v>Polaris Painters</x:v>
      </x:c>
      <x:c r="C88" s="15" t="str">
        <x:v>66</x:v>
      </x:c>
      <x:c r="D88" s="15" t="str">
        <x:v>CAD</x:v>
      </x:c>
      <x:c r="E88" s="32" t="n">
        <x:v>1500</x:v>
      </x:c>
      <x:c r="F88" s="32" t="n">
        <x:v>0</x:v>
      </x:c>
      <x:c r="G88" s="32" t="n">
        <x:v>1500</x:v>
      </x:c>
      <x:c r="H88" s="15" t="str">
        <x:v>matched</x:v>
      </x:c>
      <x:c r="I88" s="15" t="str">
        <x:v>invoice</x:v>
      </x:c>
      <x:c r="J88" s="15" t="str">
        <x:v>100183834</x:v>
      </x:c>
      <x:c r="K88" s="15" t="str">
        <x:v>Darko Cugalj</x:v>
      </x:c>
      <x:c r="L88" s="15" t="str">
        <x:v>85</x:v>
      </x:c>
      <x:c r="M88" s="15" t="str">
        <x:v>No</x:v>
      </x:c>
      <x:c r="N88" s="15"/>
      <x:c r="O88" s="15" t="n">
        <x:v>1</x:v>
      </x:c>
      <x:c r="P88" s="15" t="str">
        <x:v>2026-03-21 - Hosted - Jobber Invoice 66 - Darko.pdf</x:v>
      </x:c>
      <x:c r="Q88" s="15" t="str">
        <x:v>gmail-labour-invoices/2026-03-21/a39ba9e4ffa97cf7-2026-03-21 - Hosted - Jobber Invoice 66 - Darko.pdf</x:v>
      </x:c>
      <x:c r="R88" s="15" t="str">
        <x:v>a39ba9e4ffa97cf76d76f11aa13f090385f8dc80ec81d3b2ec1ccf28b2565ea1</x:v>
      </x:c>
    </x:row>
    <x:row r="89">
      <x:c r="A89" s="31" t="n">
        <x:v>46102</x:v>
      </x:c>
      <x:c r="B89" s="15" t="str">
        <x:v>Premium Coat</x:v>
      </x:c>
      <x:c r="C89" s="15" t="str">
        <x:v>31467</x:v>
      </x:c>
      <x:c r="D89" s="15" t="str">
        <x:v>CAD</x:v>
      </x:c>
      <x:c r="E89" s="32"/>
      <x:c r="F89" s="32"/>
      <x:c r="G89" s="32"/>
      <x:c r="H89" s="15" t="str">
        <x:v>unmatched</x:v>
      </x:c>
      <x:c r="I89" s="15" t="str">
        <x:v>receipt</x:v>
      </x:c>
      <x:c r="J89" s="15" t="str"/>
      <x:c r="K89" s="15" t="str"/>
      <x:c r="L89" s="15" t="str"/>
      <x:c r="M89" s="15" t="str">
        <x:v>No</x:v>
      </x:c>
      <x:c r="N89" s="15"/>
      <x:c r="O89" s="15" t="n">
        <x:v>1</x:v>
      </x:c>
      <x:c r="P89" s="15" t="str">
        <x:v>2026-03-21 - Invoice_31467 Materials P61. REIMBURSEMENT.pdf</x:v>
      </x:c>
      <x:c r="Q89" s="15" t="str">
        <x:v>gmail-labour-invoices/2026-03-21/5474b6c2673d4376-2026-03-21 - Invoice_31467 Materials P61. REIMBURSEMENT.pdf</x:v>
      </x:c>
      <x:c r="R89" s="15" t="str">
        <x:v>5474b6c2673d43761b66db1450ff542aa27c3c21908c660c61a5870f85a19d1e</x:v>
      </x:c>
    </x:row>
    <x:row r="90">
      <x:c r="A90" s="31" t="n">
        <x:v>46102</x:v>
      </x:c>
      <x:c r="B90" s="15" t="str">
        <x:v>Premium Coat</x:v>
      </x:c>
      <x:c r="C90" s="15" t="str">
        <x:v>88024</x:v>
      </x:c>
      <x:c r="D90" s="15" t="str">
        <x:v>CAD</x:v>
      </x:c>
      <x:c r="E90" s="32"/>
      <x:c r="F90" s="32"/>
      <x:c r="G90" s="32"/>
      <x:c r="H90" s="15" t="str">
        <x:v>unmatched</x:v>
      </x:c>
      <x:c r="I90" s="15" t="str">
        <x:v>receipt</x:v>
      </x:c>
      <x:c r="J90" s="15" t="str"/>
      <x:c r="K90" s="15" t="str"/>
      <x:c r="L90" s="15" t="str"/>
      <x:c r="M90" s="15" t="str">
        <x:v>No</x:v>
      </x:c>
      <x:c r="N90" s="15"/>
      <x:c r="O90" s="15" t="n">
        <x:v>1</x:v>
      </x:c>
      <x:c r="P90" s="15" t="str">
        <x:v>2026-03-21 - Invoice_88024 Materials Reimbursement Ottawa Painters P61..pdf</x:v>
      </x:c>
      <x:c r="Q90" s="15" t="str">
        <x:v>gmail-labour-invoices/2026-03-21/59f1171d73b44b4d-2026-03-21 - Invoice_88024 Materials Reimbursement Ottawa Painters P61..pdf</x:v>
      </x:c>
      <x:c r="R90" s="15" t="str">
        <x:v>59f1171d73b44b4df656243b0eefa6f7a7f3beb96d62b1c7c9c0c8d1df6a1044</x:v>
      </x:c>
    </x:row>
    <x:row r="91">
      <x:c r="A91" s="31" t="n">
        <x:v>46104</x:v>
      </x:c>
      <x:c r="B91" s="15" t="str">
        <x:v>Angel Marcelo Cabrera</x:v>
      </x:c>
      <x:c r="C91" s="15" t="str">
        <x:v>6</x:v>
      </x:c>
      <x:c r="D91" s="15" t="str">
        <x:v>CAD</x:v>
      </x:c>
      <x:c r="E91" s="32" t="n">
        <x:v>1575</x:v>
      </x:c>
      <x:c r="F91" s="32" t="n">
        <x:v>0</x:v>
      </x:c>
      <x:c r="G91" s="32" t="n">
        <x:v>1575</x:v>
      </x:c>
      <x:c r="H91" s="15" t="str">
        <x:v>matched</x:v>
      </x:c>
      <x:c r="I91" s="15" t="str">
        <x:v>invoice</x:v>
      </x:c>
      <x:c r="J91" s="15" t="str">
        <x:v>96695216</x:v>
      </x:c>
      <x:c r="K91" s="15" t="str">
        <x:v>Noah Rossman</x:v>
      </x:c>
      <x:c r="L91" s="15" t="str">
        <x:v>65</x:v>
      </x:c>
      <x:c r="M91" s="15" t="str">
        <x:v>No</x:v>
      </x:c>
      <x:c r="N91" s="15"/>
      <x:c r="O91" s="15" t="n">
        <x:v>1</x:v>
      </x:c>
      <x:c r="P91" s="15" t="str">
        <x:v>2026-03-23 - Marcelo invoice#6.pdf</x:v>
      </x:c>
      <x:c r="Q91" s="15" t="str">
        <x:v>gmail-labour-invoices/2026-03-23/5ac8ca0fec10121e-2026-03-23 - Marcelo invoice-6.pdf</x:v>
      </x:c>
      <x:c r="R91" s="15" t="str">
        <x:v>5ac8ca0fec10121e5512379ec8b45978b4aa05ed99662d068050084773540ad2</x:v>
      </x:c>
    </x:row>
    <x:row r="92">
      <x:c r="A92" s="31" t="n">
        <x:v>46106</x:v>
      </x:c>
      <x:c r="B92" s="15" t="str">
        <x:v>Scott Bertin</x:v>
      </x:c>
      <x:c r="C92" s="15" t="str">
        <x:v>1</x:v>
      </x:c>
      <x:c r="D92" s="15" t="str">
        <x:v>CAD</x:v>
      </x:c>
      <x:c r="E92" s="32" t="n">
        <x:v>1980</x:v>
      </x:c>
      <x:c r="F92" s="32" t="n">
        <x:v>0</x:v>
      </x:c>
      <x:c r="G92" s="32" t="n">
        <x:v>1980</x:v>
      </x:c>
      <x:c r="H92" s="15" t="str">
        <x:v>matched_multiple</x:v>
      </x:c>
      <x:c r="I92" s="15" t="str">
        <x:v>invoice</x:v>
      </x:c>
      <x:c r="J92" s="15" t="str">
        <x:v>100775529; 96695216; 99200156; 100424315</x:v>
      </x:c>
      <x:c r="K92" s="15" t="str">
        <x:v>Amy Felton; Noah Rossman; Paul Harrison; Wanda</x:v>
      </x:c>
      <x:c r="L92" s="15" t="str">
        <x:v>150; 150; 150; 85</x:v>
      </x:c>
      <x:c r="M92" s="15" t="str">
        <x:v>No</x:v>
      </x:c>
      <x:c r="N92" s="15" t="str">
        <x:v>1ef742dab2aa1db4</x:v>
      </x:c>
      <x:c r="O92" s="15" t="n">
        <x:v>2</x:v>
      </x:c>
      <x:c r="P92" s="15" t="str">
        <x:v>2026-03-25 - 1000018917.jpg</x:v>
      </x:c>
      <x:c r="Q92" s="15" t="str">
        <x:v>gmail-labour-invoices/2026-03-25/4d04626063834dd1-2026-03-25 - 1000018917.jpg</x:v>
      </x:c>
      <x:c r="R92" s="15" t="str">
        <x:v>4d04626063834dd1924f4cdeb25e7f12c4f879e1d6e269612c394b5f51642c41</x:v>
      </x:c>
    </x:row>
    <x:row r="93">
      <x:c r="A93" s="31" t="n">
        <x:v>46106</x:v>
      </x:c>
      <x:c r="B93" s="15" t="str">
        <x:v>Abdellah Aouf</x:v>
      </x:c>
      <x:c r="C93" s="15" t="str">
        <x:v>INV-20260306-004</x:v>
      </x:c>
      <x:c r="D93" s="15" t="str">
        <x:v>CAD</x:v>
      </x:c>
      <x:c r="E93" s="32" t="n">
        <x:v>225</x:v>
      </x:c>
      <x:c r="F93" s="32" t="n">
        <x:v>0</x:v>
      </x:c>
      <x:c r="G93" s="32" t="n">
        <x:v>225</x:v>
      </x:c>
      <x:c r="H93" s="15" t="str">
        <x:v>matched</x:v>
      </x:c>
      <x:c r="I93" s="15" t="str">
        <x:v>invoice</x:v>
      </x:c>
      <x:c r="J93" s="15" t="str">
        <x:v>99786158</x:v>
      </x:c>
      <x:c r="K93" s="15" t="str">
        <x:v>Krista Colwell</x:v>
      </x:c>
      <x:c r="L93" s="15" t="str">
        <x:v>85</x:v>
      </x:c>
      <x:c r="M93" s="15" t="str">
        <x:v>No</x:v>
      </x:c>
      <x:c r="N93" s="15"/>
      <x:c r="O93" s="15" t="n">
        <x:v>1</x:v>
      </x:c>
      <x:c r="P93" s="15" t="str">
        <x:v>2026-03-25 - INV-20260306-004 .pdf</x:v>
      </x:c>
      <x:c r="Q93" s="15" t="str">
        <x:v>gmail-labour-invoices/2026-03-25/a6060919929e564a-2026-03-25 - INV-20260306-004 .pdf</x:v>
      </x:c>
      <x:c r="R93" s="15" t="str">
        <x:v>a6060919929e564a47e062524e621d31ffae3ebecda2b7404422b7523cfe5f68</x:v>
      </x:c>
    </x:row>
    <x:row r="94">
      <x:c r="A94" s="31" t="n">
        <x:v>46106</x:v>
      </x:c>
      <x:c r="B94" s="15" t="str">
        <x:v>Scott Bertin</x:v>
      </x:c>
      <x:c r="C94" s="15" t="str">
        <x:v>1</x:v>
      </x:c>
      <x:c r="D94" s="15" t="str">
        <x:v>CAD</x:v>
      </x:c>
      <x:c r="E94" s="32" t="n">
        <x:v>1085</x:v>
      </x:c>
      <x:c r="F94" s="32" t="n">
        <x:v>0</x:v>
      </x:c>
      <x:c r="G94" s="32" t="n">
        <x:v>1085</x:v>
      </x:c>
      <x:c r="H94" s="15" t="str">
        <x:v>matched_multiple</x:v>
      </x:c>
      <x:c r="I94" s="15" t="str">
        <x:v>invoice</x:v>
      </x:c>
      <x:c r="J94" s="15" t="str">
        <x:v>100775529; 96695216; 100424315</x:v>
      </x:c>
      <x:c r="K94" s="15" t="str">
        <x:v>Amy Felton; Noah Rossman; Wanda</x:v>
      </x:c>
      <x:c r="L94" s="15" t="str">
        <x:v>150; 150; 85</x:v>
      </x:c>
      <x:c r="M94" s="15" t="str">
        <x:v>No</x:v>
      </x:c>
      <x:c r="N94" s="15" t="str">
        <x:v>1ef742dab2aa1db4</x:v>
      </x:c>
      <x:c r="O94" s="15" t="n">
        <x:v>2</x:v>
      </x:c>
      <x:c r="P94" s="15" t="str">
        <x:v>2026-03-25 - Screenshot_20260324_200419_Sheets.jpg</x:v>
      </x:c>
      <x:c r="Q94" s="15" t="str">
        <x:v>gmail-labour-invoices/2026-03-25/e57a0de4d4184fbd-2026-03-25 - Screenshot_20260324_200419_Sheets.jpg</x:v>
      </x:c>
      <x:c r="R94" s="15" t="str">
        <x:v>e57a0de4d4184fbd4380cc38d5d4db20d2b7893e5514e0d0baeb9e47d31bd880</x:v>
      </x:c>
    </x:row>
    <x:row r="95">
      <x:c r="A95" s="31" t="n">
        <x:v>46107</x:v>
      </x:c>
      <x:c r="B95" s="15" t="str">
        <x:v>Assmaâ Senni</x:v>
      </x:c>
      <x:c r="C95" s="15" t="str">
        <x:v>2026-004</x:v>
      </x:c>
      <x:c r="D95" s="15" t="str">
        <x:v>USD</x:v>
      </x:c>
      <x:c r="E95" s="32" t="n">
        <x:v>272</x:v>
      </x:c>
      <x:c r="F95" s="32" t="n">
        <x:v>0</x:v>
      </x:c>
      <x:c r="G95" s="32" t="n">
        <x:v>272</x:v>
      </x:c>
      <x:c r="H95" s="15" t="str">
        <x:v>overhead_unmatched</x:v>
      </x:c>
      <x:c r="I95" s="15" t="str">
        <x:v>invoice</x:v>
      </x:c>
      <x:c r="J95" s="15" t="str"/>
      <x:c r="K95" s="15" t="str"/>
      <x:c r="L95" s="15" t="str"/>
      <x:c r="M95" s="15" t="str">
        <x:v>No</x:v>
      </x:c>
      <x:c r="N95" s="15"/>
      <x:c r="O95" s="15" t="n">
        <x:v>1</x:v>
      </x:c>
      <x:c r="P95" s="15" t="str">
        <x:v>2026-03-26 - Invoice_2026-004.docx</x:v>
      </x:c>
      <x:c r="Q95" s="15" t="str">
        <x:v>gmail-labour-invoices/2026-03-26/48bcb9e145416c2a-2026-03-26 - Invoice_2026-004.docx</x:v>
      </x:c>
      <x:c r="R95" s="15" t="str">
        <x:v>48bcb9e145416c2aac6d118f8761ed1f32be56c1a9e4440297569db36201304e</x:v>
      </x:c>
    </x:row>
    <x:row r="96">
      <x:c r="A96" s="31" t="n">
        <x:v>46109</x:v>
      </x:c>
      <x:c r="B96" s="15" t="str">
        <x:v>Abdellah Aouf</x:v>
      </x:c>
      <x:c r="C96" s="15" t="str">
        <x:v>INV-20260328-001</x:v>
      </x:c>
      <x:c r="D96" s="15" t="str">
        <x:v>CAD</x:v>
      </x:c>
      <x:c r="E96" s="32" t="n">
        <x:v>1100</x:v>
      </x:c>
      <x:c r="F96" s="32" t="n">
        <x:v>0</x:v>
      </x:c>
      <x:c r="G96" s="32" t="n">
        <x:v>1100</x:v>
      </x:c>
      <x:c r="H96" s="15" t="str">
        <x:v>matched_multiple</x:v>
      </x:c>
      <x:c r="I96" s="15" t="str">
        <x:v>invoice</x:v>
      </x:c>
      <x:c r="J96" s="15" t="str">
        <x:v>97577862; 96695216; 98894646</x:v>
      </x:c>
      <x:c r="K96" s="15" t="str">
        <x:v>Laura Van Cleef; Noah Rossman; Gregg Alexander</x:v>
      </x:c>
      <x:c r="L96" s="15" t="str">
        <x:v>150; 150; 87</x:v>
      </x:c>
      <x:c r="M96" s="15" t="str">
        <x:v>No</x:v>
      </x:c>
      <x:c r="N96" s="15"/>
      <x:c r="O96" s="15" t="n">
        <x:v>1</x:v>
      </x:c>
      <x:c r="P96" s="15" t="str">
        <x:v>2026-03-28 - INV-20260328-001.pdf</x:v>
      </x:c>
      <x:c r="Q96" s="15" t="str">
        <x:v>gmail-labour-invoices/2026-03-28/5e250ab56d0389eb-2026-03-28 - INV-20260328-001.pdf</x:v>
      </x:c>
      <x:c r="R96" s="15" t="str">
        <x:v>5e250ab56d0389ebda6c90de541dc5241727514f45eebf120f5b98cb4790ca3d</x:v>
      </x:c>
    </x:row>
    <x:row r="97">
      <x:c r="A97" s="31" t="n">
        <x:v>46109</x:v>
      </x:c>
      <x:c r="B97" s="15" t="str">
        <x:v>XDesign Dev Inc</x:v>
      </x:c>
      <x:c r="C97" s="15" t="str">
        <x:v>8554</x:v>
      </x:c>
      <x:c r="D97" s="15" t="str">
        <x:v>CAD</x:v>
      </x:c>
      <x:c r="E97" s="32" t="n">
        <x:v>510</x:v>
      </x:c>
      <x:c r="F97" s="32" t="n">
        <x:v>66.3</x:v>
      </x:c>
      <x:c r="G97" s="32" t="n">
        <x:v>576.3</x:v>
      </x:c>
      <x:c r="H97" s="15" t="str">
        <x:v>matched</x:v>
      </x:c>
      <x:c r="I97" s="15" t="str">
        <x:v>invoice</x:v>
      </x:c>
      <x:c r="J97" s="15" t="str">
        <x:v>101668864</x:v>
      </x:c>
      <x:c r="K97" s="15" t="str">
        <x:v>Priscilla</x:v>
      </x:c>
      <x:c r="L97" s="15" t="str">
        <x:v>150</x:v>
      </x:c>
      <x:c r="M97" s="15" t="str">
        <x:v>No</x:v>
      </x:c>
      <x:c r="N97" s="15"/>
      <x:c r="O97" s="15" t="n">
        <x:v>1</x:v>
      </x:c>
      <x:c r="P97" s="15" t="str">
        <x:v>2026-03-28 - Invoice_8554_2026-03-28.pdf</x:v>
      </x:c>
      <x:c r="Q97" s="15" t="str">
        <x:v>gmail-labour-invoices/2026-03-28/aa1a7b1b2fb2c567-2026-03-28 - Invoice_8554_2026-03-28.pdf</x:v>
      </x:c>
      <x:c r="R97" s="15" t="str">
        <x:v>aa1a7b1b2fb2c567a7306ccb199aab9eb3b25ebb5ef4f734adfaec952e176575</x:v>
      </x:c>
    </x:row>
    <x:row r="98">
      <x:c r="A98" s="31" t="n">
        <x:v>46109</x:v>
      </x:c>
      <x:c r="B98" s="15" t="str">
        <x:v>Youssef Mroueh</x:v>
      </x:c>
      <x:c r="C98" s="15" t="str">
        <x:v>1</x:v>
      </x:c>
      <x:c r="D98" s="15" t="str">
        <x:v>CAD</x:v>
      </x:c>
      <x:c r="E98" s="32" t="n">
        <x:v>3150</x:v>
      </x:c>
      <x:c r="F98" s="32" t="n">
        <x:v>0</x:v>
      </x:c>
      <x:c r="G98" s="32" t="n">
        <x:v>3150</x:v>
      </x:c>
      <x:c r="H98" s="15" t="str">
        <x:v>unmatched</x:v>
      </x:c>
      <x:c r="I98" s="15" t="str">
        <x:v>invoice</x:v>
      </x:c>
      <x:c r="J98" s="15" t="str"/>
      <x:c r="K98" s="15" t="str"/>
      <x:c r="L98" s="15" t="str"/>
      <x:c r="M98" s="15" t="str">
        <x:v>No</x:v>
      </x:c>
      <x:c r="N98" s="15"/>
      <x:c r="O98" s="15" t="n">
        <x:v>1</x:v>
      </x:c>
      <x:c r="P98" s="15" t="str">
        <x:v>2026-03-28 - invoice1.pdf</x:v>
      </x:c>
      <x:c r="Q98" s="15" t="str">
        <x:v>gmail-labour-invoices/2026-03-28/418d9c8bd9da7adf-2026-03-28 - invoice1.pdf</x:v>
      </x:c>
      <x:c r="R98" s="15" t="str">
        <x:v>418d9c8bd9da7adffc25e1f5f15940ddf39c1728dd00a52c3d83c37d95f06fcd</x:v>
      </x:c>
    </x:row>
    <x:row r="99">
      <x:c r="A99" s="31" t="n">
        <x:v>46109</x:v>
      </x:c>
      <x:c r="B99" s="15" t="str">
        <x:v>Youssef Mroueh</x:v>
      </x:c>
      <x:c r="C99" s="15" t="str">
        <x:v>2</x:v>
      </x:c>
      <x:c r="D99" s="15" t="str">
        <x:v>CAD</x:v>
      </x:c>
      <x:c r="E99" s="32" t="n">
        <x:v>3150</x:v>
      </x:c>
      <x:c r="F99" s="32" t="n">
        <x:v>0</x:v>
      </x:c>
      <x:c r="G99" s="32" t="n">
        <x:v>3150</x:v>
      </x:c>
      <x:c r="H99" s="15" t="str">
        <x:v>unmatched</x:v>
      </x:c>
      <x:c r="I99" s="15" t="str">
        <x:v>invoice</x:v>
      </x:c>
      <x:c r="J99" s="15" t="str"/>
      <x:c r="K99" s="15" t="str"/>
      <x:c r="L99" s="15" t="str"/>
      <x:c r="M99" s="15" t="str">
        <x:v>No</x:v>
      </x:c>
      <x:c r="N99" s="15"/>
      <x:c r="O99" s="15" t="n">
        <x:v>1</x:v>
      </x:c>
      <x:c r="P99" s="15" t="str">
        <x:v>2026-03-28 - invoice2.pdf</x:v>
      </x:c>
      <x:c r="Q99" s="15" t="str">
        <x:v>gmail-labour-invoices/2026-03-28/bafb3cf991fc26f9-2026-03-28 - invoice2.pdf</x:v>
      </x:c>
      <x:c r="R99" s="15" t="str">
        <x:v>bafb3cf991fc26f9c7ebc23e7948a31a4db1bf3dcfb46d46fbcc0f8c38f28ee4</x:v>
      </x:c>
    </x:row>
    <x:row r="100">
      <x:c r="A100" s="31" t="n">
        <x:v>46109</x:v>
      </x:c>
      <x:c r="B100" s="15" t="str">
        <x:v>Youssef Mroueh</x:v>
      </x:c>
      <x:c r="C100" s="15" t="str">
        <x:v>3</x:v>
      </x:c>
      <x:c r="D100" s="15" t="str">
        <x:v>CAD</x:v>
      </x:c>
      <x:c r="E100" s="32" t="n">
        <x:v>3150</x:v>
      </x:c>
      <x:c r="F100" s="32" t="n">
        <x:v>0</x:v>
      </x:c>
      <x:c r="G100" s="32" t="n">
        <x:v>3150</x:v>
      </x:c>
      <x:c r="H100" s="15" t="str">
        <x:v>unmatched</x:v>
      </x:c>
      <x:c r="I100" s="15" t="str">
        <x:v>invoice</x:v>
      </x:c>
      <x:c r="J100" s="15" t="str"/>
      <x:c r="K100" s="15" t="str"/>
      <x:c r="L100" s="15" t="str"/>
      <x:c r="M100" s="15" t="str">
        <x:v>No</x:v>
      </x:c>
      <x:c r="N100" s="15"/>
      <x:c r="O100" s="15" t="n">
        <x:v>1</x:v>
      </x:c>
      <x:c r="P100" s="15" t="str">
        <x:v>2026-03-28 - invoice3.pdf</x:v>
      </x:c>
      <x:c r="Q100" s="15" t="str">
        <x:v>gmail-labour-invoices/2026-03-28/e4bd35216d2b4d90-2026-03-28 - invoice3.pdf</x:v>
      </x:c>
      <x:c r="R100" s="15" t="str">
        <x:v>e4bd35216d2b4d905ccbb63794cc77ff366b6ba88bead03088a0aa7dde00c5f9</x:v>
      </x:c>
    </x:row>
    <x:row r="101">
      <x:c r="A101" s="31" t="n">
        <x:v>46109</x:v>
      </x:c>
      <x:c r="B101" s="15" t="str">
        <x:v>Youssef Mroueh</x:v>
      </x:c>
      <x:c r="C101" s="15" t="str">
        <x:v>4</x:v>
      </x:c>
      <x:c r="D101" s="15" t="str">
        <x:v>CAD</x:v>
      </x:c>
      <x:c r="E101" s="32" t="n">
        <x:v>3150</x:v>
      </x:c>
      <x:c r="F101" s="32" t="n">
        <x:v>0</x:v>
      </x:c>
      <x:c r="G101" s="32" t="n">
        <x:v>3150</x:v>
      </x:c>
      <x:c r="H101" s="15" t="str">
        <x:v>unmatched</x:v>
      </x:c>
      <x:c r="I101" s="15" t="str">
        <x:v>invoice</x:v>
      </x:c>
      <x:c r="J101" s="15" t="str"/>
      <x:c r="K101" s="15" t="str"/>
      <x:c r="L101" s="15" t="str"/>
      <x:c r="M101" s="15" t="str">
        <x:v>No</x:v>
      </x:c>
      <x:c r="N101" s="15"/>
      <x:c r="O101" s="15" t="n">
        <x:v>1</x:v>
      </x:c>
      <x:c r="P101" s="15" t="str">
        <x:v>2026-03-28 - invoice4.pdf</x:v>
      </x:c>
      <x:c r="Q101" s="15" t="str">
        <x:v>gmail-labour-invoices/2026-03-28/9c19027f2ffccedb-2026-03-28 - invoice4.pdf</x:v>
      </x:c>
      <x:c r="R101" s="15" t="str">
        <x:v>9c19027f2ffccedbf6bf7a5e68f67772f3a1ac4e71dabe691dc7936976ea9874</x:v>
      </x:c>
    </x:row>
    <x:row r="102">
      <x:c r="A102" s="31" t="n">
        <x:v>46113</x:v>
      </x:c>
      <x:c r="B102" s="15" t="str">
        <x:v>Andre Archambault Handyman Services Inc.</x:v>
      </x:c>
      <x:c r="C102" s="15" t="str">
        <x:v>797</x:v>
      </x:c>
      <x:c r="D102" s="15" t="str">
        <x:v>CAD</x:v>
      </x:c>
      <x:c r="E102" s="32" t="n">
        <x:v>475</x:v>
      </x:c>
      <x:c r="F102" s="32" t="n">
        <x:v>61.75</x:v>
      </x:c>
      <x:c r="G102" s="32" t="n">
        <x:v>536.75</x:v>
      </x:c>
      <x:c r="H102" s="15" t="str">
        <x:v>matched</x:v>
      </x:c>
      <x:c r="I102" s="15" t="str">
        <x:v>invoice</x:v>
      </x:c>
      <x:c r="J102" s="15" t="str">
        <x:v>96695216</x:v>
      </x:c>
      <x:c r="K102" s="15" t="str">
        <x:v>Noah Rossman</x:v>
      </x:c>
      <x:c r="L102" s="15" t="str">
        <x:v>85</x:v>
      </x:c>
      <x:c r="M102" s="15" t="str">
        <x:v>No</x:v>
      </x:c>
      <x:c r="N102" s="15" t="str">
        <x:v>737cc1c61f49b162</x:v>
      </x:c>
      <x:c r="O102" s="15" t="n">
        <x:v>3</x:v>
      </x:c>
      <x:c r="P102" s="15" t="str">
        <x:v>2026-04-01 - invoice_797.pdf</x:v>
      </x:c>
      <x:c r="Q102" s="15" t="str">
        <x:v>gmail-labour-invoices/2026-04-01/ed3b095bd3760fc9-2026-04-01 - invoice_797.pdf</x:v>
      </x:c>
      <x:c r="R102" s="15" t="str">
        <x:v>ed3b095bd3760fc9f39c4c6ed086bce8aebc9a0289c4ee8dd5d6460d7f8f9391</x:v>
      </x:c>
    </x:row>
    <x:row r="103">
      <x:c r="A103" s="31" t="n">
        <x:v>46113</x:v>
      </x:c>
      <x:c r="B103" s="15" t="str">
        <x:v>Angel Marcelo Cabrera</x:v>
      </x:c>
      <x:c r="C103" s="15" t="str">
        <x:v>7</x:v>
      </x:c>
      <x:c r="D103" s="15" t="str">
        <x:v>CAD</x:v>
      </x:c>
      <x:c r="E103" s="32" t="n">
        <x:v>1987.5</x:v>
      </x:c>
      <x:c r="F103" s="32" t="n">
        <x:v>0</x:v>
      </x:c>
      <x:c r="G103" s="32" t="n">
        <x:v>1987.5</x:v>
      </x:c>
      <x:c r="H103" s="15" t="str">
        <x:v>matched_multiple</x:v>
      </x:c>
      <x:c r="I103" s="15" t="str">
        <x:v>invoice</x:v>
      </x:c>
      <x:c r="J103" s="15" t="str">
        <x:v>99200156; 98894646; 96770884</x:v>
      </x:c>
      <x:c r="K103" s="15" t="str">
        <x:v>Paul Harrison; Gregg Alexander; Christine Leclair</x:v>
      </x:c>
      <x:c r="L103" s="15" t="str">
        <x:v>150; 147; 145</x:v>
      </x:c>
      <x:c r="M103" s="15" t="str">
        <x:v>No</x:v>
      </x:c>
      <x:c r="N103" s="15"/>
      <x:c r="O103" s="15" t="n">
        <x:v>1</x:v>
      </x:c>
      <x:c r="P103" s="15" t="str">
        <x:v>2026-04-01 - Marcelo invoice#7-1.pdf</x:v>
      </x:c>
      <x:c r="Q103" s="15" t="str">
        <x:v>gmail-labour-invoices/2026-04-01/c238aa942dffb14a-2026-04-01 - Marcelo invoice-7-1.pdf</x:v>
      </x:c>
      <x:c r="R103" s="15" t="str">
        <x:v>c238aa942dffb14a9d265b5917e2c18265d0ef4a0e78b78310988f01ad78b27b</x:v>
      </x:c>
    </x:row>
    <x:row r="104">
      <x:c r="A104" s="31" t="n">
        <x:v>46114</x:v>
      </x:c>
      <x:c r="B104" s="15" t="str">
        <x:v>Assmaâ Senni</x:v>
      </x:c>
      <x:c r="C104" s="15" t="str">
        <x:v>2026-005</x:v>
      </x:c>
      <x:c r="D104" s="15" t="str">
        <x:v>USD</x:v>
      </x:c>
      <x:c r="E104" s="32" t="n">
        <x:v>272</x:v>
      </x:c>
      <x:c r="F104" s="32" t="n">
        <x:v>0</x:v>
      </x:c>
      <x:c r="G104" s="32" t="n">
        <x:v>272</x:v>
      </x:c>
      <x:c r="H104" s="15" t="str">
        <x:v>overhead_unmatched</x:v>
      </x:c>
      <x:c r="I104" s="15" t="str">
        <x:v>invoice</x:v>
      </x:c>
      <x:c r="J104" s="15" t="str"/>
      <x:c r="K104" s="15" t="str"/>
      <x:c r="L104" s="15" t="str"/>
      <x:c r="M104" s="15" t="str">
        <x:v>No</x:v>
      </x:c>
      <x:c r="N104" s="15"/>
      <x:c r="O104" s="15" t="n">
        <x:v>1</x:v>
      </x:c>
      <x:c r="P104" s="15" t="str">
        <x:v>2026-04-02 - Invoice_2026-005.docx</x:v>
      </x:c>
      <x:c r="Q104" s="15" t="str">
        <x:v>gmail-labour-invoices/2026-04-02/353d04bcf43bb662-2026-04-02 - Invoice_2026-005.docx</x:v>
      </x:c>
      <x:c r="R104" s="15" t="str">
        <x:v>353d04bcf43bb662e356d51ce51e5d1370f9646ca84525e7348e63b75174b6b7</x:v>
      </x:c>
    </x:row>
    <x:row r="105">
      <x:c r="A105" s="31" t="n">
        <x:v>46114</x:v>
      </x:c>
      <x:c r="B105" s="15" t="str">
        <x:v>Angel Marcelo Cabrera</x:v>
      </x:c>
      <x:c r="C105" s="15" t="str">
        <x:v>8</x:v>
      </x:c>
      <x:c r="D105" s="15" t="str">
        <x:v>CAD</x:v>
      </x:c>
      <x:c r="E105" s="32" t="n">
        <x:v>393.75</x:v>
      </x:c>
      <x:c r="F105" s="32" t="n">
        <x:v>0</x:v>
      </x:c>
      <x:c r="G105" s="32" t="n">
        <x:v>393.75</x:v>
      </x:c>
      <x:c r="H105" s="15" t="str">
        <x:v>matched</x:v>
      </x:c>
      <x:c r="I105" s="15" t="str">
        <x:v>invoice</x:v>
      </x:c>
      <x:c r="J105" s="15" t="str">
        <x:v>99200156</x:v>
      </x:c>
      <x:c r="K105" s="15" t="str">
        <x:v>Paul Harrison</x:v>
      </x:c>
      <x:c r="L105" s="15" t="str">
        <x:v>150</x:v>
      </x:c>
      <x:c r="M105" s="15" t="str">
        <x:v>No</x:v>
      </x:c>
      <x:c r="N105" s="15" t="str">
        <x:v>15dc5a448a774f1a</x:v>
      </x:c>
      <x:c r="O105" s="15" t="n">
        <x:v>2</x:v>
      </x:c>
      <x:c r="P105" s="15" t="str">
        <x:v>2026-04-02 - Marcelo invoice#8.pdf</x:v>
      </x:c>
      <x:c r="Q105" s="15" t="str">
        <x:v>gmail-labour-invoices/2026-04-02/98f6b9801b535d0f-2026-04-02 - Marcelo invoice-8.pdf</x:v>
      </x:c>
      <x:c r="R105" s="15" t="str">
        <x:v>98f6b9801b535d0f12a56816f6eddaec81a903397b521846c7c6df7484dfa81f</x:v>
      </x:c>
    </x:row>
    <x:row r="106">
      <x:c r="A106" s="31" t="n">
        <x:v>46115</x:v>
      </x:c>
      <x:c r="B106" s="15" t="str">
        <x:v>Polaris Painters</x:v>
      </x:c>
      <x:c r="C106" s="15" t="str">
        <x:v>69</x:v>
      </x:c>
      <x:c r="D106" s="15" t="str">
        <x:v>CAD</x:v>
      </x:c>
      <x:c r="E106" s="32" t="n">
        <x:v>460</x:v>
      </x:c>
      <x:c r="F106" s="32" t="n">
        <x:v>0</x:v>
      </x:c>
      <x:c r="G106" s="32" t="n">
        <x:v>460</x:v>
      </x:c>
      <x:c r="H106" s="15" t="str">
        <x:v>matched</x:v>
      </x:c>
      <x:c r="I106" s="15" t="str">
        <x:v>invoice</x:v>
      </x:c>
      <x:c r="J106" s="15" t="str">
        <x:v>101770219</x:v>
      </x:c>
      <x:c r="K106" s="15" t="str">
        <x:v>Kora McNulty</x:v>
      </x:c>
      <x:c r="L106" s="15" t="str">
        <x:v>140</x:v>
      </x:c>
      <x:c r="M106" s="15" t="str">
        <x:v>No</x:v>
      </x:c>
      <x:c r="N106" s="15"/>
      <x:c r="O106" s="15" t="n">
        <x:v>1</x:v>
      </x:c>
      <x:c r="P106" s="15" t="str">
        <x:v>2026-04-03 - Hosted - Jobber Invoice 69 - Kora McNulty.pdf</x:v>
      </x:c>
      <x:c r="Q106" s="15" t="str">
        <x:v>gmail-labour-invoices/2026-04-03/b85a0fd60dfbf51c-2026-04-03 - Hosted - Jobber Invoice 69 - Kora McNulty.pdf</x:v>
      </x:c>
      <x:c r="R106" s="15" t="str">
        <x:v>b85a0fd60dfbf51cd51145128d85085be7b56e466896235f784b594cbbdaee1c</x:v>
      </x:c>
    </x:row>
    <x:row r="107">
      <x:c r="A107" s="31" t="n">
        <x:v>46115</x:v>
      </x:c>
      <x:c r="B107" s="15" t="str">
        <x:v>Polaris Painters</x:v>
      </x:c>
      <x:c r="C107" s="15" t="str">
        <x:v>70</x:v>
      </x:c>
      <x:c r="D107" s="15" t="str">
        <x:v>CAD</x:v>
      </x:c>
      <x:c r="E107" s="32" t="n">
        <x:v>3300</x:v>
      </x:c>
      <x:c r="F107" s="32" t="n">
        <x:v>0</x:v>
      </x:c>
      <x:c r="G107" s="32" t="n">
        <x:v>3300</x:v>
      </x:c>
      <x:c r="H107" s="15" t="str">
        <x:v>matched</x:v>
      </x:c>
      <x:c r="I107" s="15" t="str">
        <x:v>invoice</x:v>
      </x:c>
      <x:c r="J107" s="15" t="str">
        <x:v>96830875</x:v>
      </x:c>
      <x:c r="K107" s="15" t="str">
        <x:v>Sonya Lee</x:v>
      </x:c>
      <x:c r="L107" s="15" t="str">
        <x:v>65</x:v>
      </x:c>
      <x:c r="M107" s="15" t="str">
        <x:v>No</x:v>
      </x:c>
      <x:c r="N107" s="15"/>
      <x:c r="O107" s="15" t="n">
        <x:v>1</x:v>
      </x:c>
      <x:c r="P107" s="15" t="str">
        <x:v>2026-04-03 - Hosted - Jobber Invoice 70 - Sonya Lee.pdf</x:v>
      </x:c>
      <x:c r="Q107" s="15" t="str">
        <x:v>gmail-labour-invoices/2026-04-03/3b8cb7d2ad24543d-2026-04-03 - Hosted - Jobber Invoice 70 - Sonya Lee.pdf</x:v>
      </x:c>
      <x:c r="R107" s="15" t="str">
        <x:v>3b8cb7d2ad24543d47d3a9bdec02f0c6b5a3f21f444fc35b97e51db24d74c613</x:v>
      </x:c>
    </x:row>
    <x:row r="108">
      <x:c r="A108" s="31" t="n">
        <x:v>46116</x:v>
      </x:c>
      <x:c r="B108" s="15" t="str">
        <x:v>Polaris Painters</x:v>
      </x:c>
      <x:c r="C108" s="15" t="str">
        <x:v>72</x:v>
      </x:c>
      <x:c r="D108" s="15" t="str">
        <x:v>CAD</x:v>
      </x:c>
      <x:c r="E108" s="32" t="n">
        <x:v>1300</x:v>
      </x:c>
      <x:c r="F108" s="32" t="n">
        <x:v>0</x:v>
      </x:c>
      <x:c r="G108" s="32" t="n">
        <x:v>1300</x:v>
      </x:c>
      <x:c r="H108" s="15" t="str">
        <x:v>matched</x:v>
      </x:c>
      <x:c r="I108" s="15" t="str">
        <x:v>invoice</x:v>
      </x:c>
      <x:c r="J108" s="15" t="str">
        <x:v>100508406</x:v>
      </x:c>
      <x:c r="K108" s="15" t="str">
        <x:v>Darian Peeling</x:v>
      </x:c>
      <x:c r="L108" s="15" t="str">
        <x:v>150</x:v>
      </x:c>
      <x:c r="M108" s="15" t="str">
        <x:v>No</x:v>
      </x:c>
      <x:c r="N108" s="15"/>
      <x:c r="O108" s="15" t="n">
        <x:v>1</x:v>
      </x:c>
      <x:c r="P108" s="15" t="str">
        <x:v>2026-04-04 - Hosted - Jobber Invoice 72 - Darian Peeling.pdf</x:v>
      </x:c>
      <x:c r="Q108" s="15" t="str">
        <x:v>gmail-labour-invoices/2026-04-04/9198f966cfb7384c-2026-04-04 - Hosted - Jobber Invoice 72 - Darian Peeling.pdf</x:v>
      </x:c>
      <x:c r="R108" s="15" t="str">
        <x:v>9198f966cfb7384cae73737b73f330c68f96ea14267fd2b0a92d5200729c2747</x:v>
      </x:c>
    </x:row>
    <x:row r="109">
      <x:c r="A109" s="31" t="n">
        <x:v>46117</x:v>
      </x:c>
      <x:c r="B109" s="15" t="str">
        <x:v>Andrew Bell</x:v>
      </x:c>
      <x:c r="C109" s="15" t="str">
        <x:v>001</x:v>
      </x:c>
      <x:c r="D109" s="15" t="str">
        <x:v>CAD</x:v>
      </x:c>
      <x:c r="E109" s="32" t="n">
        <x:v>855</x:v>
      </x:c>
      <x:c r="F109" s="32" t="n">
        <x:v>0</x:v>
      </x:c>
      <x:c r="G109" s="32" t="n">
        <x:v>855</x:v>
      </x:c>
      <x:c r="H109" s="15" t="str">
        <x:v>matched_multiple</x:v>
      </x:c>
      <x:c r="I109" s="15" t="str">
        <x:v>invoice</x:v>
      </x:c>
      <x:c r="J109" s="15" t="str">
        <x:v>96770884; 100889357</x:v>
      </x:c>
      <x:c r="K109" s="15" t="str">
        <x:v>Christine Leclair; Paul Harrison Rental</x:v>
      </x:c>
      <x:c r="L109" s="15" t="str">
        <x:v>85; 85</x:v>
      </x:c>
      <x:c r="M109" s="15" t="str">
        <x:v>No</x:v>
      </x:c>
      <x:c r="N109" s="15"/>
      <x:c r="O109" s="15" t="n">
        <x:v>1</x:v>
      </x:c>
      <x:c r="P109" s="15" t="str">
        <x:v>2026-04-05 - IMG_2959.jpeg</x:v>
      </x:c>
      <x:c r="Q109" s="15" t="str">
        <x:v>gmail-labour-invoices/2026-04-05/c9ba0c67c142c87e-2026-04-05 - IMG_2959.jpeg</x:v>
      </x:c>
      <x:c r="R109" s="15" t="str">
        <x:v>c9ba0c67c142c87e20db4e296ef61b9cc89bf1e20b2269f4cf374713b5e28b29</x:v>
      </x:c>
    </x:row>
    <x:row r="110">
      <x:c r="A110" s="31" t="n">
        <x:v>46119</x:v>
      </x:c>
      <x:c r="B110" s="15" t="str">
        <x:v>Abdellah Aouf</x:v>
      </x:c>
      <x:c r="C110" s="15" t="str">
        <x:v>INV-20260403-001</x:v>
      </x:c>
      <x:c r="D110" s="15" t="str">
        <x:v>CAD</x:v>
      </x:c>
      <x:c r="E110" s="32" t="n">
        <x:v>200</x:v>
      </x:c>
      <x:c r="F110" s="32" t="n">
        <x:v>0</x:v>
      </x:c>
      <x:c r="G110" s="32" t="n">
        <x:v>200</x:v>
      </x:c>
      <x:c r="H110" s="15" t="str">
        <x:v>unmatched</x:v>
      </x:c>
      <x:c r="I110" s="15" t="str">
        <x:v>invoice</x:v>
      </x:c>
      <x:c r="J110" s="15" t="str"/>
      <x:c r="K110" s="15" t="str"/>
      <x:c r="L110" s="15" t="str"/>
      <x:c r="M110" s="15" t="str">
        <x:v>No</x:v>
      </x:c>
      <x:c r="N110" s="15"/>
      <x:c r="O110" s="15" t="n">
        <x:v>1</x:v>
      </x:c>
      <x:c r="P110" s="15" t="str">
        <x:v>2026-04-07 - INV-20260403-001.pdf</x:v>
      </x:c>
      <x:c r="Q110" s="15" t="str">
        <x:v>gmail-labour-invoices/2026-04-07/22e69daa3ab91b51-2026-04-07 - INV-20260403-001.pdf</x:v>
      </x:c>
      <x:c r="R110" s="15" t="str">
        <x:v>22e69daa3ab91b51c473c8aab35c6c5223233d541da09c12b926199b82b2d19c</x:v>
      </x:c>
    </x:row>
    <x:row r="111">
      <x:c r="A111" s="31" t="n">
        <x:v>46119</x:v>
      </x:c>
      <x:c r="B111" s="15" t="str">
        <x:v>Abdellah Aouf</x:v>
      </x:c>
      <x:c r="C111" s="15" t="str">
        <x:v>INV-20260407-005</x:v>
      </x:c>
      <x:c r="D111" s="15" t="str">
        <x:v>CAD</x:v>
      </x:c>
      <x:c r="E111" s="32" t="n">
        <x:v>200</x:v>
      </x:c>
      <x:c r="F111" s="32" t="n">
        <x:v>0</x:v>
      </x:c>
      <x:c r="G111" s="32" t="n">
        <x:v>200</x:v>
      </x:c>
      <x:c r="H111" s="15" t="str">
        <x:v>matched</x:v>
      </x:c>
      <x:c r="I111" s="15" t="str">
        <x:v>invoice</x:v>
      </x:c>
      <x:c r="J111" s="15" t="str">
        <x:v>96770884</x:v>
      </x:c>
      <x:c r="K111" s="15" t="str">
        <x:v>Christine Leclair</x:v>
      </x:c>
      <x:c r="L111" s="15" t="str">
        <x:v>85</x:v>
      </x:c>
      <x:c r="M111" s="15" t="str">
        <x:v>No</x:v>
      </x:c>
      <x:c r="N111" s="15"/>
      <x:c r="O111" s="15" t="n">
        <x:v>1</x:v>
      </x:c>
      <x:c r="P111" s="15" t="str">
        <x:v>2026-04-07 - INV-20260407-005.pdf</x:v>
      </x:c>
      <x:c r="Q111" s="15" t="str">
        <x:v>gmail-labour-invoices/2026-04-07/24e6f78d8ab5ab37-2026-04-07 - INV-20260407-005.pdf</x:v>
      </x:c>
      <x:c r="R111" s="15" t="str">
        <x:v>24e6f78d8ab5ab37c44463f1a826353ec9c108718cf1ec2d131084f409f83326</x:v>
      </x:c>
    </x:row>
    <x:row r="112">
      <x:c r="A112" s="31" t="n">
        <x:v>46119</x:v>
      </x:c>
      <x:c r="B112" s="15" t="str">
        <x:v>Abdellah Aouf</x:v>
      </x:c>
      <x:c r="C112" s="15" t="str">
        <x:v>INV-20260407-006</x:v>
      </x:c>
      <x:c r="D112" s="15" t="str">
        <x:v>CAD</x:v>
      </x:c>
      <x:c r="E112" s="32" t="n">
        <x:v>237.5</x:v>
      </x:c>
      <x:c r="F112" s="32" t="n">
        <x:v>0</x:v>
      </x:c>
      <x:c r="G112" s="32" t="n">
        <x:v>237.5</x:v>
      </x:c>
      <x:c r="H112" s="15" t="str">
        <x:v>matched</x:v>
      </x:c>
      <x:c r="I112" s="15" t="str">
        <x:v>invoice</x:v>
      </x:c>
      <x:c r="J112" s="15" t="str">
        <x:v>98894646</x:v>
      </x:c>
      <x:c r="K112" s="15" t="str">
        <x:v>Gregg Alexander</x:v>
      </x:c>
      <x:c r="L112" s="15" t="str">
        <x:v>87</x:v>
      </x:c>
      <x:c r="M112" s="15" t="str">
        <x:v>No</x:v>
      </x:c>
      <x:c r="N112" s="15"/>
      <x:c r="O112" s="15" t="n">
        <x:v>1</x:v>
      </x:c>
      <x:c r="P112" s="15" t="str">
        <x:v>2026-04-07 - INV-20260407-006.pdf</x:v>
      </x:c>
      <x:c r="Q112" s="15" t="str">
        <x:v>gmail-labour-invoices/2026-04-07/1b3c56f61013ee3a-2026-04-07 - INV-20260407-006.pdf</x:v>
      </x:c>
      <x:c r="R112" s="15" t="str">
        <x:v>1b3c56f61013ee3a3ac53368e474b4b74b20b10f7fbca1c92386b286d012c60f</x:v>
      </x:c>
    </x:row>
    <x:row r="113">
      <x:c r="A113" s="31" t="n">
        <x:v>46119</x:v>
      </x:c>
      <x:c r="B113" s="15" t="str">
        <x:v>Andre Archambault Handyman Services Inc.</x:v>
      </x:c>
      <x:c r="C113" s="15" t="str">
        <x:v>797</x:v>
      </x:c>
      <x:c r="D113" s="15" t="str">
        <x:v>CAD</x:v>
      </x:c>
      <x:c r="E113" s="32" t="n">
        <x:v>475</x:v>
      </x:c>
      <x:c r="F113" s="32" t="n">
        <x:v>61.75</x:v>
      </x:c>
      <x:c r="G113" s="32" t="n">
        <x:v>536.75</x:v>
      </x:c>
      <x:c r="H113" s="15" t="str">
        <x:v>matched</x:v>
      </x:c>
      <x:c r="I113" s="15" t="str">
        <x:v>invoice</x:v>
      </x:c>
      <x:c r="J113" s="15" t="str">
        <x:v>96695216</x:v>
      </x:c>
      <x:c r="K113" s="15" t="str">
        <x:v>Noah Rossman</x:v>
      </x:c>
      <x:c r="L113" s="15" t="str">
        <x:v>85</x:v>
      </x:c>
      <x:c r="M113" s="15" t="str">
        <x:v>No</x:v>
      </x:c>
      <x:c r="N113" s="15" t="str">
        <x:v>737cc1c61f49b162</x:v>
      </x:c>
      <x:c r="O113" s="15" t="n">
        <x:v>3</x:v>
      </x:c>
      <x:c r="P113" s="15" t="str">
        <x:v>2026-04-07 - invoice_797 (2).pdf</x:v>
      </x:c>
      <x:c r="Q113" s="15" t="str">
        <x:v>gmail-labour-invoices/2026-04-07/d97eb2288b8d9adb-2026-04-07 - invoice_797 (2).pdf</x:v>
      </x:c>
      <x:c r="R113" s="15" t="str">
        <x:v>d97eb2288b8d9adb26d4ceeb92d7e7cd901251ec2bd5c6e018ba1ccff7c355a7</x:v>
      </x:c>
    </x:row>
    <x:row r="114">
      <x:c r="A114" s="31" t="n">
        <x:v>46119</x:v>
      </x:c>
      <x:c r="B114" s="15" t="str">
        <x:v>Andre Archambault Handyman Services Inc.</x:v>
      </x:c>
      <x:c r="C114" s="15" t="str">
        <x:v>797</x:v>
      </x:c>
      <x:c r="D114" s="15" t="str">
        <x:v>CAD</x:v>
      </x:c>
      <x:c r="E114" s="32" t="n">
        <x:v>475</x:v>
      </x:c>
      <x:c r="F114" s="32" t="n">
        <x:v>61.75</x:v>
      </x:c>
      <x:c r="G114" s="32" t="n">
        <x:v>536.75</x:v>
      </x:c>
      <x:c r="H114" s="15" t="str">
        <x:v>matched</x:v>
      </x:c>
      <x:c r="I114" s="15" t="str">
        <x:v>invoice</x:v>
      </x:c>
      <x:c r="J114" s="15" t="str">
        <x:v>96695216</x:v>
      </x:c>
      <x:c r="K114" s="15" t="str">
        <x:v>Noah Rossman</x:v>
      </x:c>
      <x:c r="L114" s="15" t="str">
        <x:v>85</x:v>
      </x:c>
      <x:c r="M114" s="15" t="str">
        <x:v>No</x:v>
      </x:c>
      <x:c r="N114" s="15" t="str">
        <x:v>737cc1c61f49b162</x:v>
      </x:c>
      <x:c r="O114" s="15" t="n">
        <x:v>3</x:v>
      </x:c>
      <x:c r="P114" s="15" t="str">
        <x:v>2026-04-07 - invoice_797.pdf</x:v>
      </x:c>
      <x:c r="Q114" s="15" t="str">
        <x:v>gmail-labour-invoices/2026-04-07/b0a81fed1f9511da-2026-04-07 - invoice_797.pdf</x:v>
      </x:c>
      <x:c r="R114" s="15" t="str">
        <x:v>b0a81fed1f9511da2fcead622d6ad12783c21a938774bd055730ca3656613afc</x:v>
      </x:c>
    </x:row>
    <x:row r="115">
      <x:c r="A115" s="31" t="n">
        <x:v>46122</x:v>
      </x:c>
      <x:c r="B115" s="15" t="str">
        <x:v>Angel Marcelo Cabrera</x:v>
      </x:c>
      <x:c r="C115" s="15" t="str">
        <x:v>10</x:v>
      </x:c>
      <x:c r="D115" s="15" t="str">
        <x:v>CAD</x:v>
      </x:c>
      <x:c r="E115" s="32" t="n">
        <x:v>56.25</x:v>
      </x:c>
      <x:c r="F115" s="32" t="n">
        <x:v>0</x:v>
      </x:c>
      <x:c r="G115" s="32" t="n">
        <x:v>56.25</x:v>
      </x:c>
      <x:c r="H115" s="15" t="str">
        <x:v>matched</x:v>
      </x:c>
      <x:c r="I115" s="15" t="str">
        <x:v>invoice</x:v>
      </x:c>
      <x:c r="J115" s="15" t="str">
        <x:v>100261911</x:v>
      </x:c>
      <x:c r="K115" s="15" t="str">
        <x:v>John Hubbard</x:v>
      </x:c>
      <x:c r="L115" s="15" t="str">
        <x:v>150</x:v>
      </x:c>
      <x:c r="M115" s="15" t="str">
        <x:v>No</x:v>
      </x:c>
      <x:c r="N115" s="15"/>
      <x:c r="O115" s="15" t="n">
        <x:v>1</x:v>
      </x:c>
      <x:c r="P115" s="15" t="str">
        <x:v>2026-04-10 - Marcelo invoice#8 (2).pdf</x:v>
      </x:c>
      <x:c r="Q115" s="15" t="str">
        <x:v>gmail-labour-invoices/2026-04-10/8a506ac2adda9447-2026-04-10 - Marcelo invoice-8 (2).pdf</x:v>
      </x:c>
      <x:c r="R115" s="15" t="str">
        <x:v>8a506ac2adda944737a6c742f2035c027ac4ebd1451022b895498ba129438530</x:v>
      </x:c>
    </x:row>
    <x:row r="116">
      <x:c r="A116" s="31" t="n">
        <x:v>46122</x:v>
      </x:c>
      <x:c r="B116" s="15" t="str">
        <x:v>Angel Marcelo Cabrera</x:v>
      </x:c>
      <x:c r="C116" s="15" t="str">
        <x:v>11</x:v>
      </x:c>
      <x:c r="D116" s="15" t="str">
        <x:v>CAD</x:v>
      </x:c>
      <x:c r="E116" s="32" t="n">
        <x:v>843.75</x:v>
      </x:c>
      <x:c r="F116" s="32" t="n">
        <x:v>0</x:v>
      </x:c>
      <x:c r="G116" s="32" t="n">
        <x:v>843.75</x:v>
      </x:c>
      <x:c r="H116" s="15" t="str">
        <x:v>matched</x:v>
      </x:c>
      <x:c r="I116" s="15" t="str">
        <x:v>invoice</x:v>
      </x:c>
      <x:c r="J116" s="15" t="str">
        <x:v>102410142</x:v>
      </x:c>
      <x:c r="K116" s="15" t="str">
        <x:v>Sarah Cruickshank</x:v>
      </x:c>
      <x:c r="L116" s="15" t="str">
        <x:v>150</x:v>
      </x:c>
      <x:c r="M116" s="15" t="str">
        <x:v>No</x:v>
      </x:c>
      <x:c r="N116" s="15"/>
      <x:c r="O116" s="15" t="n">
        <x:v>1</x:v>
      </x:c>
      <x:c r="P116" s="15" t="str">
        <x:v>2026-04-10 - Marcelo invoice#8 (3).pdf</x:v>
      </x:c>
      <x:c r="Q116" s="15" t="str">
        <x:v>gmail-labour-invoices/2026-04-10/aaecf0e27a6b5d4d-2026-04-10 - Marcelo invoice-8 (3).pdf</x:v>
      </x:c>
      <x:c r="R116" s="15" t="str">
        <x:v>aaecf0e27a6b5d4d01b4a1e26bdba9deae66dc4ce5396725f57f3e990302d8e9</x:v>
      </x:c>
    </x:row>
    <x:row r="117">
      <x:c r="A117" s="31" t="n">
        <x:v>46122</x:v>
      </x:c>
      <x:c r="B117" s="15" t="str">
        <x:v>Angel Marcelo Cabrera</x:v>
      </x:c>
      <x:c r="C117" s="15" t="str">
        <x:v>8</x:v>
      </x:c>
      <x:c r="D117" s="15" t="str">
        <x:v>CAD</x:v>
      </x:c>
      <x:c r="E117" s="32" t="n">
        <x:v>187.5</x:v>
      </x:c>
      <x:c r="F117" s="32" t="n">
        <x:v>0</x:v>
      </x:c>
      <x:c r="G117" s="32" t="n">
        <x:v>187.5</x:v>
      </x:c>
      <x:c r="H117" s="15" t="str">
        <x:v>matched</x:v>
      </x:c>
      <x:c r="I117" s="15" t="str">
        <x:v>invoice</x:v>
      </x:c>
      <x:c r="J117" s="15" t="str">
        <x:v>96695216</x:v>
      </x:c>
      <x:c r="K117" s="15" t="str">
        <x:v>Noah Rossman</x:v>
      </x:c>
      <x:c r="L117" s="15" t="str">
        <x:v>65</x:v>
      </x:c>
      <x:c r="M117" s="15" t="str">
        <x:v>No</x:v>
      </x:c>
      <x:c r="N117" s="15" t="str">
        <x:v>15dc5a448a774f1a</x:v>
      </x:c>
      <x:c r="O117" s="15" t="n">
        <x:v>2</x:v>
      </x:c>
      <x:c r="P117" s="15" t="str">
        <x:v>2026-04-10 - Marcelo invoice#8.pdf</x:v>
      </x:c>
      <x:c r="Q117" s="15" t="str">
        <x:v>gmail-labour-invoices/2026-04-10/b4695fe75c99ae52-2026-04-10 - Marcelo invoice-8.pdf</x:v>
      </x:c>
      <x:c r="R117" s="15" t="str">
        <x:v>b4695fe75c99ae526e55ecf0f62101c4dc40d94ff374d846f51460a7d8bad9eb</x:v>
      </x:c>
    </x:row>
    <x:row r="118">
      <x:c r="A118" s="31" t="n">
        <x:v>46123</x:v>
      </x:c>
      <x:c r="B118" s="15" t="str">
        <x:v>XDesign Dev Inc</x:v>
      </x:c>
      <x:c r="C118" s="15" t="str">
        <x:v>8555</x:v>
      </x:c>
      <x:c r="D118" s="15" t="str">
        <x:v>CAD</x:v>
      </x:c>
      <x:c r="E118" s="32" t="n">
        <x:v>300</x:v>
      </x:c>
      <x:c r="F118" s="32" t="n">
        <x:v>39</x:v>
      </x:c>
      <x:c r="G118" s="32" t="n">
        <x:v>339</x:v>
      </x:c>
      <x:c r="H118" s="15" t="str">
        <x:v>matched</x:v>
      </x:c>
      <x:c r="I118" s="15" t="str">
        <x:v>invoice</x:v>
      </x:c>
      <x:c r="J118" s="15" t="str">
        <x:v>102219349</x:v>
      </x:c>
      <x:c r="K118" s="15" t="str">
        <x:v>Dubravka Staka</x:v>
      </x:c>
      <x:c r="L118" s="15" t="str">
        <x:v>60</x:v>
      </x:c>
      <x:c r="M118" s="15" t="str">
        <x:v>Yes</x:v>
      </x:c>
      <x:c r="N118" s="15"/>
      <x:c r="O118" s="15" t="n">
        <x:v>1</x:v>
      </x:c>
      <x:c r="P118" s="15" t="str">
        <x:v>2026-04-11 - 31d2f820b50290e576346d3f24c3cb1318f8773b61d65676fcb9b2a2da35eae1.pdf</x:v>
      </x:c>
      <x:c r="Q118" s="15" t="str">
        <x:v>gmail-labour-invoices/2026-04-11/5b02e892261eae2b-2026-04-11 - 31d2f820b50290e576346d3f24c3cb1318f8773b61d65676fcb9b2a2da35eae1.pdf</x:v>
      </x:c>
      <x:c r="R118" s="15" t="str">
        <x:v>5b02e892261eae2b7550a434b7abffbd3cdd7eb289a1316dae2f6ac78640f329</x:v>
      </x:c>
    </x:row>
    <x:row r="119">
      <x:c r="A119" s="31" t="n">
        <x:v>46123</x:v>
      </x:c>
      <x:c r="B119" s="15" t="str">
        <x:v>XDesign Dev Inc</x:v>
      </x:c>
      <x:c r="C119" s="15" t="str">
        <x:v>8556</x:v>
      </x:c>
      <x:c r="D119" s="15" t="str">
        <x:v>CAD</x:v>
      </x:c>
      <x:c r="E119" s="32" t="n">
        <x:v>300</x:v>
      </x:c>
      <x:c r="F119" s="32" t="n">
        <x:v>39</x:v>
      </x:c>
      <x:c r="G119" s="32" t="n">
        <x:v>339</x:v>
      </x:c>
      <x:c r="H119" s="15" t="str">
        <x:v>matched</x:v>
      </x:c>
      <x:c r="I119" s="15" t="str">
        <x:v>invoice</x:v>
      </x:c>
      <x:c r="J119" s="15" t="str">
        <x:v>100261911</x:v>
      </x:c>
      <x:c r="K119" s="15" t="str">
        <x:v>John Hubbard</x:v>
      </x:c>
      <x:c r="L119" s="15" t="str">
        <x:v>150</x:v>
      </x:c>
      <x:c r="M119" s="15" t="str">
        <x:v>No</x:v>
      </x:c>
      <x:c r="N119" s="15"/>
      <x:c r="O119" s="15" t="n">
        <x:v>1</x:v>
      </x:c>
      <x:c r="P119" s="15" t="str">
        <x:v>2026-04-11 - b793c358dd3553bd481ea60b26de8eb8b217fcc965fd9d5aaf78b4dc180f9065.pdf</x:v>
      </x:c>
      <x:c r="Q119" s="15" t="str">
        <x:v>gmail-labour-invoices/2026-04-11/cebb00021096dc44-2026-04-11 - b793c358dd3553bd481ea60b26de8eb8b217fcc965fd9d5aaf78b4dc180f9065.pdf</x:v>
      </x:c>
      <x:c r="R119" s="15" t="str">
        <x:v>cebb00021096dc44d4e047fa4affdbe952681942535e21c90bd69f4a60ddc1ee</x:v>
      </x:c>
    </x:row>
    <x:row r="120">
      <x:c r="A120" s="31" t="n">
        <x:v>46123</x:v>
      </x:c>
      <x:c r="B120" s="15" t="str">
        <x:v>XDesign Dev Inc</x:v>
      </x:c>
      <x:c r="C120" s="15" t="str">
        <x:v>8557</x:v>
      </x:c>
      <x:c r="D120" s="15" t="str">
        <x:v>CAD</x:v>
      </x:c>
      <x:c r="E120" s="32" t="n">
        <x:v>330</x:v>
      </x:c>
      <x:c r="F120" s="32" t="n">
        <x:v>42.9</x:v>
      </x:c>
      <x:c r="G120" s="32" t="n">
        <x:v>372.9</x:v>
      </x:c>
      <x:c r="H120" s="15" t="str">
        <x:v>matched</x:v>
      </x:c>
      <x:c r="I120" s="15" t="str">
        <x:v>invoice</x:v>
      </x:c>
      <x:c r="J120" s="15" t="str">
        <x:v>102410142</x:v>
      </x:c>
      <x:c r="K120" s="15" t="str">
        <x:v>Sarah Cruickshank</x:v>
      </x:c>
      <x:c r="L120" s="15" t="str">
        <x:v>150</x:v>
      </x:c>
      <x:c r="M120" s="15" t="str">
        <x:v>No</x:v>
      </x:c>
      <x:c r="N120" s="15"/>
      <x:c r="O120" s="15" t="n">
        <x:v>1</x:v>
      </x:c>
      <x:c r="P120" s="15" t="str">
        <x:v>2026-04-11 - feec1c49e7c79b47e5f9707e10994d30a96aa08f862e196eb2d8e584ea017d25.pdf</x:v>
      </x:c>
      <x:c r="Q120" s="15" t="str">
        <x:v>gmail-labour-invoices/2026-04-11/ca1dde6d6b015b0e-2026-04-11 - feec1c49e7c79b47e5f9707e10994d30a96aa08f862e196eb2d8e584ea017d25.pdf</x:v>
      </x:c>
      <x:c r="R120" s="15" t="str">
        <x:v>ca1dde6d6b015b0e09d32b4e96657af38c98e8ad2adfb222683932bff2a4995c</x:v>
      </x:c>
    </x:row>
    <x:row r="121">
      <x:c r="A121" s="31" t="n">
        <x:v>46123</x:v>
      </x:c>
      <x:c r="B121" s="15" t="str">
        <x:v>Polaris Painters</x:v>
      </x:c>
      <x:c r="C121" s="15" t="str">
        <x:v>73</x:v>
      </x:c>
      <x:c r="D121" s="15" t="str">
        <x:v>CAD</x:v>
      </x:c>
      <x:c r="E121" s="32" t="n">
        <x:v>1200</x:v>
      </x:c>
      <x:c r="F121" s="32" t="n">
        <x:v>0</x:v>
      </x:c>
      <x:c r="G121" s="32" t="n">
        <x:v>1200</x:v>
      </x:c>
      <x:c r="H121" s="15" t="str">
        <x:v>matched</x:v>
      </x:c>
      <x:c r="I121" s="15" t="str">
        <x:v>invoice</x:v>
      </x:c>
      <x:c r="J121" s="15" t="str">
        <x:v>100508406</x:v>
      </x:c>
      <x:c r="K121" s="15" t="str">
        <x:v>Darian Peeling</x:v>
      </x:c>
      <x:c r="L121" s="15" t="str">
        <x:v>60</x:v>
      </x:c>
      <x:c r="M121" s="15" t="str">
        <x:v>Yes</x:v>
      </x:c>
      <x:c r="N121" s="15"/>
      <x:c r="O121" s="15" t="n">
        <x:v>1</x:v>
      </x:c>
      <x:c r="P121" s="15" t="str">
        <x:v>2026-04-11 - Hosted - Jobber Invoice 73 - Adrian Peeling.pdf</x:v>
      </x:c>
      <x:c r="Q121" s="15" t="str">
        <x:v>gmail-labour-invoices/2026-04-11/26d75297e81cb630-2026-04-11 - Hosted - Jobber Invoice 73 - Adrian Peeling.pdf</x:v>
      </x:c>
      <x:c r="R121" s="15" t="str">
        <x:v>26d75297e81cb63019bce02a299b4be64076613569706f2a0adb2883cab3f34c</x:v>
      </x:c>
    </x:row>
    <x:row r="122">
      <x:c r="A122" s="31" t="n">
        <x:v>46123</x:v>
      </x:c>
      <x:c r="B122" s="15" t="str">
        <x:v>Polaris Painters</x:v>
      </x:c>
      <x:c r="C122" s="15" t="str">
        <x:v>74</x:v>
      </x:c>
      <x:c r="D122" s="15" t="str">
        <x:v>CAD</x:v>
      </x:c>
      <x:c r="E122" s="32" t="n">
        <x:v>435</x:v>
      </x:c>
      <x:c r="F122" s="32" t="n">
        <x:v>0</x:v>
      </x:c>
      <x:c r="G122" s="32" t="n">
        <x:v>435</x:v>
      </x:c>
      <x:c r="H122" s="15" t="str">
        <x:v>matched</x:v>
      </x:c>
      <x:c r="I122" s="15" t="str">
        <x:v>invoice</x:v>
      </x:c>
      <x:c r="J122" s="15" t="str">
        <x:v>97577862</x:v>
      </x:c>
      <x:c r="K122" s="15" t="str">
        <x:v>Laura Van Cleef</x:v>
      </x:c>
      <x:c r="L122" s="15" t="str">
        <x:v>65</x:v>
      </x:c>
      <x:c r="M122" s="15" t="str">
        <x:v>No</x:v>
      </x:c>
      <x:c r="N122" s="15"/>
      <x:c r="O122" s="15" t="n">
        <x:v>1</x:v>
      </x:c>
      <x:c r="P122" s="15" t="str">
        <x:v>2026-04-11 - Hosted - Jobber Invoice 74 - Laura Van Cleef.pdf</x:v>
      </x:c>
      <x:c r="Q122" s="15" t="str">
        <x:v>gmail-labour-invoices/2026-04-11/15e373c32a71b9ec-2026-04-11 - Hosted - Jobber Invoice 74 - Laura Van Cleef.pdf</x:v>
      </x:c>
      <x:c r="R122" s="15" t="str">
        <x:v>15e373c32a71b9ec959db41a1de5cd915a31f6d7101b9c62e12d4659a734878e</x:v>
      </x:c>
    </x:row>
    <x:row r="123">
      <x:c r="A123" s="31" t="n">
        <x:v>46123</x:v>
      </x:c>
      <x:c r="B123" s="15" t="str">
        <x:v>Polaris Painters</x:v>
      </x:c>
      <x:c r="C123" s="15" t="str">
        <x:v>75</x:v>
      </x:c>
      <x:c r="D123" s="15" t="str">
        <x:v>CAD</x:v>
      </x:c>
      <x:c r="E123" s="32" t="n">
        <x:v>290</x:v>
      </x:c>
      <x:c r="F123" s="32" t="n">
        <x:v>0</x:v>
      </x:c>
      <x:c r="G123" s="32" t="n">
        <x:v>290</x:v>
      </x:c>
      <x:c r="H123" s="15" t="str">
        <x:v>matched</x:v>
      </x:c>
      <x:c r="I123" s="15" t="str">
        <x:v>invoice</x:v>
      </x:c>
      <x:c r="J123" s="15" t="str">
        <x:v>102374713</x:v>
      </x:c>
      <x:c r="K123" s="15" t="str">
        <x:v>Oriet Greg</x:v>
      </x:c>
      <x:c r="L123" s="15" t="str">
        <x:v>65</x:v>
      </x:c>
      <x:c r="M123" s="15" t="str">
        <x:v>No</x:v>
      </x:c>
      <x:c r="N123" s="15"/>
      <x:c r="O123" s="15" t="n">
        <x:v>1</x:v>
      </x:c>
      <x:c r="P123" s="15" t="str">
        <x:v>2026-04-11 - Hosted - Jobber Invoice 75 - Oriet Greg.pdf</x:v>
      </x:c>
      <x:c r="Q123" s="15" t="str">
        <x:v>gmail-labour-invoices/2026-04-11/9aca96ef52a8e43c-2026-04-11 - Hosted - Jobber Invoice 75 - Oriet Greg.pdf</x:v>
      </x:c>
      <x:c r="R123" s="15" t="str">
        <x:v>9aca96ef52a8e43c37f31265d8fc8b992e8798a6548bf7fad4af42eff946acb3</x:v>
      </x:c>
    </x:row>
    <x:row r="124">
      <x:c r="A124" s="31" t="n">
        <x:v>46123</x:v>
      </x:c>
      <x:c r="B124" s="15" t="str">
        <x:v>Polaris Painters</x:v>
      </x:c>
      <x:c r="C124" s="15" t="str">
        <x:v>76</x:v>
      </x:c>
      <x:c r="D124" s="15" t="str">
        <x:v>CAD</x:v>
      </x:c>
      <x:c r="E124" s="32" t="n">
        <x:v>1145</x:v>
      </x:c>
      <x:c r="F124" s="32" t="n">
        <x:v>0</x:v>
      </x:c>
      <x:c r="G124" s="32" t="n">
        <x:v>1145</x:v>
      </x:c>
      <x:c r="H124" s="15" t="str">
        <x:v>unmatched</x:v>
      </x:c>
      <x:c r="I124" s="15" t="str">
        <x:v>invoice</x:v>
      </x:c>
      <x:c r="J124" s="15" t="str"/>
      <x:c r="K124" s="15" t="str"/>
      <x:c r="L124" s="15" t="str"/>
      <x:c r="M124" s="15" t="str">
        <x:v>No</x:v>
      </x:c>
      <x:c r="N124" s="15"/>
      <x:c r="O124" s="15" t="n">
        <x:v>1</x:v>
      </x:c>
      <x:c r="P124" s="15" t="str">
        <x:v>2026-04-11 - Hosted - Jobber Invoice 76 - Rekka Tulsikram.pdf</x:v>
      </x:c>
      <x:c r="Q124" s="15" t="str">
        <x:v>gmail-labour-invoices/2026-04-11/f16fb2817ef82be9-2026-04-11 - Hosted - Jobber Invoice 76 - Rekka Tulsikram.pdf</x:v>
      </x:c>
      <x:c r="R124" s="15" t="str">
        <x:v>f16fb2817ef82be926a3154050547ce5247ebc34392fa61fbdf69b1b4688de10</x:v>
      </x:c>
    </x:row>
    <x:row r="125">
      <x:c r="A125" s="31" t="n">
        <x:v>46123</x:v>
      </x:c>
      <x:c r="B125" s="15" t="str">
        <x:v>Andrew Bell</x:v>
      </x:c>
      <x:c r="C125" s="15" t="str">
        <x:v>FILE-86FD75ADBC63</x:v>
      </x:c>
      <x:c r="D125" s="15" t="str">
        <x:v>CAD</x:v>
      </x:c>
      <x:c r="E125" s="32" t="n">
        <x:v>630</x:v>
      </x:c>
      <x:c r="F125" s="32" t="n">
        <x:v>0</x:v>
      </x:c>
      <x:c r="G125" s="32" t="n">
        <x:v>630</x:v>
      </x:c>
      <x:c r="H125" s="15" t="str">
        <x:v>matched</x:v>
      </x:c>
      <x:c r="I125" s="15" t="str">
        <x:v>invoice</x:v>
      </x:c>
      <x:c r="J125" s="15" t="str">
        <x:v>100261911</x:v>
      </x:c>
      <x:c r="K125" s="15" t="str">
        <x:v>John Hubbard</x:v>
      </x:c>
      <x:c r="L125" s="15" t="str">
        <x:v>150</x:v>
      </x:c>
      <x:c r="M125" s="15" t="str">
        <x:v>No</x:v>
      </x:c>
      <x:c r="N125" s="15"/>
      <x:c r="O125" s="15" t="n">
        <x:v>1</x:v>
      </x:c>
      <x:c r="P125" s="15" t="str">
        <x:v>2026-04-11 - IMG_2983.jpeg</x:v>
      </x:c>
      <x:c r="Q125" s="15" t="str">
        <x:v>gmail-labour-invoices/2026-04-11/86fd75adbc63a1ee-2026-04-11 - IMG_2983.jpeg</x:v>
      </x:c>
      <x:c r="R125" s="15" t="str">
        <x:v>86fd75adbc63a1ee45ce6259e630eacc02aa1eab5a4a081319198129ddf30b2f</x:v>
      </x:c>
    </x:row>
    <x:row r="126">
      <x:c r="A126" s="31" t="n">
        <x:v>46123</x:v>
      </x:c>
      <x:c r="B126" s="15" t="str">
        <x:v>Andrew Bell</x:v>
      </x:c>
      <x:c r="C126" s="15" t="str">
        <x:v>FILE-4D64C6E844C2</x:v>
      </x:c>
      <x:c r="D126" s="15" t="str">
        <x:v>CAD</x:v>
      </x:c>
      <x:c r="E126" s="32" t="n">
        <x:v>660</x:v>
      </x:c>
      <x:c r="F126" s="32" t="n">
        <x:v>0</x:v>
      </x:c>
      <x:c r="G126" s="32" t="n">
        <x:v>660</x:v>
      </x:c>
      <x:c r="H126" s="15" t="str">
        <x:v>matched</x:v>
      </x:c>
      <x:c r="I126" s="15" t="str">
        <x:v>invoice</x:v>
      </x:c>
      <x:c r="J126" s="15" t="str">
        <x:v>102410142</x:v>
      </x:c>
      <x:c r="K126" s="15" t="str">
        <x:v>Sarah Cruickshank</x:v>
      </x:c>
      <x:c r="L126" s="15" t="str">
        <x:v>145</x:v>
      </x:c>
      <x:c r="M126" s="15" t="str">
        <x:v>No</x:v>
      </x:c>
      <x:c r="N126" s="15"/>
      <x:c r="O126" s="15" t="n">
        <x:v>1</x:v>
      </x:c>
      <x:c r="P126" s="15" t="str">
        <x:v>2026-04-11 - IMG_2984.jpeg</x:v>
      </x:c>
      <x:c r="Q126" s="15" t="str">
        <x:v>gmail-labour-invoices/2026-04-11/4d64c6e844c20a11-2026-04-11 - IMG_2984.jpeg</x:v>
      </x:c>
      <x:c r="R126" s="15" t="str">
        <x:v>4d64c6e844c20a11bfc13a3e2146f24380b95ad508d2ab0a43732d9ed812b7fd</x:v>
      </x:c>
    </x:row>
    <x:row r="127">
      <x:c r="A127" s="31" t="n">
        <x:v>46125</x:v>
      </x:c>
      <x:c r="B127" s="15" t="str">
        <x:v>Assmaâ Senni</x:v>
      </x:c>
      <x:c r="C127" s="15" t="str">
        <x:v>2026-006</x:v>
      </x:c>
      <x:c r="D127" s="15" t="str">
        <x:v>USD</x:v>
      </x:c>
      <x:c r="E127" s="32" t="n">
        <x:v>1152</x:v>
      </x:c>
      <x:c r="F127" s="32" t="n">
        <x:v>0</x:v>
      </x:c>
      <x:c r="G127" s="32" t="n">
        <x:v>1152</x:v>
      </x:c>
      <x:c r="H127" s="15" t="str">
        <x:v>overhead_unmatched</x:v>
      </x:c>
      <x:c r="I127" s="15" t="str">
        <x:v>invoice</x:v>
      </x:c>
      <x:c r="J127" s="15" t="str"/>
      <x:c r="K127" s="15" t="str"/>
      <x:c r="L127" s="15" t="str"/>
      <x:c r="M127" s="15" t="str">
        <x:v>No</x:v>
      </x:c>
      <x:c r="N127" s="15"/>
      <x:c r="O127" s="15" t="n">
        <x:v>1</x:v>
      </x:c>
      <x:c r="P127" s="15" t="str">
        <x:v>2026-04-13 - Invoice_2026-006 April monthly payment.docx</x:v>
      </x:c>
      <x:c r="Q127" s="15" t="str">
        <x:v>gmail-labour-invoices/2026-04-13/09a1859a89466afc-2026-04-13 - Invoice_2026-006 April monthly payment.docx</x:v>
      </x:c>
      <x:c r="R127" s="15" t="str">
        <x:v>09a1859a89466afc36e92facad24a7c65fe187f37b9d20879be5410d677440a3</x:v>
      </x:c>
    </x:row>
    <x:row r="128">
      <x:c r="A128" s="31" t="n">
        <x:v>46125</x:v>
      </x:c>
      <x:c r="B128" s="15" t="str">
        <x:v>Caledonian Painting Ltd</x:v>
      </x:c>
      <x:c r="C128" s="15" t="str">
        <x:v>239605</x:v>
      </x:c>
      <x:c r="D128" s="15" t="str">
        <x:v>CAD</x:v>
      </x:c>
      <x:c r="E128" s="32" t="n">
        <x:v>12299.83</x:v>
      </x:c>
      <x:c r="F128" s="32" t="n">
        <x:v>1408.77</x:v>
      </x:c>
      <x:c r="G128" s="32" t="n">
        <x:v>13708.6</x:v>
      </x:c>
      <x:c r="H128" s="15" t="str">
        <x:v>overhead_unmatched</x:v>
      </x:c>
      <x:c r="I128" s="15" t="str">
        <x:v>invoice</x:v>
      </x:c>
      <x:c r="J128" s="15" t="str"/>
      <x:c r="K128" s="15" t="str"/>
      <x:c r="L128" s="15" t="str"/>
      <x:c r="M128" s="15" t="str">
        <x:v>No</x:v>
      </x:c>
      <x:c r="N128" s="15"/>
      <x:c r="O128" s="15" t="n">
        <x:v>1</x:v>
      </x:c>
      <x:c r="P128" s="15" t="str">
        <x:v>2026-04-13 - Invoice_239605_from_Caledonian_Painting_Ltd.pdf</x:v>
      </x:c>
      <x:c r="Q128" s="15" t="str">
        <x:v>gmail-labour-invoices/2026-04-13/869c09b211220b24-2026-04-13 - Invoice_239605_from_Caledonian_Painting_Ltd.pdf</x:v>
      </x:c>
      <x:c r="R128" s="15" t="str">
        <x:v>869c09b211220b244e94ff034a0e5798381fc7f8d5c8be4eec241f8fedf67316</x:v>
      </x:c>
    </x:row>
    <x:row r="129">
      <x:c r="A129" s="31" t="n">
        <x:v>46126</x:v>
      </x:c>
      <x:c r="B129" s="15" t="str">
        <x:v>Polaris Painters</x:v>
      </x:c>
      <x:c r="C129" s="15" t="str">
        <x:v>77</x:v>
      </x:c>
      <x:c r="D129" s="15" t="str">
        <x:v>CAD</x:v>
      </x:c>
      <x:c r="E129" s="32" t="n">
        <x:v>1750</x:v>
      </x:c>
      <x:c r="F129" s="32" t="n">
        <x:v>0</x:v>
      </x:c>
      <x:c r="G129" s="32" t="n">
        <x:v>1750</x:v>
      </x:c>
      <x:c r="H129" s="15" t="str">
        <x:v>unmatched</x:v>
      </x:c>
      <x:c r="I129" s="15" t="str">
        <x:v>invoice</x:v>
      </x:c>
      <x:c r="J129" s="15" t="str"/>
      <x:c r="K129" s="15" t="str"/>
      <x:c r="L129" s="15" t="str"/>
      <x:c r="M129" s="15" t="str">
        <x:v>No</x:v>
      </x:c>
      <x:c r="N129" s="15"/>
      <x:c r="O129" s="15" t="n">
        <x:v>1</x:v>
      </x:c>
      <x:c r="P129" s="15" t="str">
        <x:v>2026-04-14 - Hosted - Jobber Invoice 77 - Julie Irving.pdf</x:v>
      </x:c>
      <x:c r="Q129" s="15" t="str">
        <x:v>gmail-labour-invoices/2026-04-14/fb4f0b076fae3c2e-2026-04-14 - Hosted - Jobber Invoice 77 - Julie Irving.pdf</x:v>
      </x:c>
      <x:c r="R129" s="15" t="str">
        <x:v>fb4f0b076fae3c2ed33e98fb8333b2ada07b0ff6d5acf56ef87a3f74bf981c82</x:v>
      </x:c>
    </x:row>
    <x:row r="130">
      <x:c r="A130" s="31" t="n">
        <x:v>46126</x:v>
      </x:c>
      <x:c r="B130" s="15" t="str">
        <x:v>Angel Marcelo Cabrera</x:v>
      </x:c>
      <x:c r="C130" s="15" t="str">
        <x:v>9</x:v>
      </x:c>
      <x:c r="D130" s="15" t="str">
        <x:v>CAD</x:v>
      </x:c>
      <x:c r="E130" s="32" t="n">
        <x:v>337.5</x:v>
      </x:c>
      <x:c r="F130" s="32" t="n">
        <x:v>0</x:v>
      </x:c>
      <x:c r="G130" s="32" t="n">
        <x:v>337.5</x:v>
      </x:c>
      <x:c r="H130" s="15" t="str">
        <x:v>matched</x:v>
      </x:c>
      <x:c r="I130" s="15" t="str">
        <x:v>invoice</x:v>
      </x:c>
      <x:c r="J130" s="15" t="str">
        <x:v>102410142</x:v>
      </x:c>
      <x:c r="K130" s="15" t="str">
        <x:v>Sarah Cruickshank</x:v>
      </x:c>
      <x:c r="L130" s="15" t="str">
        <x:v>150</x:v>
      </x:c>
      <x:c r="M130" s="15" t="str">
        <x:v>No</x:v>
      </x:c>
      <x:c r="N130" s="15" t="str">
        <x:v>ae507d597fa80282</x:v>
      </x:c>
      <x:c r="O130" s="15" t="n">
        <x:v>2</x:v>
      </x:c>
      <x:c r="P130" s="15" t="str">
        <x:v>2026-04-14 - Marcelo invoice#9 (2).pdf</x:v>
      </x:c>
      <x:c r="Q130" s="15" t="str">
        <x:v>gmail-labour-invoices/2026-04-14/1843c662fc8a2525-2026-04-14 - Marcelo invoice-9 (2).pdf</x:v>
      </x:c>
      <x:c r="R130" s="15" t="str">
        <x:v>1843c662fc8a2525c9b73b566816c161c59d6ec22754d0b32cfd7a9b8070e9f8</x:v>
      </x:c>
    </x:row>
    <x:row r="131">
      <x:c r="A131" s="31" t="n">
        <x:v>46126</x:v>
      </x:c>
      <x:c r="B131" s="15" t="str">
        <x:v>Angel Marcelo Cabrera</x:v>
      </x:c>
      <x:c r="C131" s="15" t="str">
        <x:v>9</x:v>
      </x:c>
      <x:c r="D131" s="15" t="str">
        <x:v>CAD</x:v>
      </x:c>
      <x:c r="E131" s="32" t="n">
        <x:v>431.25</x:v>
      </x:c>
      <x:c r="F131" s="32" t="n">
        <x:v>0</x:v>
      </x:c>
      <x:c r="G131" s="32" t="n">
        <x:v>431.25</x:v>
      </x:c>
      <x:c r="H131" s="15" t="str">
        <x:v>matched</x:v>
      </x:c>
      <x:c r="I131" s="15" t="str">
        <x:v>invoice</x:v>
      </x:c>
      <x:c r="J131" s="15" t="str">
        <x:v>102257516</x:v>
      </x:c>
      <x:c r="K131" s="15" t="str">
        <x:v>Rachelle Paul</x:v>
      </x:c>
      <x:c r="L131" s="15" t="str">
        <x:v>150</x:v>
      </x:c>
      <x:c r="M131" s="15" t="str">
        <x:v>No</x:v>
      </x:c>
      <x:c r="N131" s="15" t="str">
        <x:v>ae507d597fa80282</x:v>
      </x:c>
      <x:c r="O131" s="15" t="n">
        <x:v>2</x:v>
      </x:c>
      <x:c r="P131" s="15" t="str">
        <x:v>2026-04-14 - Marcelo invoice#9.pdf</x:v>
      </x:c>
      <x:c r="Q131" s="15" t="str">
        <x:v>gmail-labour-invoices/2026-04-14/8ec2d610f7265a99-2026-04-14 - Marcelo invoice-9.pdf</x:v>
      </x:c>
      <x:c r="R131" s="15" t="str">
        <x:v>8ec2d610f7265a99cb3ba7f3c788f1ee22581bfc0cb3ae1316ff546b8152d39b</x:v>
      </x:c>
    </x:row>
    <x:row r="132">
      <x:c r="A132" s="31" t="n">
        <x:v>46128</x:v>
      </x:c>
      <x:c r="B132" s="15" t="str">
        <x:v>Andrew Bell</x:v>
      </x:c>
      <x:c r="C132" s="15" t="str">
        <x:v>FILE-AF38E8B5363A</x:v>
      </x:c>
      <x:c r="D132" s="15" t="str">
        <x:v>CAD</x:v>
      </x:c>
      <x:c r="E132" s="32" t="n">
        <x:v>900</x:v>
      </x:c>
      <x:c r="F132" s="32" t="n">
        <x:v>0</x:v>
      </x:c>
      <x:c r="G132" s="32" t="n">
        <x:v>900</x:v>
      </x:c>
      <x:c r="H132" s="15" t="str">
        <x:v>matched</x:v>
      </x:c>
      <x:c r="I132" s="15" t="str">
        <x:v>invoice</x:v>
      </x:c>
      <x:c r="J132" s="15" t="str">
        <x:v>101089554</x:v>
      </x:c>
      <x:c r="K132" s="15" t="str">
        <x:v>Janet Morris</x:v>
      </x:c>
      <x:c r="L132" s="15" t="str">
        <x:v>150</x:v>
      </x:c>
      <x:c r="M132" s="15" t="str">
        <x:v>No</x:v>
      </x:c>
      <x:c r="N132" s="15"/>
      <x:c r="O132" s="15" t="n">
        <x:v>1</x:v>
      </x:c>
      <x:c r="P132" s="15" t="str">
        <x:v>2026-04-16 - IMG_3142.jpeg</x:v>
      </x:c>
      <x:c r="Q132" s="15" t="str">
        <x:v>gmail-labour-invoices/2026-04-16/af38e8b5363a02f2-2026-04-16 - IMG_3142.jpeg</x:v>
      </x:c>
      <x:c r="R132" s="15" t="str">
        <x:v>af38e8b5363a02f274305a8dd00e96533bf402fe270557c6d81bd195293b2564</x:v>
      </x:c>
    </x:row>
    <x:row r="133">
      <x:c r="A133" s="31" t="n">
        <x:v>46128</x:v>
      </x:c>
      <x:c r="B133" s="15" t="str">
        <x:v>Premium Coat</x:v>
      </x:c>
      <x:c r="C133" s="15" t="str">
        <x:v>FM-152</x:v>
      </x:c>
      <x:c r="D133" s="15" t="str">
        <x:v>CAD</x:v>
      </x:c>
      <x:c r="E133" s="32" t="n">
        <x:v>2895</x:v>
      </x:c>
      <x:c r="F133" s="32" t="n">
        <x:v>376.35</x:v>
      </x:c>
      <x:c r="G133" s="32" t="n">
        <x:v>3271.35</x:v>
      </x:c>
      <x:c r="H133" s="15" t="str">
        <x:v>matched</x:v>
      </x:c>
      <x:c r="I133" s="15" t="str">
        <x:v>invoice</x:v>
      </x:c>
      <x:c r="J133" s="15" t="str">
        <x:v>102525509</x:v>
      </x:c>
      <x:c r="K133" s="15" t="str">
        <x:v>Michael Sheridan</x:v>
      </x:c>
      <x:c r="L133" s="15" t="str">
        <x:v>150</x:v>
      </x:c>
      <x:c r="M133" s="15" t="str">
        <x:v>No</x:v>
      </x:c>
      <x:c r="N133" s="15"/>
      <x:c r="O133" s="15" t="n">
        <x:v>1</x:v>
      </x:c>
      <x:c r="P133" s="15" t="str">
        <x:v>2026-04-16 - Invoice FM-152 (1).pdf</x:v>
      </x:c>
      <x:c r="Q133" s="15" t="str">
        <x:v>gmail-labour-invoices/2026-04-16/e83012af6fc99acc-2026-04-16 - Invoice FM-152 (1).pdf</x:v>
      </x:c>
      <x:c r="R133" s="15" t="str">
        <x:v>e83012af6fc99accd498d6d72d5f781ca409cedde16565ca28a08781734fa219</x:v>
      </x:c>
    </x:row>
    <x:row r="134">
      <x:c r="A134" s="31" t="n">
        <x:v>46128</x:v>
      </x:c>
      <x:c r="B134" s="15" t="str">
        <x:v>PixReno Construction Inc.</x:v>
      </x:c>
      <x:c r="C134" s="15" t="str">
        <x:v>1023</x:v>
      </x:c>
      <x:c r="D134" s="15" t="str">
        <x:v>CAD</x:v>
      </x:c>
      <x:c r="E134" s="32" t="n">
        <x:v>300</x:v>
      </x:c>
      <x:c r="F134" s="32" t="n">
        <x:v>39</x:v>
      </x:c>
      <x:c r="G134" s="32" t="n">
        <x:v>339</x:v>
      </x:c>
      <x:c r="H134" s="15" t="str">
        <x:v>matched</x:v>
      </x:c>
      <x:c r="I134" s="15" t="str">
        <x:v>invoice</x:v>
      </x:c>
      <x:c r="J134" s="15" t="str">
        <x:v>102257516</x:v>
      </x:c>
      <x:c r="K134" s="15" t="str">
        <x:v>Rachelle Paul</x:v>
      </x:c>
      <x:c r="L134" s="15" t="str">
        <x:v>150</x:v>
      </x:c>
      <x:c r="M134" s="15" t="str">
        <x:v>No</x:v>
      </x:c>
      <x:c r="N134" s="15"/>
      <x:c r="O134" s="15" t="n">
        <x:v>1</x:v>
      </x:c>
      <x:c r="P134" s="15" t="str">
        <x:v>2026-04-16 - Invoice_1023_from_PixReno_Construction_Inc.pdf</x:v>
      </x:c>
      <x:c r="Q134" s="15" t="str">
        <x:v>gmail-labour-invoices/2026-04-16/99241fe9cd47b8fa-2026-04-16 - Invoice_1023_from_PixReno_Construction_Inc.pdf</x:v>
      </x:c>
      <x:c r="R134" s="15" t="str">
        <x:v>99241fe9cd47b8fa18430f123bfe363b62dcfa5388b3f6cf56dafa7e88a75603</x:v>
      </x:c>
    </x:row>
    <x:row r="135">
      <x:c r="A135" s="31" t="n">
        <x:v>46129</x:v>
      </x:c>
      <x:c r="B135" s="15" t="str">
        <x:v>XDesign Dev Inc</x:v>
      </x:c>
      <x:c r="C135" s="15" t="str">
        <x:v>8581</x:v>
      </x:c>
      <x:c r="D135" s="15" t="str">
        <x:v>CAD</x:v>
      </x:c>
      <x:c r="E135" s="32" t="n">
        <x:v>900</x:v>
      </x:c>
      <x:c r="F135" s="32" t="n">
        <x:v>117</x:v>
      </x:c>
      <x:c r="G135" s="32" t="n">
        <x:v>1017</x:v>
      </x:c>
      <x:c r="H135" s="15" t="str">
        <x:v>matched</x:v>
      </x:c>
      <x:c r="I135" s="15" t="str">
        <x:v>invoice</x:v>
      </x:c>
      <x:c r="J135" s="15" t="str">
        <x:v>101089554</x:v>
      </x:c>
      <x:c r="K135" s="15" t="str">
        <x:v>Janet Morris</x:v>
      </x:c>
      <x:c r="L135" s="15" t="str">
        <x:v>150</x:v>
      </x:c>
      <x:c r="M135" s="15" t="str">
        <x:v>No</x:v>
      </x:c>
      <x:c r="N135" s="15"/>
      <x:c r="O135" s="15" t="n">
        <x:v>1</x:v>
      </x:c>
      <x:c r="P135" s="15" t="str">
        <x:v>2026-04-17 - 8385e759b3a837d19ceb95f280628bc52e829fcafc84c14a512c38587d5c4706.pdf</x:v>
      </x:c>
      <x:c r="Q135" s="15" t="str">
        <x:v>gmail-labour-invoices/2026-04-17/9e0a84afbec22de3-2026-04-17 - 8385e759b3a837d19ceb95f280628bc52e829fcafc84c14a512c38587d5c4706.pdf</x:v>
      </x:c>
      <x:c r="R135" s="15" t="str">
        <x:v>9e0a84afbec22de35e2cef51d903aff509ea87ed79fafb48be464d7f123e3617</x:v>
      </x:c>
    </x:row>
    <x:row r="136">
      <x:c r="A136" s="31" t="n">
        <x:v>46129</x:v>
      </x:c>
      <x:c r="B136" s="15" t="str">
        <x:v>XDesign Dev Inc</x:v>
      </x:c>
      <x:c r="C136" s="15" t="str">
        <x:v>8580</x:v>
      </x:c>
      <x:c r="D136" s="15" t="str">
        <x:v>CAD</x:v>
      </x:c>
      <x:c r="E136" s="32" t="n">
        <x:v>240</x:v>
      </x:c>
      <x:c r="F136" s="32" t="n">
        <x:v>31.2</x:v>
      </x:c>
      <x:c r="G136" s="32" t="n">
        <x:v>271.2</x:v>
      </x:c>
      <x:c r="H136" s="15" t="str">
        <x:v>matched</x:v>
      </x:c>
      <x:c r="I136" s="15" t="str">
        <x:v>invoice</x:v>
      </x:c>
      <x:c r="J136" s="15" t="str">
        <x:v>102410142</x:v>
      </x:c>
      <x:c r="K136" s="15" t="str">
        <x:v>Sarah Cruickshank</x:v>
      </x:c>
      <x:c r="L136" s="15" t="str">
        <x:v>150</x:v>
      </x:c>
      <x:c r="M136" s="15" t="str">
        <x:v>No</x:v>
      </x:c>
      <x:c r="N136" s="15"/>
      <x:c r="O136" s="15" t="n">
        <x:v>1</x:v>
      </x:c>
      <x:c r="P136" s="15" t="str">
        <x:v>2026-04-17 - edd98bc8683dadb1b2147a62b25c8e656e6c8e8f0f167e42f296bcef9f99774e.pdf</x:v>
      </x:c>
      <x:c r="Q136" s="15" t="str">
        <x:v>gmail-labour-invoices/2026-04-17/af0fdf34f3730b21-2026-04-17 - edd98bc8683dadb1b2147a62b25c8e656e6c8e8f0f167e42f296bcef9f99774e.pdf</x:v>
      </x:c>
      <x:c r="R136" s="15" t="str">
        <x:v>af0fdf34f3730b2121d7fceac5ebdbd25187032ea78c055d02fab414f3fff3e8</x:v>
      </x:c>
    </x:row>
    <x:row r="137">
      <x:c r="A137" s="31" t="n">
        <x:v>46130</x:v>
      </x:c>
      <x:c r="B137" s="15" t="str">
        <x:v>PixReno Construction Inc.</x:v>
      </x:c>
      <x:c r="C137" s="15" t="str">
        <x:v>1024</x:v>
      </x:c>
      <x:c r="D137" s="15" t="str">
        <x:v>CAD</x:v>
      </x:c>
      <x:c r="E137" s="32" t="n">
        <x:v>690</x:v>
      </x:c>
      <x:c r="F137" s="32" t="n">
        <x:v>89.7</x:v>
      </x:c>
      <x:c r="G137" s="32" t="n">
        <x:v>779.7</x:v>
      </x:c>
      <x:c r="H137" s="15" t="str">
        <x:v>matched</x:v>
      </x:c>
      <x:c r="I137" s="15" t="str">
        <x:v>invoice</x:v>
      </x:c>
      <x:c r="J137" s="15" t="str">
        <x:v>101205664</x:v>
      </x:c>
      <x:c r="K137" s="15" t="str">
        <x:v>Gord Stockdale</x:v>
      </x:c>
      <x:c r="L137" s="15" t="str">
        <x:v>150</x:v>
      </x:c>
      <x:c r="M137" s="15" t="str">
        <x:v>No</x:v>
      </x:c>
      <x:c r="N137" s="15"/>
      <x:c r="O137" s="15" t="n">
        <x:v>1</x:v>
      </x:c>
      <x:c r="P137" s="15" t="str">
        <x:v>2026-04-18 - Invoice_1024_from_PixReno_Construction_Inc.pdf</x:v>
      </x:c>
      <x:c r="Q137" s="15" t="str">
        <x:v>gmail-labour-invoices/2026-04-18/a946be829c5a2543-2026-04-18 - Invoice_1024_from_PixReno_Construction_Inc.pdf</x:v>
      </x:c>
      <x:c r="R137" s="15" t="str">
        <x:v>a946be829c5a2543f4681e78232d6ee64f5a2db93481826332f7a8ce1651d563</x:v>
      </x:c>
    </x:row>
    <x:row r="138">
      <x:c r="A138" s="31" t="n">
        <x:v>46130</x:v>
      </x:c>
      <x:c r="B138" s="15" t="str">
        <x:v>Angel Marcelo Cabrera</x:v>
      </x:c>
      <x:c r="C138" s="15" t="str">
        <x:v>12</x:v>
      </x:c>
      <x:c r="D138" s="15" t="str">
        <x:v>CAD</x:v>
      </x:c>
      <x:c r="E138" s="32" t="n">
        <x:v>881.88</x:v>
      </x:c>
      <x:c r="F138" s="32" t="n">
        <x:v>0</x:v>
      </x:c>
      <x:c r="G138" s="32" t="n">
        <x:v>881.88</x:v>
      </x:c>
      <x:c r="H138" s="15" t="str">
        <x:v>matched</x:v>
      </x:c>
      <x:c r="I138" s="15" t="str">
        <x:v>invoice</x:v>
      </x:c>
      <x:c r="J138" s="15" t="str">
        <x:v>101205664</x:v>
      </x:c>
      <x:c r="K138" s="15" t="str">
        <x:v>Gord Stockdale</x:v>
      </x:c>
      <x:c r="L138" s="15" t="str">
        <x:v>150</x:v>
      </x:c>
      <x:c r="M138" s="15" t="str">
        <x:v>No</x:v>
      </x:c>
      <x:c r="N138" s="15"/>
      <x:c r="O138" s="15" t="n">
        <x:v>1</x:v>
      </x:c>
      <x:c r="P138" s="15" t="str">
        <x:v>2026-04-18 - Marcelo invoice#9.pdf</x:v>
      </x:c>
      <x:c r="Q138" s="15" t="str">
        <x:v>gmail-labour-invoices/2026-04-18/15aaf6b5a67fa54d-2026-04-18 - Marcelo invoice-9.pdf</x:v>
      </x:c>
      <x:c r="R138" s="15" t="str">
        <x:v>15aaf6b5a67fa54df9c673e49234265591fca49466d5f1ee92015cb3bcba560c</x:v>
      </x:c>
    </x:row>
    <x:row r="139">
      <x:c r="A139" s="31" t="n">
        <x:v>46132</x:v>
      </x:c>
      <x:c r="B139" s="15" t="str">
        <x:v>PixReno Construction Inc.</x:v>
      </x:c>
      <x:c r="C139" s="15" t="str">
        <x:v>1025</x:v>
      </x:c>
      <x:c r="D139" s="15" t="str">
        <x:v>CAD</x:v>
      </x:c>
      <x:c r="E139" s="32" t="n">
        <x:v>200</x:v>
      </x:c>
      <x:c r="F139" s="32" t="n">
        <x:v>26</x:v>
      </x:c>
      <x:c r="G139" s="32" t="n">
        <x:v>226</x:v>
      </x:c>
      <x:c r="H139" s="15" t="str">
        <x:v>matched</x:v>
      </x:c>
      <x:c r="I139" s="15" t="str">
        <x:v>invoice</x:v>
      </x:c>
      <x:c r="J139" s="15" t="str">
        <x:v>103366525</x:v>
      </x:c>
      <x:c r="K139" s="15" t="str">
        <x:v>Corey Parsons</x:v>
      </x:c>
      <x:c r="L139" s="15" t="str">
        <x:v>152</x:v>
      </x:c>
      <x:c r="M139" s="15" t="str">
        <x:v>No</x:v>
      </x:c>
      <x:c r="N139" s="15"/>
      <x:c r="O139" s="15" t="n">
        <x:v>1</x:v>
      </x:c>
      <x:c r="P139" s="15" t="str">
        <x:v>2026-04-20 - Invoice_1025_from_PixReno_Construction_Inc.pdf</x:v>
      </x:c>
      <x:c r="Q139" s="15" t="str">
        <x:v>gmail-labour-invoices/2026-04-20/f82c286605313500-2026-04-20 - Invoice_1025_from_PixReno_Construction_Inc.pdf</x:v>
      </x:c>
      <x:c r="R139" s="15" t="str">
        <x:v>f82c2866053135007361a050e3b7eb09c2431c695c0bb7e5c02b3c01a1710cb0</x:v>
      </x:c>
    </x:row>
    <x:row r="140">
      <x:c r="A140" s="31" t="n">
        <x:v>46136</x:v>
      </x:c>
      <x:c r="B140" s="15" t="str">
        <x:v>Abdellah Aouf</x:v>
      </x:c>
      <x:c r="C140" s="15" t="str">
        <x:v>INV-20260424-001</x:v>
      </x:c>
      <x:c r="D140" s="15" t="str">
        <x:v>CAD</x:v>
      </x:c>
      <x:c r="E140" s="32" t="n">
        <x:v>558.99</x:v>
      </x:c>
      <x:c r="F140" s="32" t="n">
        <x:v>0</x:v>
      </x:c>
      <x:c r="G140" s="32" t="n">
        <x:v>558.99</x:v>
      </x:c>
      <x:c r="H140" s="15" t="str">
        <x:v>matched</x:v>
      </x:c>
      <x:c r="I140" s="15" t="str">
        <x:v>invoice</x:v>
      </x:c>
      <x:c r="J140" s="15" t="str">
        <x:v>101205664</x:v>
      </x:c>
      <x:c r="K140" s="15" t="str">
        <x:v>Gord Stockdale</x:v>
      </x:c>
      <x:c r="L140" s="15" t="str">
        <x:v>150</x:v>
      </x:c>
      <x:c r="M140" s="15" t="str">
        <x:v>No</x:v>
      </x:c>
      <x:c r="N140" s="15"/>
      <x:c r="O140" s="15" t="n">
        <x:v>1</x:v>
      </x:c>
      <x:c r="P140" s="15" t="str">
        <x:v>2026-04-24 - INV-20260424-001.pdf</x:v>
      </x:c>
      <x:c r="Q140" s="15" t="str">
        <x:v>gmail-labour-invoices/2026-04-24/73e845f6c40a78ba-2026-04-24 - INV-20260424-001.pdf</x:v>
      </x:c>
      <x:c r="R140" s="15" t="str">
        <x:v>73e845f6c40a78ba6bdf4a3c70e3df7b50606ffd17688ec8dcb9704b6ae35161</x:v>
      </x:c>
    </x:row>
    <x:row r="141">
      <x:c r="A141" s="31" t="n">
        <x:v>46137</x:v>
      </x:c>
      <x:c r="B141" s="15" t="str">
        <x:v>Premium Coat</x:v>
      </x:c>
      <x:c r="C141" s="15" t="str">
        <x:v>FM-155</x:v>
      </x:c>
      <x:c r="D141" s="15" t="str">
        <x:v>CAD</x:v>
      </x:c>
      <x:c r="E141" s="32" t="n">
        <x:v>1602.61</x:v>
      </x:c>
      <x:c r="F141" s="32" t="n">
        <x:v>208.34</x:v>
      </x:c>
      <x:c r="G141" s="32" t="n">
        <x:v>1810.95</x:v>
      </x:c>
      <x:c r="H141" s="15" t="str">
        <x:v>matched</x:v>
      </x:c>
      <x:c r="I141" s="15" t="str">
        <x:v>invoice</x:v>
      </x:c>
      <x:c r="J141" s="15" t="str">
        <x:v>102209734</x:v>
      </x:c>
      <x:c r="K141" s="15" t="str">
        <x:v>Marienne Graham</x:v>
      </x:c>
      <x:c r="L141" s="15" t="str">
        <x:v>65</x:v>
      </x:c>
      <x:c r="M141" s="15" t="str">
        <x:v>No</x:v>
      </x:c>
      <x:c r="N141" s="15"/>
      <x:c r="O141" s="15" t="n">
        <x:v>1</x:v>
      </x:c>
      <x:c r="P141" s="15" t="str">
        <x:v>2026-04-25 - Invoice FM-155.pdf</x:v>
      </x:c>
      <x:c r="Q141" s="15" t="str">
        <x:v>gmail-labour-invoices/2026-04-25/2f9da0b7935cc7f6-2026-04-25 - Invoice FM-155.pdf</x:v>
      </x:c>
      <x:c r="R141" s="15" t="str">
        <x:v>2f9da0b7935cc7f65a33205d8f45fae8b73027a17ba2d91e77fd837efdd659f9</x:v>
      </x:c>
    </x:row>
    <x:row r="142">
      <x:c r="A142" s="31" t="n">
        <x:v>46137</x:v>
      </x:c>
      <x:c r="B142" s="15" t="str">
        <x:v>Premium Coat</x:v>
      </x:c>
      <x:c r="C142" s="15" t="str">
        <x:v>FM-156</x:v>
      </x:c>
      <x:c r="D142" s="15" t="str">
        <x:v>CAD</x:v>
      </x:c>
      <x:c r="E142" s="32" t="n">
        <x:v>600</x:v>
      </x:c>
      <x:c r="F142" s="32" t="n">
        <x:v>78</x:v>
      </x:c>
      <x:c r="G142" s="32" t="n">
        <x:v>678</x:v>
      </x:c>
      <x:c r="H142" s="15" t="str">
        <x:v>matched</x:v>
      </x:c>
      <x:c r="I142" s="15" t="str">
        <x:v>invoice</x:v>
      </x:c>
      <x:c r="J142" s="15" t="str">
        <x:v>100973644</x:v>
      </x:c>
      <x:c r="K142" s="15" t="str">
        <x:v>Issa Daoud</x:v>
      </x:c>
      <x:c r="L142" s="15" t="str">
        <x:v>150</x:v>
      </x:c>
      <x:c r="M142" s="15" t="str">
        <x:v>No</x:v>
      </x:c>
      <x:c r="N142" s="15"/>
      <x:c r="O142" s="15" t="n">
        <x:v>1</x:v>
      </x:c>
      <x:c r="P142" s="15" t="str">
        <x:v>2026-04-25 - Invoice FM-156.pdf</x:v>
      </x:c>
      <x:c r="Q142" s="15" t="str">
        <x:v>gmail-labour-invoices/2026-04-25/0c88678c6df9df45-2026-04-25 - Invoice FM-156.pdf</x:v>
      </x:c>
      <x:c r="R142" s="15" t="str">
        <x:v>0c88678c6df9df4580837662eb7e63c29b95aa739d3318ef9cc062ead4e608ff</x:v>
      </x:c>
    </x:row>
    <x:row r="143">
      <x:c r="A143" s="31" t="n">
        <x:v>46137</x:v>
      </x:c>
      <x:c r="B143" s="15" t="str">
        <x:v>Premium Coat</x:v>
      </x:c>
      <x:c r="C143" s="15" t="str">
        <x:v>FM-157</x:v>
      </x:c>
      <x:c r="D143" s="15" t="str">
        <x:v>CAD</x:v>
      </x:c>
      <x:c r="E143" s="32" t="n">
        <x:v>395</x:v>
      </x:c>
      <x:c r="F143" s="32" t="n">
        <x:v>51.35</x:v>
      </x:c>
      <x:c r="G143" s="32" t="n">
        <x:v>446.35</x:v>
      </x:c>
      <x:c r="H143" s="15" t="str">
        <x:v>matched</x:v>
      </x:c>
      <x:c r="I143" s="15" t="str">
        <x:v>invoice</x:v>
      </x:c>
      <x:c r="J143" s="15" t="str">
        <x:v>102525509</x:v>
      </x:c>
      <x:c r="K143" s="15" t="str">
        <x:v>Michael Sheridan</x:v>
      </x:c>
      <x:c r="L143" s="15" t="str">
        <x:v>150</x:v>
      </x:c>
      <x:c r="M143" s="15" t="str">
        <x:v>No</x:v>
      </x:c>
      <x:c r="N143" s="15"/>
      <x:c r="O143" s="15" t="n">
        <x:v>1</x:v>
      </x:c>
      <x:c r="P143" s="15" t="str">
        <x:v>2026-04-25 - Invoice FM-157.pdf</x:v>
      </x:c>
      <x:c r="Q143" s="15" t="str">
        <x:v>gmail-labour-invoices/2026-04-25/1216cbb3bef2cfde-2026-04-25 - Invoice FM-157.pdf</x:v>
      </x:c>
      <x:c r="R143" s="15" t="str">
        <x:v>1216cbb3bef2cfde9748309de2e06a5fc936aef79e2e857ef44c796b13de682a</x:v>
      </x:c>
    </x:row>
    <x:row r="144">
      <x:c r="A144" s="31" t="n">
        <x:v>46139</x:v>
      </x:c>
      <x:c r="B144" s="15" t="str">
        <x:v>Premium Coat</x:v>
      </x:c>
      <x:c r="C144" s="15" t="str">
        <x:v>FM-158</x:v>
      </x:c>
      <x:c r="D144" s="15" t="str">
        <x:v>CAD</x:v>
      </x:c>
      <x:c r="E144" s="32" t="n">
        <x:v>3600</x:v>
      </x:c>
      <x:c r="F144" s="32" t="n">
        <x:v>0</x:v>
      </x:c>
      <x:c r="G144" s="32" t="n">
        <x:v>3600</x:v>
      </x:c>
      <x:c r="H144" s="15" t="str">
        <x:v>overhead_unmatched</x:v>
      </x:c>
      <x:c r="I144" s="15" t="str">
        <x:v>invoice</x:v>
      </x:c>
      <x:c r="J144" s="15" t="str"/>
      <x:c r="K144" s="15" t="str"/>
      <x:c r="L144" s="15" t="str"/>
      <x:c r="M144" s="15" t="str">
        <x:v>No</x:v>
      </x:c>
      <x:c r="N144" s="15"/>
      <x:c r="O144" s="15" t="n">
        <x:v>1</x:v>
      </x:c>
      <x:c r="P144" s="15" t="str">
        <x:v>2026-04-27 - Invoice FM-158.pdf</x:v>
      </x:c>
      <x:c r="Q144" s="15" t="str">
        <x:v>gmail-labour-invoices/2026-04-27/945ecd6fd4fa8d13-2026-04-27 - Invoice FM-158.pdf</x:v>
      </x:c>
      <x:c r="R144" s="15" t="str">
        <x:v>945ecd6fd4fa8d1310e0f28ff08e1621c5d6867d70eff86dd5420b58c996aa57</x:v>
      </x:c>
    </x:row>
    <x:row r="145">
      <x:c r="A145" s="31" t="n">
        <x:v>46140</x:v>
      </x:c>
      <x:c r="B145" s="15" t="str">
        <x:v>Done Right Handyman Services</x:v>
      </x:c>
      <x:c r="C145" s="15" t="str">
        <x:v>260048</x:v>
      </x:c>
      <x:c r="D145" s="15" t="str">
        <x:v>CAD</x:v>
      </x:c>
      <x:c r="E145" s="32" t="n">
        <x:v>150</x:v>
      </x:c>
      <x:c r="F145" s="32" t="n">
        <x:v>19.5</x:v>
      </x:c>
      <x:c r="G145" s="32" t="n">
        <x:v>169.5</x:v>
      </x:c>
      <x:c r="H145" s="15" t="str">
        <x:v>unmatched</x:v>
      </x:c>
      <x:c r="I145" s="15" t="str">
        <x:v>invoice</x:v>
      </x:c>
      <x:c r="J145" s="15" t="str"/>
      <x:c r="K145" s="15" t="str"/>
      <x:c r="L145" s="15" t="str"/>
      <x:c r="M145" s="15" t="str">
        <x:v>No</x:v>
      </x:c>
      <x:c r="N145" s="15"/>
      <x:c r="O145" s="15" t="n">
        <x:v>1</x:v>
      </x:c>
      <x:c r="P145" s="15" t="str">
        <x:v>2026-04-28 - Invoice_260048_from_Done_Right_Handyman_Services.pdf</x:v>
      </x:c>
      <x:c r="Q145" s="15" t="str">
        <x:v>gmail-labour-invoices/2026-04-28/d0f181c7a1b5b125-2026-04-28 - Invoice_260048_from_Done_Right_Handyman_Services.pdf</x:v>
      </x:c>
      <x:c r="R145" s="15" t="str">
        <x:v>d0f181c7a1b5b125e6fa35be9400d0aed339f9c198359d8891b5fab1b5e23608</x:v>
      </x:c>
    </x:row>
    <x:row r="146">
      <x:c r="A146" s="31" t="n">
        <x:v>46141</x:v>
      </x:c>
      <x:c r="B146" s="15" t="str">
        <x:v>Polaris Painters</x:v>
      </x:c>
      <x:c r="C146" s="15" t="str">
        <x:v>80</x:v>
      </x:c>
      <x:c r="D146" s="15" t="str">
        <x:v>CAD</x:v>
      </x:c>
      <x:c r="E146" s="32" t="n">
        <x:v>690</x:v>
      </x:c>
      <x:c r="F146" s="32" t="n">
        <x:v>0</x:v>
      </x:c>
      <x:c r="G146" s="32" t="n">
        <x:v>690</x:v>
      </x:c>
      <x:c r="H146" s="15" t="str">
        <x:v>matched</x:v>
      </x:c>
      <x:c r="I146" s="15" t="str">
        <x:v>invoice</x:v>
      </x:c>
      <x:c r="J146" s="15" t="str">
        <x:v>99838215</x:v>
      </x:c>
      <x:c r="K146" s="15" t="str">
        <x:v>Justin Wagar</x:v>
      </x:c>
      <x:c r="L146" s="15" t="str">
        <x:v>65</x:v>
      </x:c>
      <x:c r="M146" s="15" t="str">
        <x:v>No</x:v>
      </x:c>
      <x:c r="N146" s="15"/>
      <x:c r="O146" s="15" t="n">
        <x:v>1</x:v>
      </x:c>
      <x:c r="P146" s="15" t="str">
        <x:v>2026-04-29 - Hosted - Jobber Invoice 80 - Justin Wagar.pdf</x:v>
      </x:c>
      <x:c r="Q146" s="15" t="str">
        <x:v>gmail-labour-invoices/2026-04-29/6e0fb794c3a29465-2026-04-29 - Hosted - Jobber Invoice 80 - Justin Wagar.pdf</x:v>
      </x:c>
      <x:c r="R146" s="15" t="str">
        <x:v>6e0fb794c3a2946553412c016f69b7ff3f48d3a70aa3fe4bc334f2501e485af0</x:v>
      </x:c>
    </x:row>
    <x:row r="147">
      <x:c r="A147" s="31" t="n">
        <x:v>46141</x:v>
      </x:c>
      <x:c r="B147" s="15" t="str">
        <x:v>Polaris Painters</x:v>
      </x:c>
      <x:c r="C147" s="15" t="str">
        <x:v>81</x:v>
      </x:c>
      <x:c r="D147" s="15" t="str">
        <x:v>CAD</x:v>
      </x:c>
      <x:c r="E147" s="32" t="n">
        <x:v>700</x:v>
      </x:c>
      <x:c r="F147" s="32" t="n">
        <x:v>0</x:v>
      </x:c>
      <x:c r="G147" s="32" t="n">
        <x:v>700</x:v>
      </x:c>
      <x:c r="H147" s="15" t="str">
        <x:v>unmatched</x:v>
      </x:c>
      <x:c r="I147" s="15" t="str">
        <x:v>invoice</x:v>
      </x:c>
      <x:c r="J147" s="15" t="str"/>
      <x:c r="K147" s="15" t="str"/>
      <x:c r="L147" s="15" t="str"/>
      <x:c r="M147" s="15" t="str">
        <x:v>No</x:v>
      </x:c>
      <x:c r="N147" s="15"/>
      <x:c r="O147" s="15" t="n">
        <x:v>1</x:v>
      </x:c>
      <x:c r="P147" s="15" t="str">
        <x:v>2026-04-29 - Hosted - Jobber Invoice 81 - Julie Irving - added work.pdf</x:v>
      </x:c>
      <x:c r="Q147" s="15" t="str">
        <x:v>gmail-labour-invoices/2026-04-29/65cd5a89a565f1a7-2026-04-29 - Hosted - Jobber Invoice 81 - Julie Irving - added work.pdf</x:v>
      </x:c>
      <x:c r="R147" s="15" t="str">
        <x:v>65cd5a89a565f1a7ecc909160340050a3a7cf66aead2a38c5e1e29e966abe88c</x:v>
      </x:c>
    </x:row>
    <x:row r="148">
      <x:c r="A148" s="31" t="n">
        <x:v>46141</x:v>
      </x:c>
      <x:c r="B148" s="15" t="str">
        <x:v>Polaris Painters</x:v>
      </x:c>
      <x:c r="C148" s="15" t="str">
        <x:v>82</x:v>
      </x:c>
      <x:c r="D148" s="15" t="str">
        <x:v>CAD</x:v>
      </x:c>
      <x:c r="E148" s="32" t="n">
        <x:v>2295</x:v>
      </x:c>
      <x:c r="F148" s="32" t="n">
        <x:v>0</x:v>
      </x:c>
      <x:c r="G148" s="32" t="n">
        <x:v>2295</x:v>
      </x:c>
      <x:c r="H148" s="15" t="str">
        <x:v>matched</x:v>
      </x:c>
      <x:c r="I148" s="15" t="str">
        <x:v>invoice</x:v>
      </x:c>
      <x:c r="J148" s="15" t="str">
        <x:v>98859249</x:v>
      </x:c>
      <x:c r="K148" s="15" t="str">
        <x:v>Yacoub Abdulla</x:v>
      </x:c>
      <x:c r="L148" s="15" t="str">
        <x:v>55</x:v>
      </x:c>
      <x:c r="M148" s="15" t="str">
        <x:v>Yes</x:v>
      </x:c>
      <x:c r="N148" s="15"/>
      <x:c r="O148" s="15" t="n">
        <x:v>1</x:v>
      </x:c>
      <x:c r="P148" s="15" t="str">
        <x:v>2026-04-29 - Hosted - Jobber Invoice 82 - Yacoub Abdulla.pdf</x:v>
      </x:c>
      <x:c r="Q148" s="15" t="str">
        <x:v>gmail-labour-invoices/2026-04-29/010c1cefa0a7062d-2026-04-29 - Hosted - Jobber Invoice 82 - Yacoub Abdulla.pdf</x:v>
      </x:c>
      <x:c r="R148" s="15" t="str">
        <x:v>010c1cefa0a7062d1b9292fd198ebcaad7e8ed395ef9fbecc1057e3d777ea6a1</x:v>
      </x:c>
    </x:row>
    <x:row r="149">
      <x:c r="A149" s="31" t="n">
        <x:v>46142</x:v>
      </x:c>
      <x:c r="B149" s="15" t="str">
        <x:v>PixReno Construction Inc.</x:v>
      </x:c>
      <x:c r="C149" s="15" t="str">
        <x:v>1026</x:v>
      </x:c>
      <x:c r="D149" s="15" t="str">
        <x:v>CAD</x:v>
      </x:c>
      <x:c r="E149" s="32" t="n">
        <x:v>465</x:v>
      </x:c>
      <x:c r="F149" s="32" t="n">
        <x:v>60.45</x:v>
      </x:c>
      <x:c r="G149" s="32" t="n">
        <x:v>525.45</x:v>
      </x:c>
      <x:c r="H149" s="15" t="str">
        <x:v>matched</x:v>
      </x:c>
      <x:c r="I149" s="15" t="str">
        <x:v>invoice</x:v>
      </x:c>
      <x:c r="J149" s="15" t="str">
        <x:v>98403940</x:v>
      </x:c>
      <x:c r="K149" s="15" t="str">
        <x:v>Roslyn Mulongo</x:v>
      </x:c>
      <x:c r="L149" s="15" t="str">
        <x:v>85</x:v>
      </x:c>
      <x:c r="M149" s="15" t="str">
        <x:v>No</x:v>
      </x:c>
      <x:c r="N149" s="15"/>
      <x:c r="O149" s="15" t="n">
        <x:v>1</x:v>
      </x:c>
      <x:c r="P149" s="15" t="str">
        <x:v>2026-04-30 - Invoice_1026_from_PixReno_Construction_Inc.pdf</x:v>
      </x:c>
      <x:c r="Q149" s="15" t="str">
        <x:v>gmail-labour-invoices/2026-04-30/35e6dc215c67b288-2026-04-30 - Invoice_1026_from_PixReno_Construction_Inc.pdf</x:v>
      </x:c>
      <x:c r="R149" s="15" t="str">
        <x:v>35e6dc215c67b288627d95a2168f9aaef36748fccc8ace12f204c6c33078494f</x:v>
      </x:c>
    </x:row>
    <x:row r="150">
      <x:c r="A150" s="31" t="n">
        <x:v>46143</x:v>
      </x:c>
      <x:c r="B150" s="15" t="str">
        <x:v>Premium Coat</x:v>
      </x:c>
      <x:c r="C150" s="15" t="str">
        <x:v>FM-160</x:v>
      </x:c>
      <x:c r="D150" s="15" t="str">
        <x:v>CAD</x:v>
      </x:c>
      <x:c r="E150" s="32" t="n">
        <x:v>1800</x:v>
      </x:c>
      <x:c r="F150" s="32" t="n">
        <x:v>234</x:v>
      </x:c>
      <x:c r="G150" s="32" t="n">
        <x:v>2034</x:v>
      </x:c>
      <x:c r="H150" s="15" t="str">
        <x:v>matched</x:v>
      </x:c>
      <x:c r="I150" s="15" t="str">
        <x:v>invoice</x:v>
      </x:c>
      <x:c r="J150" s="15" t="str">
        <x:v>100097541</x:v>
      </x:c>
      <x:c r="K150" s="15" t="str">
        <x:v>Debbie Lundin</x:v>
      </x:c>
      <x:c r="L150" s="15" t="str">
        <x:v>150</x:v>
      </x:c>
      <x:c r="M150" s="15" t="str">
        <x:v>No</x:v>
      </x:c>
      <x:c r="N150" s="15"/>
      <x:c r="O150" s="15" t="n">
        <x:v>1</x:v>
      </x:c>
      <x:c r="P150" s="15" t="str">
        <x:v>2026-05-01 - Invoice FM-160.pdf</x:v>
      </x:c>
      <x:c r="Q150" s="15" t="str">
        <x:v>gmail-labour-invoices/2026-05-01/1568114db5cae132-2026-05-01 - Invoice FM-160.pdf</x:v>
      </x:c>
      <x:c r="R150" s="15" t="str">
        <x:v>1568114db5cae132d803957be7cf96fdcd48f0e9d612e7d6cca6fd9a1c37508c</x:v>
      </x:c>
    </x:row>
    <x:row r="151">
      <x:c r="A151" s="31" t="n">
        <x:v>46143</x:v>
      </x:c>
      <x:c r="B151" s="15" t="str">
        <x:v>Premium Coat</x:v>
      </x:c>
      <x:c r="C151" s="15" t="str">
        <x:v>FM-161</x:v>
      </x:c>
      <x:c r="D151" s="15" t="str">
        <x:v>CAD</x:v>
      </x:c>
      <x:c r="E151" s="32" t="n">
        <x:v>950</x:v>
      </x:c>
      <x:c r="F151" s="32" t="n">
        <x:v>123.5</x:v>
      </x:c>
      <x:c r="G151" s="32" t="n">
        <x:v>1073.5</x:v>
      </x:c>
      <x:c r="H151" s="15" t="str">
        <x:v>matched</x:v>
      </x:c>
      <x:c r="I151" s="15" t="str">
        <x:v>invoice</x:v>
      </x:c>
      <x:c r="J151" s="15" t="str">
        <x:v>98735197</x:v>
      </x:c>
      <x:c r="K151" s="15" t="str">
        <x:v>Matt Mitchell</x:v>
      </x:c>
      <x:c r="L151" s="15" t="str">
        <x:v>65</x:v>
      </x:c>
      <x:c r="M151" s="15" t="str">
        <x:v>No</x:v>
      </x:c>
      <x:c r="N151" s="15"/>
      <x:c r="O151" s="15" t="n">
        <x:v>1</x:v>
      </x:c>
      <x:c r="P151" s="15" t="str">
        <x:v>2026-05-01 - Invoice FM-161.pdf</x:v>
      </x:c>
      <x:c r="Q151" s="15" t="str">
        <x:v>gmail-labour-invoices/2026-05-01/7816433a18a9561b-2026-05-01 - Invoice FM-161.pdf</x:v>
      </x:c>
      <x:c r="R151" s="15" t="str">
        <x:v>7816433a18a9561b93e025828c399ceff80f1169f4a9b6d894f635703cb676c5</x:v>
      </x:c>
    </x:row>
    <x:row r="152">
      <x:c r="A152" s="31" t="n">
        <x:v>46143</x:v>
      </x:c>
      <x:c r="B152" s="15" t="str">
        <x:v>Caledonian Painting Ltd</x:v>
      </x:c>
      <x:c r="C152" s="15" t="str">
        <x:v>239606</x:v>
      </x:c>
      <x:c r="D152" s="15" t="str">
        <x:v>CAD</x:v>
      </x:c>
      <x:c r="E152" s="32" t="n">
        <x:v>10256.71</x:v>
      </x:c>
      <x:c r="F152" s="32" t="n">
        <x:v>1319.15</x:v>
      </x:c>
      <x:c r="G152" s="32" t="n">
        <x:v>11575.86</x:v>
      </x:c>
      <x:c r="H152" s="15" t="str">
        <x:v>overhead_unmatched</x:v>
      </x:c>
      <x:c r="I152" s="15" t="str">
        <x:v>invoice</x:v>
      </x:c>
      <x:c r="J152" s="15" t="str"/>
      <x:c r="K152" s="15" t="str"/>
      <x:c r="L152" s="15" t="str"/>
      <x:c r="M152" s="15" t="str">
        <x:v>No</x:v>
      </x:c>
      <x:c r="N152" s="15"/>
      <x:c r="O152" s="15" t="n">
        <x:v>1</x:v>
      </x:c>
      <x:c r="P152" s="15" t="str">
        <x:v>2026-05-01 - Invoice_239606_from_Caledonian_Painting_Ltd.pdf</x:v>
      </x:c>
      <x:c r="Q152" s="15" t="str">
        <x:v>gmail-labour-invoices/2026-05-01/62b319e147a082f8-2026-05-01 - Invoice_239606_from_Caledonian_Painting_Ltd.pdf</x:v>
      </x:c>
      <x:c r="R152" s="15" t="str">
        <x:v>62b319e147a082f822912034e543cf9753586b7881d5b64cbec76f3fcebd18bf</x:v>
      </x:c>
    </x:row>
    <x:row r="153">
      <x:c r="A153" s="31" t="n">
        <x:v>46143</x:v>
      </x:c>
      <x:c r="B153" s="15" t="str">
        <x:v>Kimberly Pel Abelgas</x:v>
      </x:c>
      <x:c r="C153" s="15" t="str">
        <x:v>INV-001</x:v>
      </x:c>
      <x:c r="D153" s="15" t="str">
        <x:v>USD</x:v>
      </x:c>
      <x:c r="E153" s="32" t="n">
        <x:v>1920</x:v>
      </x:c>
      <x:c r="F153" s="32" t="n">
        <x:v>0</x:v>
      </x:c>
      <x:c r="G153" s="32" t="n">
        <x:v>1920</x:v>
      </x:c>
      <x:c r="H153" s="15" t="str">
        <x:v>overhead_unmatched</x:v>
      </x:c>
      <x:c r="I153" s="15" t="str">
        <x:v>invoice</x:v>
      </x:c>
      <x:c r="J153" s="15" t="str"/>
      <x:c r="K153" s="15" t="str"/>
      <x:c r="L153" s="15" t="str"/>
      <x:c r="M153" s="15" t="str">
        <x:v>No</x:v>
      </x:c>
      <x:c r="N153" s="15"/>
      <x:c r="O153" s="15" t="n">
        <x:v>1</x:v>
      </x:c>
      <x:c r="P153" s="15" t="str">
        <x:v>2026-05-01 - Kimberly Pel Invoice 0001.pdf</x:v>
      </x:c>
      <x:c r="Q153" s="15" t="str">
        <x:v>gmail-labour-invoices/2026-05-01/dffe35dbf762170c-2026-05-01 - Kimberly Pel Invoice 0001.pdf</x:v>
      </x:c>
      <x:c r="R153" s="15" t="str">
        <x:v>dffe35dbf762170c4ad09864e59dd38d531511c280d42cfbb90282bc0f04200b</x:v>
      </x:c>
    </x:row>
    <x:row r="154">
      <x:c r="A154" s="31" t="n">
        <x:v>46146</x:v>
      </x:c>
      <x:c r="B154" s="15" t="str">
        <x:v>Premium Coat</x:v>
      </x:c>
      <x:c r="C154" s="15" t="str">
        <x:v>FM-162</x:v>
      </x:c>
      <x:c r="D154" s="15" t="str">
        <x:v>CAD</x:v>
      </x:c>
      <x:c r="E154" s="32" t="n">
        <x:v>105</x:v>
      </x:c>
      <x:c r="F154" s="32" t="n">
        <x:v>13.65</x:v>
      </x:c>
      <x:c r="G154" s="32" t="n">
        <x:v>118.65</x:v>
      </x:c>
      <x:c r="H154" s="15" t="str">
        <x:v>matched</x:v>
      </x:c>
      <x:c r="I154" s="15" t="str">
        <x:v>invoice</x:v>
      </x:c>
      <x:c r="J154" s="15" t="str">
        <x:v>100097541</x:v>
      </x:c>
      <x:c r="K154" s="15" t="str">
        <x:v>Debbie Lundin</x:v>
      </x:c>
      <x:c r="L154" s="15" t="str">
        <x:v>150</x:v>
      </x:c>
      <x:c r="M154" s="15" t="str">
        <x:v>No</x:v>
      </x:c>
      <x:c r="N154" s="15"/>
      <x:c r="O154" s="15" t="n">
        <x:v>1</x:v>
      </x:c>
      <x:c r="P154" s="15" t="str">
        <x:v>2026-05-04 - Hosted - Invoice FM-162 - Premium Coat.pdf</x:v>
      </x:c>
      <x:c r="Q154" s="15" t="str">
        <x:v>gmail-labour-invoices/2026-05-04/344eeba00d0ba813-2026-05-04 - Hosted - Invoice FM-162 - Premium Coat.pdf</x:v>
      </x:c>
      <x:c r="R154" s="15" t="str">
        <x:v>344eeba00d0ba813b59fb34fe5532913339ec377237b363989f4d626e9a89f2b</x:v>
      </x:c>
    </x:row>
    <x:row r="155">
      <x:c r="A155" s="31" t="n">
        <x:v>46146</x:v>
      </x:c>
      <x:c r="B155" s="15" t="str">
        <x:v>Polaris Painters</x:v>
      </x:c>
      <x:c r="C155" s="15" t="str">
        <x:v>84</x:v>
      </x:c>
      <x:c r="D155" s="15" t="str">
        <x:v>CAD</x:v>
      </x:c>
      <x:c r="E155" s="32" t="n">
        <x:v>1125</x:v>
      </x:c>
      <x:c r="F155" s="32" t="n">
        <x:v>0</x:v>
      </x:c>
      <x:c r="G155" s="32" t="n">
        <x:v>1125</x:v>
      </x:c>
      <x:c r="H155" s="15" t="str">
        <x:v>matched</x:v>
      </x:c>
      <x:c r="I155" s="15" t="str">
        <x:v>invoice</x:v>
      </x:c>
      <x:c r="J155" s="15" t="str">
        <x:v>100375364</x:v>
      </x:c>
      <x:c r="K155" s="15" t="str">
        <x:v>Martin Huot</x:v>
      </x:c>
      <x:c r="L155" s="15" t="str">
        <x:v>67</x:v>
      </x:c>
      <x:c r="M155" s="15" t="str">
        <x:v>No</x:v>
      </x:c>
      <x:c r="N155" s="15"/>
      <x:c r="O155" s="15" t="n">
        <x:v>1</x:v>
      </x:c>
      <x:c r="P155" s="15" t="str">
        <x:v>2026-05-04 - Hosted - Jobber Invoice 84 - Martin Huot.pdf</x:v>
      </x:c>
      <x:c r="Q155" s="15" t="str">
        <x:v>gmail-labour-invoices/2026-05-04/11f0f06452ff6bfb-2026-05-04 - Hosted - Jobber Invoice 84 - Martin Huot.pdf</x:v>
      </x:c>
      <x:c r="R155" s="15" t="str">
        <x:v>11f0f06452ff6bfb52029edeb1ce1f7ea0a45a2aac231ce2d34b7c9cb6cf997a</x:v>
      </x:c>
    </x:row>
    <x:row r="156">
      <x:c r="A156" s="31" t="n">
        <x:v>46152</x:v>
      </x:c>
      <x:c r="B156" s="15" t="str">
        <x:v>AMG Service Construction</x:v>
      </x:c>
      <x:c r="C156" s="15" t="str">
        <x:v>107</x:v>
      </x:c>
      <x:c r="D156" s="15" t="str">
        <x:v>CAD</x:v>
      </x:c>
      <x:c r="E156" s="32" t="n">
        <x:v>5905</x:v>
      </x:c>
      <x:c r="F156" s="32" t="n">
        <x:v>0</x:v>
      </x:c>
      <x:c r="G156" s="32" t="n">
        <x:v>5905</x:v>
      </x:c>
      <x:c r="H156" s="15" t="str">
        <x:v>matched_multiple</x:v>
      </x:c>
      <x:c r="I156" s="15" t="str">
        <x:v>invoice</x:v>
      </x:c>
      <x:c r="J156" s="15" t="str">
        <x:v>100014400; 104199412</x:v>
      </x:c>
      <x:c r="K156" s="15" t="str">
        <x:v>Heather Thomsen; Alexandra Mackenzie</x:v>
      </x:c>
      <x:c r="L156" s="15" t="str">
        <x:v>150; 85</x:v>
      </x:c>
      <x:c r="M156" s="15" t="str">
        <x:v>No</x:v>
      </x:c>
      <x:c r="N156" s="15"/>
      <x:c r="O156" s="15" t="n">
        <x:v>1</x:v>
      </x:c>
      <x:c r="P156" s="15" t="str">
        <x:v>2026-05-10 - 107-Ottawa-painters.pdf</x:v>
      </x:c>
      <x:c r="Q156" s="15" t="str">
        <x:v>gmail-labour-invoices/2026-05-10/e5b1af0181e923e9-2026-05-10 - 107-Ottawa-painters.pdf</x:v>
      </x:c>
      <x:c r="R156" s="15" t="str">
        <x:v>e5b1af0181e923e9ebde6016d4d7a8a69f9c93c3600c5430ccb7dca072cb6ab8</x:v>
      </x:c>
    </x:row>
    <x:row r="157">
      <x:c r="A157" s="31" t="n">
        <x:v>46153</x:v>
      </x:c>
      <x:c r="B157" s="15" t="str">
        <x:v>PixReno Construction Inc.</x:v>
      </x:c>
      <x:c r="C157" s="15" t="str">
        <x:v>1027</x:v>
      </x:c>
      <x:c r="D157" s="15" t="str">
        <x:v>CAD</x:v>
      </x:c>
      <x:c r="E157" s="32" t="n">
        <x:v>507</x:v>
      </x:c>
      <x:c r="F157" s="32" t="n">
        <x:v>65.91</x:v>
      </x:c>
      <x:c r="G157" s="32" t="n">
        <x:v>572.91</x:v>
      </x:c>
      <x:c r="H157" s="15" t="str">
        <x:v>matched</x:v>
      </x:c>
      <x:c r="I157" s="15" t="str">
        <x:v>invoice</x:v>
      </x:c>
      <x:c r="J157" s="15" t="str">
        <x:v>96830875</x:v>
      </x:c>
      <x:c r="K157" s="15" t="str">
        <x:v>Sonya Lee</x:v>
      </x:c>
      <x:c r="L157" s="15" t="str">
        <x:v>150</x:v>
      </x:c>
      <x:c r="M157" s="15" t="str">
        <x:v>No</x:v>
      </x:c>
      <x:c r="N157" s="15"/>
      <x:c r="O157" s="15" t="n">
        <x:v>1</x:v>
      </x:c>
      <x:c r="P157" s="15" t="str">
        <x:v>2026-05-11 - Invoice_1027_from_PixReno_Construction_Inc.pdf</x:v>
      </x:c>
      <x:c r="Q157" s="15" t="str">
        <x:v>gmail-labour-invoices/2026-05-11/0051b262c97b293e-2026-05-11 - Invoice_1027_from_PixReno_Construction_Inc.pdf</x:v>
      </x:c>
      <x:c r="R157" s="15" t="str">
        <x:v>0051b262c97b293ef6f66352e7206ef3e3a8764bb4b46b6c4d0c9ac5751d7054</x:v>
      </x:c>
    </x:row>
    <x:row r="158">
      <x:c r="A158" s="31" t="n">
        <x:v>46153</x:v>
      </x:c>
      <x:c r="B158" s="15" t="str">
        <x:v>XDesign Dev Inc</x:v>
      </x:c>
      <x:c r="C158" s="15" t="str">
        <x:v>8582</x:v>
      </x:c>
      <x:c r="D158" s="15" t="str">
        <x:v>CAD</x:v>
      </x:c>
      <x:c r="E158" s="32" t="n">
        <x:v>1110</x:v>
      </x:c>
      <x:c r="F158" s="32" t="n">
        <x:v>144.3</x:v>
      </x:c>
      <x:c r="G158" s="32" t="n">
        <x:v>1254.3</x:v>
      </x:c>
      <x:c r="H158" s="15" t="str">
        <x:v>matched</x:v>
      </x:c>
      <x:c r="I158" s="15" t="str">
        <x:v>invoice</x:v>
      </x:c>
      <x:c r="J158" s="15" t="str">
        <x:v>96830875</x:v>
      </x:c>
      <x:c r="K158" s="15" t="str">
        <x:v>Sonya Lee</x:v>
      </x:c>
      <x:c r="L158" s="15" t="str">
        <x:v>150</x:v>
      </x:c>
      <x:c r="M158" s="15" t="str">
        <x:v>No</x:v>
      </x:c>
      <x:c r="N158" s="15"/>
      <x:c r="O158" s="15" t="n">
        <x:v>1</x:v>
      </x:c>
      <x:c r="P158" s="15" t="str">
        <x:v>2026-05-11 - Invoice_8582_2026-05-11.pdf</x:v>
      </x:c>
      <x:c r="Q158" s="15" t="str">
        <x:v>gmail-labour-invoices/2026-05-11/b16db9ad7d42a3a6-2026-05-11 - Invoice_8582_2026-05-11.pdf</x:v>
      </x:c>
      <x:c r="R158" s="15" t="str">
        <x:v>b16db9ad7d42a3a66690325ee8bd6c141b7f9470032dc2cc734f21005acd0cc4</x:v>
      </x:c>
    </x:row>
    <x:row r="159">
      <x:c r="A159" s="31" t="n">
        <x:v>46156</x:v>
      </x:c>
      <x:c r="B159" s="15" t="str">
        <x:v>XDesign Dev Inc</x:v>
      </x:c>
      <x:c r="C159" s="15" t="str">
        <x:v>8583</x:v>
      </x:c>
      <x:c r="D159" s="15" t="str">
        <x:v>CAD</x:v>
      </x:c>
      <x:c r="E159" s="32" t="n">
        <x:v>330</x:v>
      </x:c>
      <x:c r="F159" s="32" t="n">
        <x:v>42.9</x:v>
      </x:c>
      <x:c r="G159" s="32" t="n">
        <x:v>372.9</x:v>
      </x:c>
      <x:c r="H159" s="15" t="str">
        <x:v>matched</x:v>
      </x:c>
      <x:c r="I159" s="15" t="str">
        <x:v>invoice</x:v>
      </x:c>
      <x:c r="J159" s="15" t="str">
        <x:v>96830875</x:v>
      </x:c>
      <x:c r="K159" s="15" t="str">
        <x:v>Sonya Lee</x:v>
      </x:c>
      <x:c r="L159" s="15" t="str">
        <x:v>150</x:v>
      </x:c>
      <x:c r="M159" s="15" t="str">
        <x:v>No</x:v>
      </x:c>
      <x:c r="N159" s="15"/>
      <x:c r="O159" s="15" t="n">
        <x:v>1</x:v>
      </x:c>
      <x:c r="P159" s="15" t="str">
        <x:v>2026-05-14 - Invoice_8583_2026-05-13.pdf</x:v>
      </x:c>
      <x:c r="Q159" s="15" t="str">
        <x:v>gmail-labour-invoices/2026-05-14/146655e1a09c122f-2026-05-14 - Invoice_8583_2026-05-13.pdf</x:v>
      </x:c>
      <x:c r="R159" s="15" t="str">
        <x:v>146655e1a09c122f393d9a2e8f99f4fd6ebc729c579ed407dc3da512647b5b85</x:v>
      </x:c>
    </x:row>
    <x:row r="160">
      <x:c r="A160" s="31" t="n">
        <x:v>46157</x:v>
      </x:c>
      <x:c r="B160" s="15" t="str">
        <x:v>Premium Coat</x:v>
      </x:c>
      <x:c r="C160" s="15" t="str">
        <x:v>FM-165</x:v>
      </x:c>
      <x:c r="D160" s="15" t="str">
        <x:v>CAD</x:v>
      </x:c>
      <x:c r="E160" s="32" t="n">
        <x:v>3326.08</x:v>
      </x:c>
      <x:c r="F160" s="32" t="n">
        <x:v>432.39</x:v>
      </x:c>
      <x:c r="G160" s="32" t="n">
        <x:v>3758.47</x:v>
      </x:c>
      <x:c r="H160" s="15" t="str">
        <x:v>overhead_unmatched</x:v>
      </x:c>
      <x:c r="I160" s="15" t="str">
        <x:v>invoice</x:v>
      </x:c>
      <x:c r="J160" s="15" t="str"/>
      <x:c r="K160" s="15" t="str"/>
      <x:c r="L160" s="15" t="str"/>
      <x:c r="M160" s="15" t="str">
        <x:v>No</x:v>
      </x:c>
      <x:c r="N160" s="15"/>
      <x:c r="O160" s="15" t="n">
        <x:v>1</x:v>
      </x:c>
      <x:c r="P160" s="15" t="str">
        <x:v>2026-05-15 - Invoice FM-165 (1).pdf</x:v>
      </x:c>
      <x:c r="Q160" s="15" t="str">
        <x:v>gmail-labour-invoices/2026-05-15/4323f1ad45c4faaa-2026-05-15 - Invoice FM-165 (1).pdf</x:v>
      </x:c>
      <x:c r="R160" s="15" t="str">
        <x:v>4323f1ad45c4faaa0f04d9eb3d1410c05d4434f3780383edc2b2587890c4e109</x:v>
      </x:c>
    </x:row>
    <x:row r="161">
      <x:c r="A161" s="31" t="n">
        <x:v>46157</x:v>
      </x:c>
      <x:c r="B161" s="15" t="str">
        <x:v>Assmaâ Senni</x:v>
      </x:c>
      <x:c r="C161" s="15" t="str">
        <x:v>2026-007</x:v>
      </x:c>
      <x:c r="D161" s="15" t="str">
        <x:v>USD</x:v>
      </x:c>
      <x:c r="E161" s="32" t="n">
        <x:v>140</x:v>
      </x:c>
      <x:c r="F161" s="32" t="n">
        <x:v>0</x:v>
      </x:c>
      <x:c r="G161" s="32" t="n">
        <x:v>140</x:v>
      </x:c>
      <x:c r="H161" s="15" t="str">
        <x:v>overhead_unmatched</x:v>
      </x:c>
      <x:c r="I161" s="15" t="str">
        <x:v>invoice</x:v>
      </x:c>
      <x:c r="J161" s="15" t="str"/>
      <x:c r="K161" s="15" t="str"/>
      <x:c r="L161" s="15" t="str"/>
      <x:c r="M161" s="15" t="str">
        <x:v>No</x:v>
      </x:c>
      <x:c r="N161" s="15"/>
      <x:c r="O161" s="15" t="n">
        <x:v>1</x:v>
      </x:c>
      <x:c r="P161" s="15" t="str">
        <x:v>2026-05-15 - Invoice_2026-007 (1).pdf</x:v>
      </x:c>
      <x:c r="Q161" s="15" t="str">
        <x:v>gmail-labour-invoices/2026-05-15/3c9161fafb5aa8b7-2026-05-15 - Invoice_2026-007 (1).pdf</x:v>
      </x:c>
      <x:c r="R161" s="15" t="str">
        <x:v>3c9161fafb5aa8b7157edb6b4b14eb1974557d593d8a555d520d5423bc43a1fd</x:v>
      </x:c>
    </x:row>
    <x:row r="162">
      <x:c r="A162" s="31" t="n">
        <x:v>46162</x:v>
      </x:c>
      <x:c r="B162" s="15" t="str">
        <x:v>Loli Taping</x:v>
      </x:c>
      <x:c r="C162" s="15" t="str">
        <x:v>1000065</x:v>
      </x:c>
      <x:c r="D162" s="15" t="str">
        <x:v>CAD</x:v>
      </x:c>
      <x:c r="E162" s="32" t="n">
        <x:v>4410</x:v>
      </x:c>
      <x:c r="F162" s="32" t="n">
        <x:v>573.3</x:v>
      </x:c>
      <x:c r="G162" s="32" t="n">
        <x:v>4983.3</x:v>
      </x:c>
      <x:c r="H162" s="15" t="str">
        <x:v>matched</x:v>
      </x:c>
      <x:c r="I162" s="15" t="str">
        <x:v>invoice</x:v>
      </x:c>
      <x:c r="J162" s="15" t="str">
        <x:v>102048180</x:v>
      </x:c>
      <x:c r="K162" s="15" t="str">
        <x:v>Dever Jylha</x:v>
      </x:c>
      <x:c r="L162" s="15" t="str">
        <x:v>150</x:v>
      </x:c>
      <x:c r="M162" s="15" t="str">
        <x:v>No</x:v>
      </x:c>
      <x:c r="N162" s="15"/>
      <x:c r="O162" s="15" t="n">
        <x:v>1</x:v>
      </x:c>
      <x:c r="P162" s="15" t="str">
        <x:v>2026-05-20 - INV - 1000065 LOLI TAPING.pdf</x:v>
      </x:c>
      <x:c r="Q162" s="15" t="str">
        <x:v>gmail-labour-invoices/2026-05-20/185359858da062b9-2026-05-20 - INV - 1000065 LOLI TAPING.pdf</x:v>
      </x:c>
      <x:c r="R162" s="15" t="str">
        <x:v>185359858da062b93836fa532b76850781ae65a1a1f799269843c530ca8d6c41</x:v>
      </x:c>
    </x:row>
    <x:row r="163">
      <x:c r="A163" s="31" t="n">
        <x:v>46163</x:v>
      </x:c>
      <x:c r="B163" s="15" t="str">
        <x:v>Perfect Strokes Painting Inc.</x:v>
      </x:c>
      <x:c r="C163" s="15" t="str">
        <x:v>118</x:v>
      </x:c>
      <x:c r="D163" s="15" t="str">
        <x:v>CAD</x:v>
      </x:c>
      <x:c r="E163" s="32" t="n">
        <x:v>4585</x:v>
      </x:c>
      <x:c r="F163" s="32" t="n">
        <x:v>596.05</x:v>
      </x:c>
      <x:c r="G163" s="32" t="n">
        <x:v>5181.05</x:v>
      </x:c>
      <x:c r="H163" s="15" t="str">
        <x:v>matched</x:v>
      </x:c>
      <x:c r="I163" s="15" t="str">
        <x:v>invoice</x:v>
      </x:c>
      <x:c r="J163" s="15" t="str">
        <x:v>102048180</x:v>
      </x:c>
      <x:c r="K163" s="15" t="str">
        <x:v>Dever Jylha</x:v>
      </x:c>
      <x:c r="L163" s="15" t="str">
        <x:v>150</x:v>
      </x:c>
      <x:c r="M163" s="15" t="str">
        <x:v>No</x:v>
      </x:c>
      <x:c r="N163" s="15"/>
      <x:c r="O163" s="15" t="n">
        <x:v>1</x:v>
      </x:c>
      <x:c r="P163" s="15" t="str">
        <x:v>2026-05-21 - Invoice 118- Perfect Strokes Paintinfg Inc (Ottawa Painter).pdf</x:v>
      </x:c>
      <x:c r="Q163" s="15" t="str">
        <x:v>gmail-labour-invoices/2026-05-21/ad0279752f4ad51d-2026-05-21 - Invoice 118- Perfect Strokes Paintinfg Inc (Ottawa Painter).pdf</x:v>
      </x:c>
      <x:c r="R163" s="15" t="str">
        <x:v>ad0279752f4ad51d6c7e8eef58be5ba3b4171a2d71ae33f3c19f5396ad750281</x:v>
      </x:c>
    </x:row>
    <x:row r="164">
      <x:c r="A164" s="31" t="n">
        <x:v>46165</x:v>
      </x:c>
      <x:c r="B164" s="15" t="str">
        <x:v>Grutenco Painting &amp; Construction Services</x:v>
      </x:c>
      <x:c r="C164" s="15" t="str">
        <x:v>GT-INV-202605-01</x:v>
      </x:c>
      <x:c r="D164" s="15" t="str">
        <x:v>CAD</x:v>
      </x:c>
      <x:c r="E164" s="32" t="n">
        <x:v>4190.09</x:v>
      </x:c>
      <x:c r="F164" s="32" t="n">
        <x:v>544.71</x:v>
      </x:c>
      <x:c r="G164" s="32" t="n">
        <x:v>4734.8</x:v>
      </x:c>
      <x:c r="H164" s="15" t="str">
        <x:v>matched_multiple</x:v>
      </x:c>
      <x:c r="I164" s="15" t="str">
        <x:v>invoice</x:v>
      </x:c>
      <x:c r="J164" s="15" t="str">
        <x:v>102048180; 101795090; 105384945; 104952080; 104252366; 105106506</x:v>
      </x:c>
      <x:c r="K164" s="15" t="str">
        <x:v>Dever Jylha; Joelle Moncrieff; Kelly Boville; Molly Ruser; Tareq Shiblaq; George Chamaa</x:v>
      </x:c>
      <x:c r="L164" s="15" t="str">
        <x:v>150; 150; 150; 150; 150; 65</x:v>
      </x:c>
      <x:c r="M164" s="15" t="str">
        <x:v>No</x:v>
      </x:c>
      <x:c r="N164" s="15"/>
      <x:c r="O164" s="15" t="n">
        <x:v>1</x:v>
      </x:c>
      <x:c r="P164" s="15" t="str">
        <x:v>2026-05-23 - 42963bc6-fb46-4ccd-a472-003ddbd9748e.pdf</x:v>
      </x:c>
      <x:c r="Q164" s="15" t="str">
        <x:v>gmail-labour-invoices/2026-05-23/e72040c1e09a8155-2026-05-23 - 42963bc6-fb46-4ccd-a472-003ddbd9748e.pdf</x:v>
      </x:c>
      <x:c r="R164" s="15" t="str">
        <x:v>e72040c1e09a8155e197087e7e11433ff3ee2a0e79fcd187c7247638ddc97621</x:v>
      </x:c>
    </x:row>
    <x:row r="165">
      <x:c r="A165" s="31" t="n">
        <x:v>46167</x:v>
      </x:c>
      <x:c r="B165" s="15" t="str">
        <x:v>AMG Service Construction</x:v>
      </x:c>
      <x:c r="C165" s="15" t="str">
        <x:v>108</x:v>
      </x:c>
      <x:c r="D165" s="15" t="str">
        <x:v>CAD</x:v>
      </x:c>
      <x:c r="E165" s="32" t="n">
        <x:v>4758.26</x:v>
      </x:c>
      <x:c r="F165" s="32" t="n">
        <x:v>787.5</x:v>
      </x:c>
      <x:c r="G165" s="32" t="n">
        <x:v>5545.76</x:v>
      </x:c>
      <x:c r="H165" s="15" t="str">
        <x:v>matched_multiple</x:v>
      </x:c>
      <x:c r="I165" s="15" t="str">
        <x:v>invoice</x:v>
      </x:c>
      <x:c r="J165" s="15" t="str">
        <x:v>102791614; 102085458; 105711390</x:v>
      </x:c>
      <x:c r="K165" s="15" t="str">
        <x:v>Bailey Muldner; Rashonda Legault; Rene Bellavance</x:v>
      </x:c>
      <x:c r="L165" s="15" t="str">
        <x:v>150; 85; 85</x:v>
      </x:c>
      <x:c r="M165" s="15" t="str">
        <x:v>No</x:v>
      </x:c>
      <x:c r="N165" s="15" t="str">
        <x:v>f114452dc4d3f40a</x:v>
      </x:c>
      <x:c r="O165" s="15" t="n">
        <x:v>3</x:v>
      </x:c>
      <x:c r="P165" s="15" t="str">
        <x:v>2026-05-25 - 108-Ottawa-painters.pdf</x:v>
      </x:c>
      <x:c r="Q165" s="15" t="str">
        <x:v>gmail-labour-invoices/2026-05-25/d843dd4de56671a0-2026-05-25 - 108-Ottawa-painters.pdf</x:v>
      </x:c>
      <x:c r="R165" s="15" t="str">
        <x:v>d843dd4de56671a0ddd96a04611d129136d31df16efb0d2e006990284f1ae9e2</x:v>
      </x:c>
    </x:row>
    <x:row r="166">
      <x:c r="A166" s="31" t="n">
        <x:v>46168</x:v>
      </x:c>
      <x:c r="B166" s="15" t="str">
        <x:v>AMG Service Construction</x:v>
      </x:c>
      <x:c r="C166" s="15" t="str">
        <x:v>108</x:v>
      </x:c>
      <x:c r="D166" s="15" t="str">
        <x:v>CAD</x:v>
      </x:c>
      <x:c r="E166" s="32" t="n">
        <x:v>4758.26</x:v>
      </x:c>
      <x:c r="F166" s="32" t="n">
        <x:v>605.93</x:v>
      </x:c>
      <x:c r="G166" s="32" t="n">
        <x:v>5364.19</x:v>
      </x:c>
      <x:c r="H166" s="15" t="str">
        <x:v>matched_multiple</x:v>
      </x:c>
      <x:c r="I166" s="15" t="str">
        <x:v>invoice</x:v>
      </x:c>
      <x:c r="J166" s="15" t="str">
        <x:v>102791614; 105711390; 105302560; 102085458; 105445031</x:v>
      </x:c>
      <x:c r="K166" s="15" t="str">
        <x:v>Bailey Muldner; Rene Bellavance; Saroeun Cole; Rashonda Legault; Daniel Leblanc</x:v>
      </x:c>
      <x:c r="L166" s="15" t="str">
        <x:v>150; 150; 150; 85; 65</x:v>
      </x:c>
      <x:c r="M166" s="15" t="str">
        <x:v>No</x:v>
      </x:c>
      <x:c r="N166" s="15" t="str">
        <x:v>f114452dc4d3f40a</x:v>
      </x:c>
      <x:c r="O166" s="15" t="n">
        <x:v>3</x:v>
      </x:c>
      <x:c r="P166" s="15" t="str">
        <x:v>2026-05-26 - 108-Ottawa-painters.pdf</x:v>
      </x:c>
      <x:c r="Q166" s="15" t="str">
        <x:v>gmail-labour-invoices/2026-05-26/965527d1b99d92d5-2026-05-26 - 108-Ottawa-painters.pdf</x:v>
      </x:c>
      <x:c r="R166" s="15" t="str">
        <x:v>965527d1b99d92d53a95d55a99e04933f5d8587bc3dc7a498a55ad17b7a25d19</x:v>
      </x:c>
    </x:row>
    <x:row r="167">
      <x:c r="A167" s="31" t="n">
        <x:v>46170</x:v>
      </x:c>
      <x:c r="B167" s="15" t="str">
        <x:v>AMG Service Construction</x:v>
      </x:c>
      <x:c r="C167" s="15" t="str">
        <x:v>108</x:v>
      </x:c>
      <x:c r="D167" s="15" t="str">
        <x:v>CAD</x:v>
      </x:c>
      <x:c r="E167" s="32" t="n">
        <x:v>4758.26</x:v>
      </x:c>
      <x:c r="F167" s="32" t="n">
        <x:v>605.93</x:v>
      </x:c>
      <x:c r="G167" s="32" t="n">
        <x:v>5364.19</x:v>
      </x:c>
      <x:c r="H167" s="15" t="str">
        <x:v>matched_multiple</x:v>
      </x:c>
      <x:c r="I167" s="15" t="str">
        <x:v>invoice</x:v>
      </x:c>
      <x:c r="J167" s="15" t="str">
        <x:v>102791614; 105711390; 105302560; 102085458; 105445031</x:v>
      </x:c>
      <x:c r="K167" s="15" t="str">
        <x:v>Bailey Muldner; Rene Bellavance; Saroeun Cole; Rashonda Legault; Daniel Leblanc</x:v>
      </x:c>
      <x:c r="L167" s="15" t="str">
        <x:v>150; 150; 150; 85; 65</x:v>
      </x:c>
      <x:c r="M167" s="15" t="str">
        <x:v>No</x:v>
      </x:c>
      <x:c r="N167" s="15" t="str">
        <x:v>f114452dc4d3f40a</x:v>
      </x:c>
      <x:c r="O167" s="15" t="n">
        <x:v>3</x:v>
      </x:c>
      <x:c r="P167" s="15" t="str">
        <x:v>2026-05-28 - 108-Ottawa-painters.pdf</x:v>
      </x:c>
      <x:c r="Q167" s="15" t="str">
        <x:v>gmail-labour-invoices/2026-05-28/9053688e222f4d66-2026-05-28 - 108-Ottawa-painters.pdf</x:v>
      </x:c>
      <x:c r="R167" s="15" t="str">
        <x:v>9053688e222f4d66d39e6a46e993976f4b5f2663cd1cc07b626401ea01983138</x:v>
      </x:c>
    </x:row>
    <x:row r="168">
      <x:c r="A168" s="31" t="n">
        <x:v>46172</x:v>
      </x:c>
      <x:c r="B168" s="15" t="str">
        <x:v>Premium Coat</x:v>
      </x:c>
      <x:c r="C168" s="15" t="str">
        <x:v>FM-171</x:v>
      </x:c>
      <x:c r="D168" s="15" t="str">
        <x:v>CAD</x:v>
      </x:c>
      <x:c r="E168" s="32" t="n">
        <x:v>1472.41</x:v>
      </x:c>
      <x:c r="F168" s="32" t="n">
        <x:v>659.41</x:v>
      </x:c>
      <x:c r="G168" s="32" t="n">
        <x:v>2131.82</x:v>
      </x:c>
      <x:c r="H168" s="15" t="str">
        <x:v>overhead_unmatched</x:v>
      </x:c>
      <x:c r="I168" s="15" t="str">
        <x:v>receipt</x:v>
      </x:c>
      <x:c r="J168" s="15" t="str"/>
      <x:c r="K168" s="15" t="str"/>
      <x:c r="L168" s="15" t="str"/>
      <x:c r="M168" s="15" t="str">
        <x:v>No</x:v>
      </x:c>
      <x:c r="N168" s="15" t="str">
        <x:v>936080c2b71a7143</x:v>
      </x:c>
      <x:c r="O168" s="15" t="n">
        <x:v>2</x:v>
      </x:c>
      <x:c r="P168" s="15" t="str">
        <x:v>2026-05-30 - Invoice FM-171 (2).pdf</x:v>
      </x:c>
      <x:c r="Q168" s="15" t="str">
        <x:v>gmail-labour-invoices/2026-05-30/c30f51334832fe50-2026-05-30 - Invoice FM-171 (2).pdf</x:v>
      </x:c>
      <x:c r="R168" s="15" t="str">
        <x:v>c30f51334832fe50f2edccb6dd9b7680b6875470cb246a58190708b4847d2f75</x:v>
      </x:c>
    </x:row>
    <x:row r="169">
      <x:c r="A169" s="31" t="n">
        <x:v>46172</x:v>
      </x:c>
      <x:c r="B169" s="15" t="str">
        <x:v>Premium Coat</x:v>
      </x:c>
      <x:c r="C169" s="15" t="str">
        <x:v>FM-171</x:v>
      </x:c>
      <x:c r="D169" s="15" t="str">
        <x:v>CAD</x:v>
      </x:c>
      <x:c r="E169" s="32" t="n">
        <x:v>4750</x:v>
      </x:c>
      <x:c r="F169" s="32" t="n">
        <x:v>617.5</x:v>
      </x:c>
      <x:c r="G169" s="32" t="n">
        <x:v>5367.5</x:v>
      </x:c>
      <x:c r="H169" s="15" t="str">
        <x:v>overhead_unmatched</x:v>
      </x:c>
      <x:c r="I169" s="15" t="str">
        <x:v>invoice</x:v>
      </x:c>
      <x:c r="J169" s="15" t="str"/>
      <x:c r="K169" s="15" t="str"/>
      <x:c r="L169" s="15" t="str"/>
      <x:c r="M169" s="15" t="str">
        <x:v>No</x:v>
      </x:c>
      <x:c r="N169" s="15" t="str">
        <x:v>936080c2b71a7143</x:v>
      </x:c>
      <x:c r="O169" s="15" t="n">
        <x:v>2</x:v>
      </x:c>
      <x:c r="P169" s="15" t="str">
        <x:v>2026-05-30 - Invoice FM-171.pdf</x:v>
      </x:c>
      <x:c r="Q169" s="15" t="str">
        <x:v>gmail-labour-invoices/2026-05-30/10ddad2629bfdb60-2026-05-30 - Invoice FM-171.pdf</x:v>
      </x:c>
      <x:c r="R169" s="15" t="str">
        <x:v>10ddad2629bfdb602a7a05f9bcbd4a66887039c3b41942462b7507c680bce441</x:v>
      </x:c>
    </x:row>
    <x:row r="170">
      <x:c r="A170" s="31" t="n">
        <x:v>46173</x:v>
      </x:c>
      <x:c r="B170" s="15" t="str">
        <x:v>Kimberly Pel Abelgas</x:v>
      </x:c>
      <x:c r="C170" s="15" t="str">
        <x:v>INV-002</x:v>
      </x:c>
      <x:c r="D170" s="15" t="str">
        <x:v>USD</x:v>
      </x:c>
      <x:c r="E170" s="32" t="n">
        <x:v>1680</x:v>
      </x:c>
      <x:c r="F170" s="32" t="n">
        <x:v>0</x:v>
      </x:c>
      <x:c r="G170" s="32" t="n">
        <x:v>1680</x:v>
      </x:c>
      <x:c r="H170" s="15" t="str">
        <x:v>overhead_unmatched</x:v>
      </x:c>
      <x:c r="I170" s="15" t="str">
        <x:v>invoice</x:v>
      </x:c>
      <x:c r="J170" s="15" t="str"/>
      <x:c r="K170" s="15" t="str"/>
      <x:c r="L170" s="15" t="str"/>
      <x:c r="M170" s="15" t="str">
        <x:v>No</x:v>
      </x:c>
      <x:c r="N170" s="15"/>
      <x:c r="O170" s="15" t="n">
        <x:v>1</x:v>
      </x:c>
      <x:c r="P170" s="15" t="str">
        <x:v>2026-05-31 - Kimberly Pel Invoice 0002.pdf</x:v>
      </x:c>
      <x:c r="Q170" s="15" t="str">
        <x:v>gmail-labour-invoices/2026-05-31/67054434adbdc68b-2026-05-31 - Kimberly Pel Invoice 0002.pdf</x:v>
      </x:c>
      <x:c r="R170" s="15" t="str">
        <x:v>67054434adbdc68bab7fefdc1dcc08b905c28d5c5f8fe13e786e371f948a7daa</x:v>
      </x:c>
    </x:row>
    <x:row r="171">
      <x:c r="A171" s="31" t="n">
        <x:v>46174</x:v>
      </x:c>
      <x:c r="B171" s="15" t="str">
        <x:v>XDesign Dev Inc</x:v>
      </x:c>
      <x:c r="C171" s="15" t="str">
        <x:v>8584</x:v>
      </x:c>
      <x:c r="D171" s="15" t="str">
        <x:v>CAD</x:v>
      </x:c>
      <x:c r="E171" s="32" t="n">
        <x:v>150</x:v>
      </x:c>
      <x:c r="F171" s="32" t="n">
        <x:v>19.5</x:v>
      </x:c>
      <x:c r="G171" s="32" t="n">
        <x:v>169.5</x:v>
      </x:c>
      <x:c r="H171" s="15" t="str">
        <x:v>matched</x:v>
      </x:c>
      <x:c r="I171" s="15" t="str">
        <x:v>invoice</x:v>
      </x:c>
      <x:c r="J171" s="15" t="str">
        <x:v>102047669</x:v>
      </x:c>
      <x:c r="K171" s="15" t="str">
        <x:v>Mike Ralph</x:v>
      </x:c>
      <x:c r="L171" s="15" t="str">
        <x:v>150</x:v>
      </x:c>
      <x:c r="M171" s="15" t="str">
        <x:v>No</x:v>
      </x:c>
      <x:c r="N171" s="15"/>
      <x:c r="O171" s="15" t="n">
        <x:v>1</x:v>
      </x:c>
      <x:c r="P171" s="15" t="str">
        <x:v>2026-06-01 - Invoice_8584_2026-06-01.pdf</x:v>
      </x:c>
      <x:c r="Q171" s="15" t="str">
        <x:v>gmail-labour-invoices/2026-06-01/d0b5e2d9af6a9de5-2026-06-01 - Invoice_8584_2026-06-01.pdf</x:v>
      </x:c>
      <x:c r="R171" s="15" t="str">
        <x:v>d0b5e2d9af6a9de5f864572602d6c2c621093797d6bcfe8f18d4d1918c85a0ca</x:v>
      </x:c>
    </x:row>
    <x:row r="172">
      <x:c r="A172" s="31" t="n">
        <x:v>46175</x:v>
      </x:c>
      <x:c r="B172" s="15" t="str">
        <x:v>Grutenco Painting &amp; Construction Services</x:v>
      </x:c>
      <x:c r="C172" s="15" t="str">
        <x:v>GT-INV-202606-01</x:v>
      </x:c>
      <x:c r="D172" s="15" t="str">
        <x:v>CAD</x:v>
      </x:c>
      <x:c r="E172" s="32" t="n">
        <x:v>2735</x:v>
      </x:c>
      <x:c r="F172" s="32" t="n">
        <x:v>355.55</x:v>
      </x:c>
      <x:c r="G172" s="32" t="n">
        <x:v>3090.55</x:v>
      </x:c>
      <x:c r="H172" s="15" t="str">
        <x:v>matched_multiple</x:v>
      </x:c>
      <x:c r="I172" s="15" t="str">
        <x:v>invoice</x:v>
      </x:c>
      <x:c r="J172" s="15" t="str">
        <x:v>102265050; 102498783</x:v>
      </x:c>
      <x:c r="K172" s="15" t="str">
        <x:v>Lee Snelling; Amanda Daoust</x:v>
      </x:c>
      <x:c r="L172" s="15" t="str">
        <x:v>150; 85</x:v>
      </x:c>
      <x:c r="M172" s="15" t="str">
        <x:v>No</x:v>
      </x:c>
      <x:c r="N172" s="15"/>
      <x:c r="O172" s="15" t="n">
        <x:v>1</x:v>
      </x:c>
      <x:c r="P172" s="15" t="str">
        <x:v>2026-06-02 - 74932994-ffb6-49b1-97e7-0fcd59e5e050.pdf</x:v>
      </x:c>
      <x:c r="Q172" s="15" t="str">
        <x:v>gmail-labour-invoices/2026-06-02/209763c67eecbc32-2026-06-02 - 74932994-ffb6-49b1-97e7-0fcd59e5e050.pdf</x:v>
      </x:c>
      <x:c r="R172" s="15" t="str">
        <x:v>209763c67eecbc32cf9e6a68f0c58d3884726baa14c743188203d21098823b20</x:v>
      </x:c>
    </x:row>
    <x:row r="173">
      <x:c r="A173" s="31" t="n">
        <x:v>46176</x:v>
      </x:c>
      <x:c r="B173" s="15" t="str">
        <x:v>AMG Service Construction</x:v>
      </x:c>
      <x:c r="C173" s="15" t="str">
        <x:v>109</x:v>
      </x:c>
      <x:c r="D173" s="15" t="str">
        <x:v>CAD</x:v>
      </x:c>
      <x:c r="E173" s="32" t="n">
        <x:v>1250.75</x:v>
      </x:c>
      <x:c r="F173" s="32" t="n">
        <x:v>0</x:v>
      </x:c>
      <x:c r="G173" s="32" t="n">
        <x:v>1250.75</x:v>
      </x:c>
      <x:c r="H173" s="15" t="str">
        <x:v>matched_multiple</x:v>
      </x:c>
      <x:c r="I173" s="15" t="str">
        <x:v>invoice</x:v>
      </x:c>
      <x:c r="J173" s="15" t="str">
        <x:v>104972295; 102047669; 102498783</x:v>
      </x:c>
      <x:c r="K173" s="15" t="str">
        <x:v>David Rennie; Mike Ralph; Amanda Daoust</x:v>
      </x:c>
      <x:c r="L173" s="15" t="str">
        <x:v>150; 150; 65</x:v>
      </x:c>
      <x:c r="M173" s="15" t="str">
        <x:v>No</x:v>
      </x:c>
      <x:c r="N173" s="15" t="str">
        <x:v>0fe0d5bd916a26d2</x:v>
      </x:c>
      <x:c r="O173" s="15" t="n">
        <x:v>2</x:v>
      </x:c>
      <x:c r="P173" s="15" t="str">
        <x:v>2026-06-03 - 109-Ottawa-painters (2).pdf</x:v>
      </x:c>
      <x:c r="Q173" s="15" t="str">
        <x:v>gmail-labour-invoices/2026-06-03/bd5096f1bd0099a1-2026-06-03 - 109-Ottawa-painters (2).pdf</x:v>
      </x:c>
      <x:c r="R173" s="15" t="str">
        <x:v>bd5096f1bd0099a148b7270eb5485ac30ba98b10f2433739b044d8301e548bfd</x:v>
      </x:c>
    </x:row>
    <x:row r="174">
      <x:c r="A174" s="31" t="n">
        <x:v>46176</x:v>
      </x:c>
      <x:c r="B174" s="15" t="str">
        <x:v>AMG Service Construction</x:v>
      </x:c>
      <x:c r="C174" s="15" t="str">
        <x:v>109</x:v>
      </x:c>
      <x:c r="D174" s="15" t="str">
        <x:v>CAD</x:v>
      </x:c>
      <x:c r="E174" s="32" t="n">
        <x:v>1447.2</x:v>
      </x:c>
      <x:c r="F174" s="32" t="n">
        <x:v>0</x:v>
      </x:c>
      <x:c r="G174" s="32" t="n">
        <x:v>1447.2</x:v>
      </x:c>
      <x:c r="H174" s="15" t="str">
        <x:v>matched_multiple</x:v>
      </x:c>
      <x:c r="I174" s="15" t="str">
        <x:v>invoice</x:v>
      </x:c>
      <x:c r="J174" s="15" t="str">
        <x:v>104972295; 102047669; 102498783</x:v>
      </x:c>
      <x:c r="K174" s="15" t="str">
        <x:v>David Rennie; Mike Ralph; Amanda Daoust</x:v>
      </x:c>
      <x:c r="L174" s="15" t="str">
        <x:v>150; 150; 65</x:v>
      </x:c>
      <x:c r="M174" s="15" t="str">
        <x:v>No</x:v>
      </x:c>
      <x:c r="N174" s="15" t="str">
        <x:v>0fe0d5bd916a26d2</x:v>
      </x:c>
      <x:c r="O174" s="15" t="n">
        <x:v>2</x:v>
      </x:c>
      <x:c r="P174" s="15" t="str">
        <x:v>2026-06-03 - 109-Ottawa-painters.pdf</x:v>
      </x:c>
      <x:c r="Q174" s="15" t="str">
        <x:v>gmail-labour-invoices/2026-06-03/83a8e092dd77bcc0-2026-06-03 - 109-Ottawa-painters.pdf</x:v>
      </x:c>
      <x:c r="R174" s="15" t="str">
        <x:v>83a8e092dd77bcc0b118772b51d53df901b12859fcad10585704e92ea438d216</x:v>
      </x:c>
    </x:row>
    <x:row r="175">
      <x:c r="A175" s="31" t="n">
        <x:v>46176</x:v>
      </x:c>
      <x:c r="B175" s="15" t="str">
        <x:v>Assmaâ Senni</x:v>
      </x:c>
      <x:c r="C175" s="15" t="str">
        <x:v>2026-008</x:v>
      </x:c>
      <x:c r="D175" s="15" t="str">
        <x:v>USD</x:v>
      </x:c>
      <x:c r="E175" s="32" t="n">
        <x:v>1250</x:v>
      </x:c>
      <x:c r="F175" s="32" t="n">
        <x:v>0</x:v>
      </x:c>
      <x:c r="G175" s="32" t="n">
        <x:v>1250</x:v>
      </x:c>
      <x:c r="H175" s="15" t="str">
        <x:v>overhead_unmatched</x:v>
      </x:c>
      <x:c r="I175" s="15" t="str">
        <x:v>invoice</x:v>
      </x:c>
      <x:c r="J175" s="15" t="str"/>
      <x:c r="K175" s="15" t="str"/>
      <x:c r="L175" s="15" t="str"/>
      <x:c r="M175" s="15" t="str">
        <x:v>No</x:v>
      </x:c>
      <x:c r="N175" s="15"/>
      <x:c r="O175" s="15" t="n">
        <x:v>1</x:v>
      </x:c>
      <x:c r="P175" s="15" t="str">
        <x:v>2026-06-03 - Invoice_2026-008.pdf</x:v>
      </x:c>
      <x:c r="Q175" s="15" t="str">
        <x:v>gmail-labour-invoices/2026-06-03/b672be7c0d8129dd-2026-06-03 - Invoice_2026-008.pdf</x:v>
      </x:c>
      <x:c r="R175" s="15" t="str">
        <x:v>b672be7c0d8129dd389dd9d6189a85b041a24e23330e38a7607c1ccfba541701</x:v>
      </x:c>
    </x:row>
    <x:row r="176">
      <x:c r="A176" s="31" t="n">
        <x:v>46178</x:v>
      </x:c>
      <x:c r="B176" s="15" t="str">
        <x:v>XDesign Dev Inc</x:v>
      </x:c>
      <x:c r="C176" s="15" t="str">
        <x:v>8585</x:v>
      </x:c>
      <x:c r="D176" s="15" t="str">
        <x:v>CAD</x:v>
      </x:c>
      <x:c r="E176" s="32" t="n">
        <x:v>1410</x:v>
      </x:c>
      <x:c r="F176" s="32" t="n">
        <x:v>183.3</x:v>
      </x:c>
      <x:c r="G176" s="32" t="n">
        <x:v>1593.3</x:v>
      </x:c>
      <x:c r="H176" s="15" t="str">
        <x:v>matched</x:v>
      </x:c>
      <x:c r="I176" s="15" t="str">
        <x:v>invoice</x:v>
      </x:c>
      <x:c r="J176" s="15" t="str">
        <x:v>103262043</x:v>
      </x:c>
      <x:c r="K176" s="15" t="str">
        <x:v>Christian Boulet</x:v>
      </x:c>
      <x:c r="L176" s="15" t="str">
        <x:v>152</x:v>
      </x:c>
      <x:c r="M176" s="15" t="str">
        <x:v>No</x:v>
      </x:c>
      <x:c r="N176" s="15"/>
      <x:c r="O176" s="15" t="n">
        <x:v>1</x:v>
      </x:c>
      <x:c r="P176" s="15" t="str">
        <x:v>2026-06-05 - Invoice_8585_2026-06-05.pdf</x:v>
      </x:c>
      <x:c r="Q176" s="15" t="str">
        <x:v>gmail-labour-invoices/2026-06-05/7ca795a44e6614bf-2026-06-05 - Invoice_8585_2026-06-05.pdf</x:v>
      </x:c>
      <x:c r="R176" s="15" t="str">
        <x:v>7ca795a44e6614bf98236bd9d64ea2c01696e1fe794bed3ea8638ba3abc37c4e</x:v>
      </x:c>
    </x:row>
    <x:row r="177">
      <x:c r="A177" s="31" t="n">
        <x:v>46180</x:v>
      </x:c>
      <x:c r="B177" s="15" t="str">
        <x:v>XDesign Dev Inc</x:v>
      </x:c>
      <x:c r="C177" s="15" t="str">
        <x:v>8586</x:v>
      </x:c>
      <x:c r="D177" s="15" t="str">
        <x:v>CAD</x:v>
      </x:c>
      <x:c r="E177" s="32" t="n">
        <x:v>240</x:v>
      </x:c>
      <x:c r="F177" s="32" t="n">
        <x:v>31.2</x:v>
      </x:c>
      <x:c r="G177" s="32" t="n">
        <x:v>271.2</x:v>
      </x:c>
      <x:c r="H177" s="15" t="str">
        <x:v>matched</x:v>
      </x:c>
      <x:c r="I177" s="15" t="str">
        <x:v>invoice</x:v>
      </x:c>
      <x:c r="J177" s="15" t="str">
        <x:v>104147038</x:v>
      </x:c>
      <x:c r="K177" s="15" t="str">
        <x:v>Danielle Hards</x:v>
      </x:c>
      <x:c r="L177" s="15" t="str">
        <x:v>147</x:v>
      </x:c>
      <x:c r="M177" s="15" t="str">
        <x:v>No</x:v>
      </x:c>
      <x:c r="N177" s="15" t="str">
        <x:v>fccf2fba8780532a</x:v>
      </x:c>
      <x:c r="O177" s="15" t="n">
        <x:v>2</x:v>
      </x:c>
      <x:c r="P177" s="15" t="str">
        <x:v>2026-06-07 - Invoice_8586_2026-06-06.pdf</x:v>
      </x:c>
      <x:c r="Q177" s="15" t="str">
        <x:v>gmail-labour-invoices/2026-06-07/9fd103a09f87dd77-2026-06-07 - Invoice_8586_2026-06-06.pdf</x:v>
      </x:c>
      <x:c r="R177" s="15" t="str">
        <x:v>9fd103a09f87dd7778ea7fd4a752ff101886449c17c726bfcaa019cf1e544d8b</x:v>
      </x:c>
    </x:row>
    <x:row r="178">
      <x:c r="A178" s="31" t="n">
        <x:v>46181</x:v>
      </x:c>
      <x:c r="B178" s="15" t="str">
        <x:v>XDesign Dev Inc</x:v>
      </x:c>
      <x:c r="C178" s="15" t="str">
        <x:v>8586</x:v>
      </x:c>
      <x:c r="D178" s="15" t="str">
        <x:v>CAD</x:v>
      </x:c>
      <x:c r="E178" s="32" t="n">
        <x:v>330</x:v>
      </x:c>
      <x:c r="F178" s="32" t="n">
        <x:v>42.9</x:v>
      </x:c>
      <x:c r="G178" s="32" t="n">
        <x:v>372.9</x:v>
      </x:c>
      <x:c r="H178" s="15" t="str">
        <x:v>matched</x:v>
      </x:c>
      <x:c r="I178" s="15" t="str">
        <x:v>invoice</x:v>
      </x:c>
      <x:c r="J178" s="15" t="str">
        <x:v>104147038</x:v>
      </x:c>
      <x:c r="K178" s="15" t="str">
        <x:v>Danielle Hards</x:v>
      </x:c>
      <x:c r="L178" s="15" t="str">
        <x:v>147</x:v>
      </x:c>
      <x:c r="M178" s="15" t="str">
        <x:v>No</x:v>
      </x:c>
      <x:c r="N178" s="15" t="str">
        <x:v>fccf2fba8780532a</x:v>
      </x:c>
      <x:c r="O178" s="15" t="n">
        <x:v>2</x:v>
      </x:c>
      <x:c r="P178" s="15" t="str">
        <x:v>2026-06-08 - Invoice_8586_2026-06-06.pdf</x:v>
      </x:c>
      <x:c r="Q178" s="15" t="str">
        <x:v>gmail-labour-invoices/2026-06-08/0e1b484dbff8d598-2026-06-08 - Invoice_8586_2026-06-06.pdf</x:v>
      </x:c>
      <x:c r="R178" s="15" t="str">
        <x:v>0e1b484dbff8d5985980490165448841f699d65791baa7a520fb3625d841ae48</x:v>
      </x:c>
    </x:row>
    <x:row r="179">
      <x:c r="A179" s="31" t="n">
        <x:v>46183</x:v>
      </x:c>
      <x:c r="B179" s="15" t="str">
        <x:v>XDesign Dev Inc</x:v>
      </x:c>
      <x:c r="C179" s="15" t="str">
        <x:v>8587</x:v>
      </x:c>
      <x:c r="D179" s="15" t="str">
        <x:v>CAD</x:v>
      </x:c>
      <x:c r="E179" s="32" t="n">
        <x:v>570</x:v>
      </x:c>
      <x:c r="F179" s="32" t="n">
        <x:v>74.1</x:v>
      </x:c>
      <x:c r="G179" s="32" t="n">
        <x:v>644.1</x:v>
      </x:c>
      <x:c r="H179" s="15" t="str">
        <x:v>matched</x:v>
      </x:c>
      <x:c r="I179" s="15" t="str">
        <x:v>invoice</x:v>
      </x:c>
      <x:c r="J179" s="15" t="str">
        <x:v>105404218</x:v>
      </x:c>
      <x:c r="K179" s="15" t="str">
        <x:v>Mehaly Marinakis</x:v>
      </x:c>
      <x:c r="L179" s="15" t="str">
        <x:v>67</x:v>
      </x:c>
      <x:c r="M179" s="15" t="str">
        <x:v>No</x:v>
      </x:c>
      <x:c r="N179" s="15"/>
      <x:c r="O179" s="15" t="n">
        <x:v>1</x:v>
      </x:c>
      <x:c r="P179" s="15" t="str">
        <x:v>2026-06-10 - Invoice_8587_2026-06-10.pdf</x:v>
      </x:c>
      <x:c r="Q179" s="15" t="str">
        <x:v>gmail-labour-invoices/2026-06-10/2ba0423bf9ca04d1-2026-06-10 - Invoice_8587_2026-06-10.pdf</x:v>
      </x:c>
      <x:c r="R179" s="15" t="str">
        <x:v>2ba0423bf9ca04d1820692b731840ccdaead151982ba2c22af7bc0e02fa444e3</x:v>
      </x:c>
    </x:row>
    <x:row r="180">
      <x:c r="A180" s="31" t="n">
        <x:v>46184</x:v>
      </x:c>
      <x:c r="B180" s="15" t="str">
        <x:v>Caledonian Painting Ltd</x:v>
      </x:c>
      <x:c r="C180" s="15" t="str">
        <x:v>239607</x:v>
      </x:c>
      <x:c r="D180" s="15" t="str">
        <x:v>CAD</x:v>
      </x:c>
      <x:c r="E180" s="32" t="n">
        <x:v>10863.6</x:v>
      </x:c>
      <x:c r="F180" s="32" t="n">
        <x:v>1392.5</x:v>
      </x:c>
      <x:c r="G180" s="32" t="n">
        <x:v>12256.1</x:v>
      </x:c>
      <x:c r="H180" s="15" t="str">
        <x:v>overhead_unmatched</x:v>
      </x:c>
      <x:c r="I180" s="15" t="str">
        <x:v>invoice</x:v>
      </x:c>
      <x:c r="J180" s="15" t="str"/>
      <x:c r="K180" s="15" t="str"/>
      <x:c r="L180" s="15" t="str"/>
      <x:c r="M180" s="15" t="str">
        <x:v>No</x:v>
      </x:c>
      <x:c r="N180" s="15"/>
      <x:c r="O180" s="15" t="n">
        <x:v>1</x:v>
      </x:c>
      <x:c r="P180" s="15" t="str">
        <x:v>2026-06-11 - Invoice_239607_from_Caledonian_Painting_Ltd.pdf</x:v>
      </x:c>
      <x:c r="Q180" s="15" t="str">
        <x:v>gmail-labour-invoices/2026-06-11/5c221a0f8d19b00d-2026-06-11 - Invoice_239607_from_Caledonian_Painting_Ltd.pdf</x:v>
      </x:c>
      <x:c r="R180" s="15" t="str">
        <x:v>5c221a0f8d19b00dfb691b1bfe00e89fbbf035d359227f1f899aa57d6853d6a2</x:v>
      </x:c>
    </x:row>
    <x:row r="181">
      <x:c r="A181" s="31" t="n">
        <x:v>46185</x:v>
      </x:c>
      <x:c r="B181" s="15" t="str">
        <x:v>Abdellah Aouf</x:v>
      </x:c>
      <x:c r="C181" s="15" t="str">
        <x:v>INV-20260612-001</x:v>
      </x:c>
      <x:c r="D181" s="15" t="str">
        <x:v>CAD</x:v>
      </x:c>
      <x:c r="E181" s="32" t="n">
        <x:v>216</x:v>
      </x:c>
      <x:c r="F181" s="32" t="n">
        <x:v>0</x:v>
      </x:c>
      <x:c r="G181" s="32" t="n">
        <x:v>216</x:v>
      </x:c>
      <x:c r="H181" s="15" t="str">
        <x:v>matched</x:v>
      </x:c>
      <x:c r="I181" s="15" t="str">
        <x:v>invoice</x:v>
      </x:c>
      <x:c r="J181" s="15" t="str">
        <x:v>103262043</x:v>
      </x:c>
      <x:c r="K181" s="15" t="str">
        <x:v>Christian Boulet</x:v>
      </x:c>
      <x:c r="L181" s="15" t="str">
        <x:v>67</x:v>
      </x:c>
      <x:c r="M181" s="15" t="str">
        <x:v>No</x:v>
      </x:c>
      <x:c r="N181" s="15"/>
      <x:c r="O181" s="15" t="n">
        <x:v>1</x:v>
      </x:c>
      <x:c r="P181" s="15" t="str">
        <x:v>2026-06-12 - INV-20260612-001.pdf</x:v>
      </x:c>
      <x:c r="Q181" s="15" t="str">
        <x:v>gmail-labour-invoices/2026-06-12/c7f9b7d6ea2b5ce2-2026-06-12 - INV-20260612-001.pdf</x:v>
      </x:c>
      <x:c r="R181" s="15" t="str">
        <x:v>c7f9b7d6ea2b5ce225866bda63c4aaf3597adaddfa03ea1ea9ca7cfbaa482b0b</x:v>
      </x:c>
    </x:row>
    <x:row r="182">
      <x:c r="A182" s="31" t="n">
        <x:v>46186</x:v>
      </x:c>
      <x:c r="B182" s="15" t="str">
        <x:v>XDesign Dev Inc</x:v>
      </x:c>
      <x:c r="C182" s="15" t="str">
        <x:v>8588</x:v>
      </x:c>
      <x:c r="D182" s="15" t="str">
        <x:v>CAD</x:v>
      </x:c>
      <x:c r="E182" s="32" t="n">
        <x:v>780</x:v>
      </x:c>
      <x:c r="F182" s="32" t="n">
        <x:v>101.4</x:v>
      </x:c>
      <x:c r="G182" s="32" t="n">
        <x:v>881.4</x:v>
      </x:c>
      <x:c r="H182" s="15" t="str">
        <x:v>matched</x:v>
      </x:c>
      <x:c r="I182" s="15" t="str">
        <x:v>invoice</x:v>
      </x:c>
      <x:c r="J182" s="15" t="str">
        <x:v>102330774</x:v>
      </x:c>
      <x:c r="K182" s="15" t="str">
        <x:v>Donna Quigley</x:v>
      </x:c>
      <x:c r="L182" s="15" t="str">
        <x:v>152</x:v>
      </x:c>
      <x:c r="M182" s="15" t="str">
        <x:v>No</x:v>
      </x:c>
      <x:c r="N182" s="15"/>
      <x:c r="O182" s="15" t="n">
        <x:v>1</x:v>
      </x:c>
      <x:c r="P182" s="15" t="str">
        <x:v>2026-06-13 - Invoice_8588_2026-06-12.pdf</x:v>
      </x:c>
      <x:c r="Q182" s="15" t="str">
        <x:v>gmail-labour-invoices/2026-06-13/22cef904e6be9dfe-2026-06-13 - Invoice_8588_2026-06-12.pdf</x:v>
      </x:c>
      <x:c r="R182" s="15" t="str">
        <x:v>22cef904e6be9dfea40bc15554cb6abe53689a958f0d51a5f1d8dc6157398615</x:v>
      </x:c>
    </x:row>
    <x:row r="183">
      <x:c r="A183" s="31" t="n">
        <x:v>46187</x:v>
      </x:c>
      <x:c r="B183" s="15" t="str">
        <x:v>Grutenco Painting &amp; Construction Services</x:v>
      </x:c>
      <x:c r="C183" s="15" t="str">
        <x:v>GT-INV-202606-02</x:v>
      </x:c>
      <x:c r="D183" s="15" t="str">
        <x:v>CAD</x:v>
      </x:c>
      <x:c r="E183" s="32" t="n">
        <x:v>4500</x:v>
      </x:c>
      <x:c r="F183" s="32" t="n">
        <x:v>585</x:v>
      </x:c>
      <x:c r="G183" s="32" t="n">
        <x:v>5085</x:v>
      </x:c>
      <x:c r="H183" s="15" t="str">
        <x:v>matched</x:v>
      </x:c>
      <x:c r="I183" s="15" t="str">
        <x:v>invoice</x:v>
      </x:c>
      <x:c r="J183" s="15" t="str">
        <x:v>104899421</x:v>
      </x:c>
      <x:c r="K183" s="15" t="str">
        <x:v>Kirsty Harris</x:v>
      </x:c>
      <x:c r="L183" s="15" t="str">
        <x:v>152</x:v>
      </x:c>
      <x:c r="M183" s="15" t="str">
        <x:v>No</x:v>
      </x:c>
      <x:c r="N183" s="15"/>
      <x:c r="O183" s="15" t="n">
        <x:v>1</x:v>
      </x:c>
      <x:c r="P183" s="15" t="str">
        <x:v>2026-06-14 - GT-INV-202606-02-Ottawa-Painters.pdf</x:v>
      </x:c>
      <x:c r="Q183" s="15" t="str">
        <x:v>gmail-labour-invoices/2026-06-14/8723cf22902464ff-2026-06-14 - GT-INV-202606-02-Ottawa-Painters.pdf</x:v>
      </x:c>
      <x:c r="R183" s="15" t="str">
        <x:v>8723cf22902464ffb1fbe7dec28a069e4ff2cf5e0badaf34860beacff72266cd</x:v>
      </x:c>
    </x:row>
    <x:row r="184">
      <x:c r="A184" s="31" t="n">
        <x:v>46187</x:v>
      </x:c>
      <x:c r="B184" s="15" t="str">
        <x:v>XDesign Dev Inc</x:v>
      </x:c>
      <x:c r="C184" s="15" t="str">
        <x:v>8589</x:v>
      </x:c>
      <x:c r="D184" s="15" t="str">
        <x:v>CAD</x:v>
      </x:c>
      <x:c r="E184" s="32" t="n">
        <x:v>330</x:v>
      </x:c>
      <x:c r="F184" s="32" t="n">
        <x:v>42.9</x:v>
      </x:c>
      <x:c r="G184" s="32" t="n">
        <x:v>372.9</x:v>
      </x:c>
      <x:c r="H184" s="15" t="str">
        <x:v>matched</x:v>
      </x:c>
      <x:c r="I184" s="15" t="str">
        <x:v>invoice</x:v>
      </x:c>
      <x:c r="J184" s="15" t="str">
        <x:v>107303736</x:v>
      </x:c>
      <x:c r="K184" s="15" t="str">
        <x:v>Jen Payne</x:v>
      </x:c>
      <x:c r="L184" s="15" t="str">
        <x:v>67</x:v>
      </x:c>
      <x:c r="M184" s="15" t="str">
        <x:v>No</x:v>
      </x:c>
      <x:c r="N184" s="15"/>
      <x:c r="O184" s="15" t="n">
        <x:v>1</x:v>
      </x:c>
      <x:c r="P184" s="15" t="str">
        <x:v>2026-06-14 - Invoice_8589_2026-06-14.pdf</x:v>
      </x:c>
      <x:c r="Q184" s="15" t="str">
        <x:v>gmail-labour-invoices/2026-06-14/7b7c48150f008427-2026-06-14 - Invoice_8589_2026-06-14.pdf</x:v>
      </x:c>
      <x:c r="R184" s="15" t="str">
        <x:v>7b7c48150f00842785a8523b8bf03f4a5621c086b21165af4ac773af9a627bf6</x:v>
      </x:c>
    </x:row>
    <x:row r="185">
      <x:c r="A185" s="31" t="n">
        <x:v>46188</x:v>
      </x:c>
      <x:c r="B185" s="15" t="str">
        <x:v>Abdellah Aouf</x:v>
      </x:c>
      <x:c r="C185" s="15" t="str">
        <x:v>INV-20260615-001</x:v>
      </x:c>
      <x:c r="D185" s="15" t="str">
        <x:v>CAD</x:v>
      </x:c>
      <x:c r="E185" s="32" t="n">
        <x:v>520</x:v>
      </x:c>
      <x:c r="F185" s="32" t="n">
        <x:v>0</x:v>
      </x:c>
      <x:c r="G185" s="32" t="n">
        <x:v>520</x:v>
      </x:c>
      <x:c r="H185" s="15" t="str">
        <x:v>matched</x:v>
      </x:c>
      <x:c r="I185" s="15" t="str">
        <x:v>invoice</x:v>
      </x:c>
      <x:c r="J185" s="15" t="str">
        <x:v>102330774</x:v>
      </x:c>
      <x:c r="K185" s="15" t="str">
        <x:v>Donna Quigley</x:v>
      </x:c>
      <x:c r="L185" s="15" t="str">
        <x:v>152</x:v>
      </x:c>
      <x:c r="M185" s="15" t="str">
        <x:v>No</x:v>
      </x:c>
      <x:c r="N185" s="15" t="str">
        <x:v>35e0b7e9cc0b8069</x:v>
      </x:c>
      <x:c r="O185" s="15" t="n">
        <x:v>2</x:v>
      </x:c>
      <x:c r="P185" s="15" t="str">
        <x:v>2026-06-15 - INV-20260615-001 (2).pdf</x:v>
      </x:c>
      <x:c r="Q185" s="15" t="str">
        <x:v>gmail-labour-invoices/2026-06-15/0518fa212048e998-2026-06-15 - INV-20260615-001 (2).pdf</x:v>
      </x:c>
      <x:c r="R185" s="15" t="str">
        <x:v>0518fa212048e9984daf5847c0847780c0ff77bc9c0ec5dc7fd7c5a8db33c3c8</x:v>
      </x:c>
    </x:row>
    <x:row r="186">
      <x:c r="A186" s="31" t="n">
        <x:v>46188</x:v>
      </x:c>
      <x:c r="B186" s="15" t="str">
        <x:v>Abdellah Aouf</x:v>
      </x:c>
      <x:c r="C186" s="15" t="str">
        <x:v>INV-20260615-001</x:v>
      </x:c>
      <x:c r="D186" s="15" t="str">
        <x:v>CAD</x:v>
      </x:c>
      <x:c r="E186" s="32" t="n">
        <x:v>104</x:v>
      </x:c>
      <x:c r="F186" s="32" t="n">
        <x:v>0</x:v>
      </x:c>
      <x:c r="G186" s="32" t="n">
        <x:v>104</x:v>
      </x:c>
      <x:c r="H186" s="15" t="str">
        <x:v>matched</x:v>
      </x:c>
      <x:c r="I186" s="15" t="str">
        <x:v>invoice</x:v>
      </x:c>
      <x:c r="J186" s="15" t="str">
        <x:v>104147038</x:v>
      </x:c>
      <x:c r="K186" s="15" t="str">
        <x:v>Danielle Hards</x:v>
      </x:c>
      <x:c r="L186" s="15" t="str">
        <x:v>152</x:v>
      </x:c>
      <x:c r="M186" s="15" t="str">
        <x:v>No</x:v>
      </x:c>
      <x:c r="N186" s="15" t="str">
        <x:v>35e0b7e9cc0b8069</x:v>
      </x:c>
      <x:c r="O186" s="15" t="n">
        <x:v>2</x:v>
      </x:c>
      <x:c r="P186" s="15" t="str">
        <x:v>2026-06-15 - INV-20260615-001.pdf</x:v>
      </x:c>
      <x:c r="Q186" s="15" t="str">
        <x:v>gmail-labour-invoices/2026-06-15/7a22dc63a25333b3-2026-06-15 - INV-20260615-001.pdf</x:v>
      </x:c>
      <x:c r="R186" s="15" t="str">
        <x:v>7a22dc63a25333b345bf1dc828fb95eeb2933113b2916f59608f22d0af8c796d</x:v>
      </x:c>
    </x:row>
    <x:row r="187">
      <x:c r="A187" s="31" t="n">
        <x:v>46190</x:v>
      </x:c>
      <x:c r="B187" s="15" t="str">
        <x:v>XDesign Dev Inc</x:v>
      </x:c>
      <x:c r="C187" s="15" t="str">
        <x:v>8590</x:v>
      </x:c>
      <x:c r="D187" s="15" t="str">
        <x:v>CAD</x:v>
      </x:c>
      <x:c r="E187" s="32" t="n">
        <x:v>540</x:v>
      </x:c>
      <x:c r="F187" s="32" t="n">
        <x:v>70.2</x:v>
      </x:c>
      <x:c r="G187" s="32" t="n">
        <x:v>610.2</x:v>
      </x:c>
      <x:c r="H187" s="15" t="str">
        <x:v>matched_multiple</x:v>
      </x:c>
      <x:c r="I187" s="15" t="str">
        <x:v>invoice</x:v>
      </x:c>
      <x:c r="J187" s="15" t="str">
        <x:v>107341840; 105938236</x:v>
      </x:c>
      <x:c r="K187" s="15" t="str">
        <x:v>Milana Karaganis; Tyler Duncan</x:v>
      </x:c>
      <x:c r="L187" s="15" t="str">
        <x:v>152; 152</x:v>
      </x:c>
      <x:c r="M187" s="15" t="str">
        <x:v>No</x:v>
      </x:c>
      <x:c r="N187" s="15"/>
      <x:c r="O187" s="15" t="n">
        <x:v>1</x:v>
      </x:c>
      <x:c r="P187" s="15" t="str">
        <x:v>2026-06-17 - Invoice_8590_2026-06-17.pdf</x:v>
      </x:c>
      <x:c r="Q187" s="15" t="str">
        <x:v>gmail-labour-invoices/2026-06-17/84b1da49612d4d15-2026-06-17 - Invoice_8590_2026-06-17.pdf</x:v>
      </x:c>
      <x:c r="R187" s="15" t="str">
        <x:v>84b1da49612d4d15ebffc3ce8ece529544a288777240775074e6689798b3ab7c</x:v>
      </x:c>
    </x:row>
    <x:row r="188">
      <x:c r="A188" s="31" t="n">
        <x:v>46192</x:v>
      </x:c>
      <x:c r="B188" s="15" t="str">
        <x:v>Curb Appeal Pro Wash</x:v>
      </x:c>
      <x:c r="C188" s="15" t="str">
        <x:v>1377</x:v>
      </x:c>
      <x:c r="D188" s="15" t="str">
        <x:v>CAD</x:v>
      </x:c>
      <x:c r="E188" s="32" t="n">
        <x:v>200</x:v>
      </x:c>
      <x:c r="F188" s="32" t="n">
        <x:v>0</x:v>
      </x:c>
      <x:c r="G188" s="32" t="n">
        <x:v>200</x:v>
      </x:c>
      <x:c r="H188" s="15" t="str">
        <x:v>matched</x:v>
      </x:c>
      <x:c r="I188" s="15" t="str">
        <x:v>invoice</x:v>
      </x:c>
      <x:c r="J188" s="15" t="str">
        <x:v>105302560</x:v>
      </x:c>
      <x:c r="K188" s="15" t="str">
        <x:v>Saroeun Cole</x:v>
      </x:c>
      <x:c r="L188" s="15" t="str">
        <x:v>150</x:v>
      </x:c>
      <x:c r="M188" s="15" t="str">
        <x:v>No</x:v>
      </x:c>
      <x:c r="N188" s="15"/>
      <x:c r="O188" s="15" t="n">
        <x:v>1</x:v>
      </x:c>
      <x:c r="P188" s="15" t="str">
        <x:v>2026-06-19 - Hosted - Jobber Invoice 1377 - Saroeun Cole.pdf</x:v>
      </x:c>
      <x:c r="Q188" s="15" t="str">
        <x:v>gmail-labour-invoices/2026-06-19/b178ec73e4d7e668-2026-06-19 - Hosted - Jobber Invoice 1377 - Saroeun Cole.pdf</x:v>
      </x:c>
      <x:c r="R188" s="15" t="str">
        <x:v>b178ec73e4d7e6687cebe214b7024e3e506da21cbdbf8b32dcece6f81bc0f0c6</x:v>
      </x:c>
    </x:row>
    <x:row r="189">
      <x:c r="A189" s="31" t="n">
        <x:v>46192</x:v>
      </x:c>
      <x:c r="B189" s="15" t="str">
        <x:v>Curb Appeal Pro Wash</x:v>
      </x:c>
      <x:c r="C189" s="15" t="str">
        <x:v>1375</x:v>
      </x:c>
      <x:c r="D189" s="15" t="str">
        <x:v>CAD</x:v>
      </x:c>
      <x:c r="E189" s="32" t="n">
        <x:v>90</x:v>
      </x:c>
      <x:c r="F189" s="32" t="n">
        <x:v>0</x:v>
      </x:c>
      <x:c r="G189" s="32" t="n">
        <x:v>90</x:v>
      </x:c>
      <x:c r="H189" s="15" t="str">
        <x:v>matched</x:v>
      </x:c>
      <x:c r="I189" s="15" t="str">
        <x:v>invoice</x:v>
      </x:c>
      <x:c r="J189" s="15" t="str">
        <x:v>102085458</x:v>
      </x:c>
      <x:c r="K189" s="15" t="str">
        <x:v>Rashonda Legault</x:v>
      </x:c>
      <x:c r="L189" s="15" t="str">
        <x:v>150</x:v>
      </x:c>
      <x:c r="M189" s="15" t="str">
        <x:v>No</x:v>
      </x:c>
      <x:c r="N189" s="15"/>
      <x:c r="O189" s="15" t="n">
        <x:v>1</x:v>
      </x:c>
      <x:c r="P189" s="15" t="str">
        <x:v>2026-06-19 - invoice_1375.pdf</x:v>
      </x:c>
      <x:c r="Q189" s="15" t="str">
        <x:v>gmail-labour-invoices/2026-06-19/853ac24638a0b55c-2026-06-19 - invoice_1375.pdf</x:v>
      </x:c>
      <x:c r="R189" s="15" t="str">
        <x:v>853ac24638a0b55cac982bb7c41f8318a1e78e1d443a2e3ac9844f8798edd3db</x:v>
      </x:c>
    </x:row>
    <x:row r="190">
      <x:c r="A190" s="31" t="n">
        <x:v>46192</x:v>
      </x:c>
      <x:c r="B190" s="15" t="str">
        <x:v>Curb Appeal Pro Wash</x:v>
      </x:c>
      <x:c r="C190" s="15" t="str">
        <x:v>1376</x:v>
      </x:c>
      <x:c r="D190" s="15" t="str">
        <x:v>CAD</x:v>
      </x:c>
      <x:c r="E190" s="32" t="n">
        <x:v>150</x:v>
      </x:c>
      <x:c r="F190" s="32" t="n">
        <x:v>0</x:v>
      </x:c>
      <x:c r="G190" s="32" t="n">
        <x:v>150</x:v>
      </x:c>
      <x:c r="H190" s="15" t="str">
        <x:v>matched</x:v>
      </x:c>
      <x:c r="I190" s="15" t="str">
        <x:v>invoice</x:v>
      </x:c>
      <x:c r="J190" s="15" t="str">
        <x:v>104252366</x:v>
      </x:c>
      <x:c r="K190" s="15" t="str">
        <x:v>Tareq Shiblaq</x:v>
      </x:c>
      <x:c r="L190" s="15" t="str">
        <x:v>65</x:v>
      </x:c>
      <x:c r="M190" s="15" t="str">
        <x:v>No</x:v>
      </x:c>
      <x:c r="N190" s="15"/>
      <x:c r="O190" s="15" t="n">
        <x:v>1</x:v>
      </x:c>
      <x:c r="P190" s="15" t="str">
        <x:v>2026-06-19 - invoice_1376.pdf</x:v>
      </x:c>
      <x:c r="Q190" s="15" t="str">
        <x:v>gmail-labour-invoices/2026-06-19/2e87d6b8d25c9557-2026-06-19 - invoice_1376.pdf</x:v>
      </x:c>
      <x:c r="R190" s="15" t="str">
        <x:v>2e87d6b8d25c955793886d7ee1b4bcf12c75f435b583850e7a00703d0f62fdb9</x:v>
      </x:c>
    </x:row>
    <x:row r="191">
      <x:c r="A191" s="31" t="n">
        <x:v>46192</x:v>
      </x:c>
      <x:c r="B191" s="15" t="str">
        <x:v>Unknown supplier</x:v>
      </x:c>
      <x:c r="C191" s="15" t="str">
        <x:v>403291</x:v>
      </x:c>
      <x:c r="D191" s="15" t="str">
        <x:v>CAD</x:v>
      </x:c>
      <x:c r="E191" s="32"/>
      <x:c r="F191" s="32"/>
      <x:c r="G191" s="32"/>
      <x:c r="H191" s="15" t="str">
        <x:v>unmatched</x:v>
      </x:c>
      <x:c r="I191" s="15" t="str">
        <x:v>needs_review</x:v>
      </x:c>
      <x:c r="J191" s="15" t="str"/>
      <x:c r="K191" s="15" t="str"/>
      <x:c r="L191" s="15" t="str"/>
      <x:c r="M191" s="15" t="str">
        <x:v>No</x:v>
      </x:c>
      <x:c r="N191" s="15"/>
      <x:c r="O191" s="15" t="n">
        <x:v>1</x:v>
      </x:c>
      <x:c r="P191" s="15" t="str">
        <x:v>2026-06-19 - Invoice#403291-260619153014.pdf</x:v>
      </x:c>
      <x:c r="Q191" s="15" t="str">
        <x:v>gmail-labour-invoices/2026-06-19/d32c7a50a2e2d664-2026-06-19 - Invoice-403291-260619153014.pdf</x:v>
      </x:c>
      <x:c r="R191" s="15" t="str">
        <x:v>d32c7a50a2e2d66464b58246b8bed4a3bb6f312c8a8d5b7e38b97b14dc89fcd6</x:v>
      </x:c>
    </x:row>
    <x:row r="192">
      <x:c r="A192" s="31" t="n">
        <x:v>46200</x:v>
      </x:c>
      <x:c r="B192" s="15" t="str">
        <x:v>XDesign Dev Inc</x:v>
      </x:c>
      <x:c r="C192" s="15" t="str">
        <x:v>8591</x:v>
      </x:c>
      <x:c r="D192" s="15" t="str">
        <x:v>CAD</x:v>
      </x:c>
      <x:c r="E192" s="32" t="n">
        <x:v>1500</x:v>
      </x:c>
      <x:c r="F192" s="32" t="n">
        <x:v>195</x:v>
      </x:c>
      <x:c r="G192" s="32" t="n">
        <x:v>1695</x:v>
      </x:c>
      <x:c r="H192" s="15" t="str">
        <x:v>matched</x:v>
      </x:c>
      <x:c r="I192" s="15" t="str">
        <x:v>invoice</x:v>
      </x:c>
      <x:c r="J192" s="15" t="str">
        <x:v>99920990</x:v>
      </x:c>
      <x:c r="K192" s="15" t="str">
        <x:v>Georgesc Focsaneanu</x:v>
      </x:c>
      <x:c r="L192" s="15" t="str">
        <x:v>87</x:v>
      </x:c>
      <x:c r="M192" s="15" t="str">
        <x:v>No</x:v>
      </x:c>
      <x:c r="N192" s="15"/>
      <x:c r="O192" s="15" t="n">
        <x:v>1</x:v>
      </x:c>
      <x:c r="P192" s="15" t="str">
        <x:v>2026-06-27 - Invoice_8591_2026-06-27.pdf</x:v>
      </x:c>
      <x:c r="Q192" s="15" t="str">
        <x:v>gmail-labour-invoices/2026-06-27/3ee61f661bdcba2e-2026-06-27 - Invoice_8591_2026-06-27.pdf</x:v>
      </x:c>
      <x:c r="R192" s="15" t="str">
        <x:v>3ee61f661bdcba2e53de513c906fecf51dccfd5d813fd68f7b9477a87a7b8c2d</x:v>
      </x:c>
    </x:row>
    <x:row r="193">
      <x:c r="A193" s="31" t="n">
        <x:v>46201</x:v>
      </x:c>
      <x:c r="B193" s="15" t="str">
        <x:v>Sherwin-Williams</x:v>
      </x:c>
      <x:c r="C193" s="15" t="str">
        <x:v>FILE-97098E629224</x:v>
      </x:c>
      <x:c r="D193" s="15" t="str">
        <x:v>CAD</x:v>
      </x:c>
      <x:c r="E193" s="32" t="n">
        <x:v>61.53</x:v>
      </x:c>
      <x:c r="F193" s="32" t="n">
        <x:v>0</x:v>
      </x:c>
      <x:c r="G193" s="32" t="n">
        <x:v>61.53</x:v>
      </x:c>
      <x:c r="H193" s="15" t="str">
        <x:v>unmatched</x:v>
      </x:c>
      <x:c r="I193" s="15" t="str">
        <x:v>receipt</x:v>
      </x:c>
      <x:c r="J193" s="15" t="str"/>
      <x:c r="K193" s="15" t="str"/>
      <x:c r="L193" s="15" t="str"/>
      <x:c r="M193" s="15" t="str">
        <x:v>No</x:v>
      </x:c>
      <x:c r="N193" s="15"/>
      <x:c r="O193" s="15" t="n">
        <x:v>1</x:v>
      </x:c>
      <x:c r="P193" s="15" t="str">
        <x:v>2026-06-28 - 20260628_171446.jpg</x:v>
      </x:c>
      <x:c r="Q193" s="15" t="str">
        <x:v>gmail-labour-invoices/2026-06-28/97098e629224d3a8-2026-06-28 - 20260628_171446.jpg</x:v>
      </x:c>
      <x:c r="R193" s="15" t="str">
        <x:v>97098e629224d3a8ad02f2ec3eee8653fae849732c7158fc6ae139a5b159284a</x:v>
      </x:c>
    </x:row>
    <x:row r="194">
      <x:c r="A194" s="31" t="n">
        <x:v>46201</x:v>
      </x:c>
      <x:c r="B194" s="15" t="str">
        <x:v>Grutenco Painting &amp; Construction Services</x:v>
      </x:c>
      <x:c r="C194" s="15" t="str">
        <x:v>GT-INV-202606-04</x:v>
      </x:c>
      <x:c r="D194" s="15" t="str">
        <x:v>CAD</x:v>
      </x:c>
      <x:c r="E194" s="32" t="n">
        <x:v>881.53</x:v>
      </x:c>
      <x:c r="F194" s="32" t="n">
        <x:v>114.6</x:v>
      </x:c>
      <x:c r="G194" s="32" t="n">
        <x:v>996.13</x:v>
      </x:c>
      <x:c r="H194" s="15" t="str">
        <x:v>matched_multiple</x:v>
      </x:c>
      <x:c r="I194" s="15" t="str">
        <x:v>receipt</x:v>
      </x:c>
      <x:c r="J194" s="15" t="str">
        <x:v>104598485; 105302560</x:v>
      </x:c>
      <x:c r="K194" s="15" t="str">
        <x:v>Ian Rothwell; Saroeun Cole</x:v>
      </x:c>
      <x:c r="L194" s="15" t="str">
        <x:v>150; 150</x:v>
      </x:c>
      <x:c r="M194" s="15" t="str">
        <x:v>No</x:v>
      </x:c>
      <x:c r="N194" s="15"/>
      <x:c r="O194" s="15" t="n">
        <x:v>1</x:v>
      </x:c>
      <x:c r="P194" s="15" t="str">
        <x:v>2026-06-28 - GT-INV-202606-04-Ottawa-Painters.pdf</x:v>
      </x:c>
      <x:c r="Q194" s="15" t="str">
        <x:v>gmail-labour-invoices/2026-06-28/14dd9d0af864c57f-2026-06-28 - GT-INV-202606-04-Ottawa-Painters.pdf</x:v>
      </x:c>
      <x:c r="R194" s="15" t="str">
        <x:v>14dd9d0af864c57f8393126b6cf36a0f04d6e3b6ad7f725ee27d6afa1093b350</x:v>
      </x:c>
    </x:row>
    <x:row r="195">
      <x:c r="A195" s="31" t="n">
        <x:v>46201</x:v>
      </x:c>
      <x:c r="B195" s="15" t="str">
        <x:v>XDesign Dev Inc</x:v>
      </x:c>
      <x:c r="C195" s="15" t="str">
        <x:v>8592</x:v>
      </x:c>
      <x:c r="D195" s="15" t="str">
        <x:v>CAD</x:v>
      </x:c>
      <x:c r="E195" s="32" t="n">
        <x:v>210</x:v>
      </x:c>
      <x:c r="F195" s="32" t="n">
        <x:v>27.3</x:v>
      </x:c>
      <x:c r="G195" s="32" t="n">
        <x:v>237.3</x:v>
      </x:c>
      <x:c r="H195" s="15" t="str">
        <x:v>matched</x:v>
      </x:c>
      <x:c r="I195" s="15" t="str">
        <x:v>invoice</x:v>
      </x:c>
      <x:c r="J195" s="15" t="str">
        <x:v>107341840</x:v>
      </x:c>
      <x:c r="K195" s="15" t="str">
        <x:v>Milana Karaganis</x:v>
      </x:c>
      <x:c r="L195" s="15" t="str">
        <x:v>152</x:v>
      </x:c>
      <x:c r="M195" s="15" t="str">
        <x:v>No</x:v>
      </x:c>
      <x:c r="N195" s="15"/>
      <x:c r="O195" s="15" t="n">
        <x:v>1</x:v>
      </x:c>
      <x:c r="P195" s="15" t="str">
        <x:v>2026-06-28 - Invoice_8592_2026-06-28.pdf</x:v>
      </x:c>
      <x:c r="Q195" s="15" t="str">
        <x:v>gmail-labour-invoices/2026-06-28/4aace1dda4173310-2026-06-28 - Invoice_8592_2026-06-28.pdf</x:v>
      </x:c>
      <x:c r="R195" s="15" t="str">
        <x:v>4aace1dda417331023955b39f575270af506310c65bfcc61c392ee8db1afd086</x:v>
      </x:c>
    </x:row>
    <x:row r="196">
      <x:c r="A196" s="31" t="n">
        <x:v>46203</x:v>
      </x:c>
      <x:c r="B196" s="15" t="str">
        <x:v>Caledonian Painting Ltd</x:v>
      </x:c>
      <x:c r="C196" s="15" t="str">
        <x:v>239608</x:v>
      </x:c>
      <x:c r="D196" s="15" t="str">
        <x:v>CAD</x:v>
      </x:c>
      <x:c r="E196" s="32" t="n">
        <x:v>9032.67</x:v>
      </x:c>
      <x:c r="F196" s="32" t="n">
        <x:v>1160.38</x:v>
      </x:c>
      <x:c r="G196" s="32" t="n">
        <x:v>10193.05</x:v>
      </x:c>
      <x:c r="H196" s="15" t="str">
        <x:v>overhead_unmatched</x:v>
      </x:c>
      <x:c r="I196" s="15" t="str">
        <x:v>invoice</x:v>
      </x:c>
      <x:c r="J196" s="15" t="str"/>
      <x:c r="K196" s="15" t="str"/>
      <x:c r="L196" s="15" t="str"/>
      <x:c r="M196" s="15" t="str">
        <x:v>No</x:v>
      </x:c>
      <x:c r="N196" s="15"/>
      <x:c r="O196" s="15" t="n">
        <x:v>1</x:v>
      </x:c>
      <x:c r="P196" s="15" t="str">
        <x:v>2026-06-30 - Invoice_239608_from_Caledonian_Painting_Ltd.pdf</x:v>
      </x:c>
      <x:c r="Q196" s="15" t="str">
        <x:v>gmail-labour-invoices/2026-06-30/d6664caac92440d4-2026-06-30 - Invoice_239608_from_Caledonian_Painting_Ltd.pdf</x:v>
      </x:c>
      <x:c r="R196" s="15" t="str">
        <x:v>d6664caac92440d41848a86d0e0d249b0cc93772799b6780bfe53bd28be74eaa</x:v>
      </x:c>
    </x:row>
    <x:row r="197">
      <x:c r="A197" s="31" t="n">
        <x:v>46204</x:v>
      </x:c>
      <x:c r="B197" s="15" t="str">
        <x:v>XDesign Dev Inc</x:v>
      </x:c>
      <x:c r="C197" s="15" t="str">
        <x:v>8593</x:v>
      </x:c>
      <x:c r="D197" s="15" t="str">
        <x:v>CAD</x:v>
      </x:c>
      <x:c r="E197" s="32" t="n">
        <x:v>270</x:v>
      </x:c>
      <x:c r="F197" s="32" t="n">
        <x:v>35.1</x:v>
      </x:c>
      <x:c r="G197" s="32" t="n">
        <x:v>305.1</x:v>
      </x:c>
      <x:c r="H197" s="15" t="str">
        <x:v>matched</x:v>
      </x:c>
      <x:c r="I197" s="15" t="str">
        <x:v>invoice</x:v>
      </x:c>
      <x:c r="J197" s="15" t="str">
        <x:v>100375364</x:v>
      </x:c>
      <x:c r="K197" s="15" t="str">
        <x:v>Martin Huot</x:v>
      </x:c>
      <x:c r="L197" s="15" t="str">
        <x:v>152</x:v>
      </x:c>
      <x:c r="M197" s="15" t="str">
        <x:v>No</x:v>
      </x:c>
      <x:c r="N197" s="15"/>
      <x:c r="O197" s="15" t="n">
        <x:v>1</x:v>
      </x:c>
      <x:c r="P197" s="15" t="str">
        <x:v>2026-07-01 - Invoice_8593_2026-06-30.pdf</x:v>
      </x:c>
      <x:c r="Q197" s="15" t="str">
        <x:v>gmail-labour-invoices/2026-07-01/a12cade74643de95-2026-07-01 - Invoice_8593_2026-06-30.pdf</x:v>
      </x:c>
      <x:c r="R197" s="15" t="str">
        <x:v>a12cade74643de95d27185b68fcfdd4280bf67d8caf05333fc64495997230be3</x:v>
      </x:c>
    </x:row>
    <x:row r="198">
      <x:c r="A198" s="31" t="n">
        <x:v>46205</x:v>
      </x:c>
      <x:c r="B198" s="15" t="str">
        <x:v>Assmaâ Senni</x:v>
      </x:c>
      <x:c r="C198" s="15" t="str">
        <x:v>2026-009</x:v>
      </x:c>
      <x:c r="D198" s="15" t="str">
        <x:v>USD</x:v>
      </x:c>
      <x:c r="E198" s="32" t="n">
        <x:v>1400</x:v>
      </x:c>
      <x:c r="F198" s="32" t="n">
        <x:v>0</x:v>
      </x:c>
      <x:c r="G198" s="32" t="n">
        <x:v>1400</x:v>
      </x:c>
      <x:c r="H198" s="15" t="str">
        <x:v>overhead_unmatched</x:v>
      </x:c>
      <x:c r="I198" s="15" t="str">
        <x:v>invoice</x:v>
      </x:c>
      <x:c r="J198" s="15" t="str"/>
      <x:c r="K198" s="15" t="str"/>
      <x:c r="L198" s="15" t="str"/>
      <x:c r="M198" s="15" t="str">
        <x:v>No</x:v>
      </x:c>
      <x:c r="N198" s="15"/>
      <x:c r="O198" s="15" t="n">
        <x:v>1</x:v>
      </x:c>
      <x:c r="P198" s="15" t="str">
        <x:v>2026-07-02 - Invoice_2026-009.pdf</x:v>
      </x:c>
      <x:c r="Q198" s="15" t="str">
        <x:v>gmail-labour-invoices/2026-07-02/4996043a34f22207-2026-07-02 - Invoice_2026-009.pdf</x:v>
      </x:c>
      <x:c r="R198" s="15" t="str">
        <x:v>4996043a34f2220724f6be8d719f751059a6864fc6ea68fc4a9a96dd25478d3a</x:v>
      </x:c>
    </x:row>
    <x:row r="199">
      <x:c r="A199" s="31" t="n">
        <x:v>46206</x:v>
      </x:c>
      <x:c r="B199" s="15" t="str">
        <x:v>XDesign Dev Inc</x:v>
      </x:c>
      <x:c r="C199" s="15" t="str">
        <x:v>8594</x:v>
      </x:c>
      <x:c r="D199" s="15" t="str">
        <x:v>CAD</x:v>
      </x:c>
      <x:c r="E199" s="32" t="n">
        <x:v>390</x:v>
      </x:c>
      <x:c r="F199" s="32" t="n">
        <x:v>50.7</x:v>
      </x:c>
      <x:c r="G199" s="32" t="n">
        <x:v>440.7</x:v>
      </x:c>
      <x:c r="H199" s="15" t="str">
        <x:v>matched</x:v>
      </x:c>
      <x:c r="I199" s="15" t="str">
        <x:v>invoice</x:v>
      </x:c>
      <x:c r="J199" s="15" t="str">
        <x:v>106938970</x:v>
      </x:c>
      <x:c r="K199" s="15" t="str">
        <x:v>Patrick Lenouvel</x:v>
      </x:c>
      <x:c r="L199" s="15" t="str">
        <x:v>152</x:v>
      </x:c>
      <x:c r="M199" s="15" t="str">
        <x:v>Yes</x:v>
      </x:c>
      <x:c r="N199" s="15"/>
      <x:c r="O199" s="15" t="n">
        <x:v>1</x:v>
      </x:c>
      <x:c r="P199" s="15" t="str">
        <x:v>2026-07-03 - Invoice_8594_2026-07-17.pdf</x:v>
      </x:c>
      <x:c r="Q199" s="15" t="str">
        <x:v>gmail-labour-invoices/2026-07-03/4c21f15e44fa9b59-2026-07-03 - Invoice_8594_2026-07-17.pdf</x:v>
      </x:c>
      <x:c r="R199" s="15" t="str">
        <x:v>4c21f15e44fa9b5968d43a8f6f5a3a9e2fe3134ee23a3bf1b063e0a863faa818</x:v>
      </x:c>
    </x:row>
    <x:row r="200">
      <x:c r="A200" s="31" t="n">
        <x:v>46206</x:v>
      </x:c>
      <x:c r="B200" s="15" t="str">
        <x:v>XDesign Dev Inc</x:v>
      </x:c>
      <x:c r="C200" s="15" t="str">
        <x:v>8595</x:v>
      </x:c>
      <x:c r="D200" s="15" t="str">
        <x:v>CAD</x:v>
      </x:c>
      <x:c r="E200" s="32" t="n">
        <x:v>600</x:v>
      </x:c>
      <x:c r="F200" s="32" t="n">
        <x:v>78</x:v>
      </x:c>
      <x:c r="G200" s="32" t="n">
        <x:v>678</x:v>
      </x:c>
      <x:c r="H200" s="15" t="str">
        <x:v>matched</x:v>
      </x:c>
      <x:c r="I200" s="15" t="str">
        <x:v>invoice</x:v>
      </x:c>
      <x:c r="J200" s="15" t="str">
        <x:v>105395079</x:v>
      </x:c>
      <x:c r="K200" s="15" t="str">
        <x:v>Paul Toonders</x:v>
      </x:c>
      <x:c r="L200" s="15" t="str">
        <x:v>152</x:v>
      </x:c>
      <x:c r="M200" s="15" t="str">
        <x:v>No</x:v>
      </x:c>
      <x:c r="N200" s="15"/>
      <x:c r="O200" s="15" t="n">
        <x:v>1</x:v>
      </x:c>
      <x:c r="P200" s="15" t="str">
        <x:v>2026-07-03 - Invoice_8595_2026-07-17.pdf</x:v>
      </x:c>
      <x:c r="Q200" s="15" t="str">
        <x:v>gmail-labour-invoices/2026-07-03/2cc8515ff868bc82-2026-07-03 - Invoice_8595_2026-07-17.pdf</x:v>
      </x:c>
      <x:c r="R200" s="15" t="str">
        <x:v>2cc8515ff868bc822b0612fee4001b34058d225f8107295bf65e09833affed0a</x:v>
      </x:c>
    </x:row>
    <x:row r="201">
      <x:c r="A201" s="31" t="n">
        <x:v>46210</x:v>
      </x:c>
      <x:c r="B201" s="15" t="str">
        <x:v>Grutenco Painting &amp; Construction Services</x:v>
      </x:c>
      <x:c r="C201" s="15" t="str">
        <x:v>GT-INV-202607-01</x:v>
      </x:c>
      <x:c r="D201" s="15" t="str">
        <x:v>CAD</x:v>
      </x:c>
      <x:c r="E201" s="32" t="n">
        <x:v>500</x:v>
      </x:c>
      <x:c r="F201" s="32" t="n">
        <x:v>65</x:v>
      </x:c>
      <x:c r="G201" s="32" t="n">
        <x:v>565</x:v>
      </x:c>
      <x:c r="H201" s="15" t="str">
        <x:v>matched</x:v>
      </x:c>
      <x:c r="I201" s="15" t="str">
        <x:v>invoice</x:v>
      </x:c>
      <x:c r="J201" s="15" t="str">
        <x:v>106271404</x:v>
      </x:c>
      <x:c r="K201" s="15" t="str">
        <x:v>Emma Bodoni</x:v>
      </x:c>
      <x:c r="L201" s="15" t="str">
        <x:v>152</x:v>
      </x:c>
      <x:c r="M201" s="15" t="str">
        <x:v>No</x:v>
      </x:c>
      <x:c r="N201" s="15"/>
      <x:c r="O201" s="15" t="n">
        <x:v>1</x:v>
      </x:c>
      <x:c r="P201" s="15" t="str">
        <x:v>2026-07-07 - GT-INV-202607-01-Ottawa-Painters.pdf</x:v>
      </x:c>
      <x:c r="Q201" s="15" t="str">
        <x:v>gmail-labour-invoices/2026-07-07/2ae44748c616824e-2026-07-07 - GT-INV-202607-01-Ottawa-Painters.pdf</x:v>
      </x:c>
      <x:c r="R201" s="15" t="str">
        <x:v>2ae44748c616824eefe70459f1a196ec4eab4744112c2dc48bae5955974ae2b2</x:v>
      </x:c>
    </x:row>
    <x:row r="202">
      <x:c r="A202" s="31" t="n">
        <x:v>46210</x:v>
      </x:c>
      <x:c r="B202" s="15" t="str">
        <x:v>XDesign Dev Inc</x:v>
      </x:c>
      <x:c r="C202" s="15" t="str">
        <x:v>8596</x:v>
      </x:c>
      <x:c r="D202" s="15" t="str">
        <x:v>CAD</x:v>
      </x:c>
      <x:c r="E202" s="32" t="n">
        <x:v>600</x:v>
      </x:c>
      <x:c r="F202" s="32" t="n">
        <x:v>78</x:v>
      </x:c>
      <x:c r="G202" s="32" t="n">
        <x:v>678</x:v>
      </x:c>
      <x:c r="H202" s="15" t="str">
        <x:v>matched</x:v>
      </x:c>
      <x:c r="I202" s="15" t="str">
        <x:v>invoice</x:v>
      </x:c>
      <x:c r="J202" s="15" t="str">
        <x:v>108859223</x:v>
      </x:c>
      <x:c r="K202" s="15" t="str">
        <x:v>Diane Benoit</x:v>
      </x:c>
      <x:c r="L202" s="15" t="str">
        <x:v>67</x:v>
      </x:c>
      <x:c r="M202" s="15" t="str">
        <x:v>No</x:v>
      </x:c>
      <x:c r="N202" s="15"/>
      <x:c r="O202" s="15" t="n">
        <x:v>1</x:v>
      </x:c>
      <x:c r="P202" s="15" t="str">
        <x:v>2026-07-07 - Invoice_8596_2026-07-17.pdf</x:v>
      </x:c>
      <x:c r="Q202" s="15" t="str">
        <x:v>gmail-labour-invoices/2026-07-07/d2cae19d6c6b5500-2026-07-07 - Invoice_8596_2026-07-17.pdf</x:v>
      </x:c>
      <x:c r="R202" s="15" t="str">
        <x:v>d2cae19d6c6b5500f44ad2361845962c8027eea827fb1643fb891aac7965b1dd</x:v>
      </x:c>
    </x:row>
    <x:row r="203">
      <x:c r="A203" s="31" t="n">
        <x:v>46211</x:v>
      </x:c>
      <x:c r="B203" s="15" t="str">
        <x:v>Grutenco Painting &amp; Construction Services</x:v>
      </x:c>
      <x:c r="C203" s="15" t="str">
        <x:v>GT-INV-202607-02</x:v>
      </x:c>
      <x:c r="D203" s="15" t="str">
        <x:v>CAD</x:v>
      </x:c>
      <x:c r="E203" s="32" t="n">
        <x:v>900</x:v>
      </x:c>
      <x:c r="F203" s="32" t="n">
        <x:v>117</x:v>
      </x:c>
      <x:c r="G203" s="32" t="n">
        <x:v>1017</x:v>
      </x:c>
      <x:c r="H203" s="15" t="str">
        <x:v>matched</x:v>
      </x:c>
      <x:c r="I203" s="15" t="str">
        <x:v>invoice</x:v>
      </x:c>
      <x:c r="J203" s="15" t="str">
        <x:v>104899421</x:v>
      </x:c>
      <x:c r="K203" s="15" t="str">
        <x:v>Kirsty Harris</x:v>
      </x:c>
      <x:c r="L203" s="15" t="str">
        <x:v>152</x:v>
      </x:c>
      <x:c r="M203" s="15" t="str">
        <x:v>No</x:v>
      </x:c>
      <x:c r="N203" s="15"/>
      <x:c r="O203" s="15" t="n">
        <x:v>1</x:v>
      </x:c>
      <x:c r="P203" s="15" t="str">
        <x:v>2026-07-08 - GT-INV-202607-02-Ottawa-Painters.pdf</x:v>
      </x:c>
      <x:c r="Q203" s="15" t="str">
        <x:v>gmail-labour-invoices/2026-07-08/af6553f5fc519c3c-2026-07-08 - GT-INV-202607-02-Ottawa-Painters.pdf</x:v>
      </x:c>
      <x:c r="R203" s="15" t="str">
        <x:v>af6553f5fc519c3ca676fce3779459ad31cab0627f609aabaaa9c9a59d48e0ca</x:v>
      </x:c>
    </x:row>
    <x:row r="204">
      <x:c r="A204" s="31" t="n">
        <x:v>46214</x:v>
      </x:c>
      <x:c r="B204" s="15" t="str">
        <x:v>XDesign Dev Inc</x:v>
      </x:c>
      <x:c r="C204" s="15" t="str">
        <x:v>8597</x:v>
      </x:c>
      <x:c r="D204" s="15" t="str">
        <x:v>CAD</x:v>
      </x:c>
      <x:c r="E204" s="32" t="n">
        <x:v>270</x:v>
      </x:c>
      <x:c r="F204" s="32" t="n">
        <x:v>35.1</x:v>
      </x:c>
      <x:c r="G204" s="32" t="n">
        <x:v>305.1</x:v>
      </x:c>
      <x:c r="H204" s="15" t="str">
        <x:v>matched_multiple</x:v>
      </x:c>
      <x:c r="I204" s="15" t="str">
        <x:v>invoice</x:v>
      </x:c>
      <x:c r="J204" s="15" t="str">
        <x:v>108285849; 108859223; 105395079; 96770884</x:v>
      </x:c>
      <x:c r="K204" s="15" t="str">
        <x:v>Christine Leclair - 2025-12-31T00:48:03.09; Diane Benoit; Paul Toonders; Christine Leclair</x:v>
      </x:c>
      <x:c r="L204" s="15" t="str">
        <x:v>67; 67; 67; 65</x:v>
      </x:c>
      <x:c r="M204" s="15" t="str">
        <x:v>Yes</x:v>
      </x:c>
      <x:c r="N204" s="15"/>
      <x:c r="O204" s="15" t="n">
        <x:v>1</x:v>
      </x:c>
      <x:c r="P204" s="15" t="str">
        <x:v>2026-07-11 - Invoice_8597_2026-07-11.pdf</x:v>
      </x:c>
      <x:c r="Q204" s="15" t="str">
        <x:v>gmail-labour-invoices/2026-07-11/1ea90e418644e44e-2026-07-11 - Invoice_8597_2026-07-11.pdf</x:v>
      </x:c>
      <x:c r="R204" s="15" t="str">
        <x:v>1ea90e418644e44e14d0ca5db1595f76690c74e533e58382cb8ca04dd4486654</x:v>
      </x:c>
    </x:row>
    <x:row r="205">
      <x:c r="A205" s="31" t="n">
        <x:v>46214</x:v>
      </x:c>
      <x:c r="B205" s="15" t="str">
        <x:v>XDesign Dev Inc</x:v>
      </x:c>
      <x:c r="C205" s="15" t="str">
        <x:v>8598</x:v>
      </x:c>
      <x:c r="D205" s="15" t="str">
        <x:v>CAD</x:v>
      </x:c>
      <x:c r="E205" s="32" t="n">
        <x:v>570</x:v>
      </x:c>
      <x:c r="F205" s="32" t="n">
        <x:v>74.1</x:v>
      </x:c>
      <x:c r="G205" s="32" t="n">
        <x:v>644.1</x:v>
      </x:c>
      <x:c r="H205" s="15" t="str">
        <x:v>matched</x:v>
      </x:c>
      <x:c r="I205" s="15" t="str">
        <x:v>invoice</x:v>
      </x:c>
      <x:c r="J205" s="15" t="str">
        <x:v>106305548</x:v>
      </x:c>
      <x:c r="K205" s="15" t="str">
        <x:v>Phil Anido</x:v>
      </x:c>
      <x:c r="L205" s="15" t="str">
        <x:v>152</x:v>
      </x:c>
      <x:c r="M205" s="15" t="str">
        <x:v>No</x:v>
      </x:c>
      <x:c r="N205" s="15"/>
      <x:c r="O205" s="15" t="n">
        <x:v>1</x:v>
      </x:c>
      <x:c r="P205" s="15" t="str">
        <x:v>2026-07-11 - Invoice_8598_2026-07-11.pdf</x:v>
      </x:c>
      <x:c r="Q205" s="15" t="str">
        <x:v>gmail-labour-invoices/2026-07-11/54c556d82da561fd-2026-07-11 - Invoice_8598_2026-07-11.pdf</x:v>
      </x:c>
      <x:c r="R205" s="15" t="str">
        <x:v>54c556d82da561fd5092bb3fe1fa3ee4def5014d2471f8f43f2cd99c39baf283</x:v>
      </x:c>
    </x:row>
    <x:row r="206">
      <x:c r="A206" s="31" t="n">
        <x:v>46216</x:v>
      </x:c>
      <x:c r="B206" s="15" t="str">
        <x:v>Assmaâ Senni</x:v>
      </x:c>
      <x:c r="C206" s="15" t="str">
        <x:v>2026-010</x:v>
      </x:c>
      <x:c r="D206" s="15" t="str">
        <x:v>USD</x:v>
      </x:c>
      <x:c r="E206" s="32" t="n">
        <x:v>2112</x:v>
      </x:c>
      <x:c r="F206" s="32" t="n">
        <x:v>0</x:v>
      </x:c>
      <x:c r="G206" s="32" t="n">
        <x:v>2112</x:v>
      </x:c>
      <x:c r="H206" s="15" t="str">
        <x:v>overhead_unmatched</x:v>
      </x:c>
      <x:c r="I206" s="15" t="str">
        <x:v>invoice</x:v>
      </x:c>
      <x:c r="J206" s="15" t="str"/>
      <x:c r="K206" s="15" t="str"/>
      <x:c r="L206" s="15" t="str"/>
      <x:c r="M206" s="15" t="str">
        <x:v>No</x:v>
      </x:c>
      <x:c r="N206" s="15"/>
      <x:c r="O206" s="15" t="n">
        <x:v>1</x:v>
      </x:c>
      <x:c r="P206" s="15" t="str">
        <x:v>2026-07-13 - Invoice_2026-009 (1).pdf</x:v>
      </x:c>
      <x:c r="Q206" s="15" t="str">
        <x:v>gmail-labour-invoices/2026-07-13/125ce2992951c2f3-2026-07-13 - Invoice_2026-009 (1).pdf</x:v>
      </x:c>
      <x:c r="R206" s="15" t="str">
        <x:v>125ce2992951c2f3dcdac1fcc1a56242fd52710064ddcf2185732602548a81ad</x:v>
      </x:c>
    </x:row>
    <x:row r="207">
      <x:c r="A207" s="31" t="n">
        <x:v>46216</x:v>
      </x:c>
      <x:c r="B207" s="15" t="str">
        <x:v>XDesign Dev Inc</x:v>
      </x:c>
      <x:c r="C207" s="15" t="str">
        <x:v>8599</x:v>
      </x:c>
      <x:c r="D207" s="15" t="str">
        <x:v>CAD</x:v>
      </x:c>
      <x:c r="E207" s="32" t="n">
        <x:v>450</x:v>
      </x:c>
      <x:c r="F207" s="32" t="n">
        <x:v>58.5</x:v>
      </x:c>
      <x:c r="G207" s="32" t="n">
        <x:v>508.5</x:v>
      </x:c>
      <x:c r="H207" s="15" t="str">
        <x:v>matched</x:v>
      </x:c>
      <x:c r="I207" s="15" t="str">
        <x:v>invoice</x:v>
      </x:c>
      <x:c r="J207" s="15" t="str">
        <x:v>109412153</x:v>
      </x:c>
      <x:c r="K207" s="15" t="str">
        <x:v>Sheila McSwiggan</x:v>
      </x:c>
      <x:c r="L207" s="15" t="str">
        <x:v>147</x:v>
      </x:c>
      <x:c r="M207" s="15" t="str">
        <x:v>No</x:v>
      </x:c>
      <x:c r="N207" s="15"/>
      <x:c r="O207" s="15" t="n">
        <x:v>1</x:v>
      </x:c>
      <x:c r="P207" s="15" t="str">
        <x:v>2026-07-13 - Invoice_8599_2026-07-13.pdf</x:v>
      </x:c>
      <x:c r="Q207" s="15" t="str">
        <x:v>gmail-labour-invoices/2026-07-13/81b7b5ac51688015-2026-07-13 - Invoice_8599_2026-07-13.pdf</x:v>
      </x:c>
      <x:c r="R207" s="15" t="str">
        <x:v>81b7b5ac5168801521cf91c553e4f92586e3d549448348254f21a301c82eb4a0</x:v>
      </x:c>
    </x:row>
    <x:row r="208">
      <x:c r="A208" s="31" t="n">
        <x:v>46218</x:v>
      </x:c>
      <x:c r="B208" s="15" t="str">
        <x:v>Fennec Contracting</x:v>
      </x:c>
      <x:c r="C208" s="15" t="str">
        <x:v>1</x:v>
      </x:c>
      <x:c r="D208" s="15" t="str">
        <x:v>CAD</x:v>
      </x:c>
      <x:c r="E208" s="32" t="n">
        <x:v>3690</x:v>
      </x:c>
      <x:c r="F208" s="32" t="n">
        <x:v>0</x:v>
      </x:c>
      <x:c r="G208" s="32" t="n">
        <x:v>3690</x:v>
      </x:c>
      <x:c r="H208" s="15" t="str">
        <x:v>matched_multiple</x:v>
      </x:c>
      <x:c r="I208" s="15" t="str">
        <x:v>invoice</x:v>
      </x:c>
      <x:c r="J208" s="15" t="str">
        <x:v>99920990; 106938970; 96770884; 106923203; 108859223; 106305548; 108379671; 108496652</x:v>
      </x:c>
      <x:c r="K208" s="15" t="str">
        <x:v>Georgesc Focsaneanu; Patrick Lenouvel; Christine Leclair; Daniel Leung - 2026-06-04T13:32:17.61; Diane Benoit; Phil Anido; Sally Bidal; Sally Bidal - 2026-05-24T16:16:33.077</x:v>
      </x:c>
      <x:c r="L208" s="15" t="str">
        <x:v>87; 87; 85; 67; 67; 67; 67; 67</x:v>
      </x:c>
      <x:c r="M208" s="15" t="str">
        <x:v>Yes</x:v>
      </x:c>
      <x:c r="N208" s="15"/>
      <x:c r="O208" s="15" t="n">
        <x:v>1</x:v>
      </x:c>
      <x:c r="P208" s="15" t="str">
        <x:v>2026-07-15 - Invoice_1_2026-07-17.pdf</x:v>
      </x:c>
      <x:c r="Q208" s="15" t="str">
        <x:v>gmail-labour-invoices/2026-07-15/2b11b2631bd0904d-2026-07-15 - Invoice_1_2026-07-17.pdf</x:v>
      </x:c>
      <x:c r="R208" s="15" t="str">
        <x:v>2b11b2631bd0904df10ffdc2dee91d1e6098b7c2d7140d1940259f5b9a4f30f7</x:v>
      </x:c>
    </x:row>
    <x:row r="209">
      <x:c r="A209" s="31" t="n">
        <x:v>46218</x:v>
      </x:c>
      <x:c r="B209" s="15" t="str">
        <x:v>XDesign Dev Inc</x:v>
      </x:c>
      <x:c r="C209" s="15" t="str">
        <x:v>8600</x:v>
      </x:c>
      <x:c r="D209" s="15" t="str">
        <x:v>CAD</x:v>
      </x:c>
      <x:c r="E209" s="32" t="n">
        <x:v>810</x:v>
      </x:c>
      <x:c r="F209" s="32" t="n">
        <x:v>105.3</x:v>
      </x:c>
      <x:c r="G209" s="32" t="n">
        <x:v>915.3</x:v>
      </x:c>
      <x:c r="H209" s="15" t="str">
        <x:v>matched</x:v>
      </x:c>
      <x:c r="I209" s="15" t="str">
        <x:v>invoice</x:v>
      </x:c>
      <x:c r="J209" s="15" t="str">
        <x:v>108379671</x:v>
      </x:c>
      <x:c r="K209" s="15" t="str">
        <x:v>Sally Bidal</x:v>
      </x:c>
      <x:c r="L209" s="15" t="str">
        <x:v>152</x:v>
      </x:c>
      <x:c r="M209" s="15" t="str">
        <x:v>No</x:v>
      </x:c>
      <x:c r="N209" s="15"/>
      <x:c r="O209" s="15" t="n">
        <x:v>1</x:v>
      </x:c>
      <x:c r="P209" s="15" t="str">
        <x:v>2026-07-15 - Invoice_8600_2026-07-15.pdf</x:v>
      </x:c>
      <x:c r="Q209" s="15" t="str">
        <x:v>gmail-labour-invoices/2026-07-15/d8ded9d516c6a103-2026-07-15 - Invoice_8600_2026-07-15.pdf</x:v>
      </x:c>
      <x:c r="R209" s="15" t="str">
        <x:v>d8ded9d516c6a103fd8b08e784bb2e0e443d8fd1295e3574812a5c82a596f156</x:v>
      </x:c>
    </x:row>
    <x:row r="210">
      <x:c r="A210" s="31" t="n">
        <x:v>46220</x:v>
      </x:c>
      <x:c r="B210" s="15" t="str">
        <x:v>XDesign Dev Inc</x:v>
      </x:c>
      <x:c r="C210" s="15" t="str">
        <x:v>8601</x:v>
      </x:c>
      <x:c r="D210" s="15" t="str">
        <x:v>CAD</x:v>
      </x:c>
      <x:c r="E210" s="32" t="n">
        <x:v>300</x:v>
      </x:c>
      <x:c r="F210" s="32" t="n">
        <x:v>39</x:v>
      </x:c>
      <x:c r="G210" s="32" t="n">
        <x:v>339</x:v>
      </x:c>
      <x:c r="H210" s="15" t="str">
        <x:v>matched_multiple</x:v>
      </x:c>
      <x:c r="I210" s="15" t="str">
        <x:v>invoice</x:v>
      </x:c>
      <x:c r="J210" s="15" t="str">
        <x:v>108285849; 98894646; 106802754; 106305548; 96770884</x:v>
      </x:c>
      <x:c r="K210" s="15" t="str">
        <x:v>Christine Leclair - 2025-12-31T00:48:03.09; Gregg Alexander; Gregg Alexander - 2026-02-06T13:55:11.14; Phil Anido; Christine Leclair</x:v>
      </x:c>
      <x:c r="L210" s="15" t="str">
        <x:v>67; 67; 67; 67; 65</x:v>
      </x:c>
      <x:c r="M210" s="15" t="str">
        <x:v>Yes</x:v>
      </x:c>
      <x:c r="N210" s="15"/>
      <x:c r="O210" s="15" t="n">
        <x:v>1</x:v>
      </x:c>
      <x:c r="P210" s="15" t="str">
        <x:v>2026-07-17 - Invoice_8601_2026-07-16.pdf</x:v>
      </x:c>
      <x:c r="Q210" s="15" t="str">
        <x:v>gmail-labour-invoices/2026-07-17/ec0872edb1da17eb-2026-07-17 - Invoice_8601_2026-07-16.pdf</x:v>
      </x:c>
      <x:c r="R210" s="15" t="str">
        <x:v>ec0872edb1da17eba3d00d19b4526bb59731175a8809f257e93d1ef72c1082e5</x:v>
      </x:c>
    </x:row>
    <x:row r="211">
      <x:c r="A211" s="31" t="n">
        <x:v>46223</x:v>
      </x:c>
      <x:c r="B211" s="15" t="str">
        <x:v>Grutenco Painting &amp; Construction Services</x:v>
      </x:c>
      <x:c r="C211" s="15" t="str">
        <x:v>GT-INV-202607-03</x:v>
      </x:c>
      <x:c r="D211" s="15" t="str">
        <x:v>CAD</x:v>
      </x:c>
      <x:c r="E211" s="32" t="n">
        <x:v>1400</x:v>
      </x:c>
      <x:c r="F211" s="32" t="n">
        <x:v>182</x:v>
      </x:c>
      <x:c r="G211" s="32" t="n">
        <x:v>1582</x:v>
      </x:c>
      <x:c r="H211" s="15" t="str">
        <x:v>matched</x:v>
      </x:c>
      <x:c r="I211" s="15" t="str">
        <x:v>invoice</x:v>
      </x:c>
      <x:c r="J211" s="15" t="str">
        <x:v>108520572</x:v>
      </x:c>
      <x:c r="K211" s="15" t="str">
        <x:v>Lorraine Ulrick</x:v>
      </x:c>
      <x:c r="L211" s="15" t="str">
        <x:v>152</x:v>
      </x:c>
      <x:c r="M211" s="15" t="str">
        <x:v>Yes</x:v>
      </x:c>
      <x:c r="N211" s="15"/>
      <x:c r="O211" s="15" t="n">
        <x:v>1</x:v>
      </x:c>
      <x:c r="P211" s="15" t="str">
        <x:v>2026-07-20 - GT-INV-202607-03-Ottawa-Painters.pdf</x:v>
      </x:c>
      <x:c r="Q211" s="15" t="str">
        <x:v>gmail-labour-invoices/2026-07-20/696e07509aa0d552-2026-07-20 - GT-INV-202607-03-Ottawa-Painters.pdf</x:v>
      </x:c>
      <x:c r="R211" s="15" t="str">
        <x:v>696e07509aa0d552d0606ba69722c92dbed6973a5723a88d927f72ea165f35bc</x:v>
      </x:c>
    </x:row>
    <x:row r="212">
      <x:c r="A212" s="31" t="n">
        <x:v>46225</x:v>
      </x:c>
      <x:c r="B212" s="15" t="str">
        <x:v>XDesign Dev Inc</x:v>
      </x:c>
      <x:c r="C212" s="15" t="str">
        <x:v>8603</x:v>
      </x:c>
      <x:c r="D212" s="15" t="str">
        <x:v>CAD</x:v>
      </x:c>
      <x:c r="E212" s="32" t="n">
        <x:v>600</x:v>
      </x:c>
      <x:c r="F212" s="32" t="n">
        <x:v>78</x:v>
      </x:c>
      <x:c r="G212" s="32" t="n">
        <x:v>678</x:v>
      </x:c>
      <x:c r="H212" s="15" t="str">
        <x:v>matched</x:v>
      </x:c>
      <x:c r="I212" s="15" t="str">
        <x:v>invoice</x:v>
      </x:c>
      <x:c r="J212" s="15" t="str">
        <x:v>103366525</x:v>
      </x:c>
      <x:c r="K212" s="15" t="str">
        <x:v>Corey Parsons</x:v>
      </x:c>
      <x:c r="L212" s="15" t="str">
        <x:v>152</x:v>
      </x:c>
      <x:c r="M212" s="15" t="str">
        <x:v>No</x:v>
      </x:c>
      <x:c r="N212" s="15"/>
      <x:c r="O212" s="15" t="n">
        <x:v>1</x:v>
      </x:c>
      <x:c r="P212" s="15" t="str">
        <x:v>2026-07-22 - Invoice_8603_2026-07-21.pdf</x:v>
      </x:c>
      <x:c r="Q212" s="15" t="str">
        <x:v>gmail-labour-invoices/2026-07-22/eeaf476e674397ec-2026-07-22 - Invoice_8603_2026-07-21.pdf</x:v>
      </x:c>
      <x:c r="R212" s="15" t="str">
        <x:v>eeaf476e674397ec6d3930d298bfa01e6e156d0ca565d3c54281de03167175bb</x:v>
      </x:c>
    </x:row>
    <x:row r="213">
      <x:c r="A213" s="31" t="n">
        <x:v>46227</x:v>
      </x:c>
      <x:c r="B213" s="15" t="str">
        <x:v>Grutenco Painting &amp; Construction Services</x:v>
      </x:c>
      <x:c r="C213" s="15" t="str">
        <x:v>GT-INV-202707-04</x:v>
      </x:c>
      <x:c r="D213" s="15" t="str">
        <x:v>CAD</x:v>
      </x:c>
      <x:c r="E213" s="32" t="n">
        <x:v>2350</x:v>
      </x:c>
      <x:c r="F213" s="32" t="n">
        <x:v>305.5</x:v>
      </x:c>
      <x:c r="G213" s="32" t="n">
        <x:v>2655.5</x:v>
      </x:c>
      <x:c r="H213" s="15" t="str">
        <x:v>matched_multiple</x:v>
      </x:c>
      <x:c r="I213" s="15" t="str">
        <x:v>invoice</x:v>
      </x:c>
      <x:c r="J213" s="15" t="str">
        <x:v>108687702; 103366525; 108454712</x:v>
      </x:c>
      <x:c r="K213" s="15" t="str">
        <x:v>Chris Jupp; Corey Parsons; Kristi Johnson - 2026-06-25T12:36:05</x:v>
      </x:c>
      <x:c r="L213" s="15" t="str">
        <x:v>152; 152; 152</x:v>
      </x:c>
      <x:c r="M213" s="15" t="str">
        <x:v>Yes</x:v>
      </x:c>
      <x:c r="N213" s="15"/>
      <x:c r="O213" s="15" t="n">
        <x:v>1</x:v>
      </x:c>
      <x:c r="P213" s="15" t="str">
        <x:v>2026-07-24 - GT-INV-202707-04-Ottawa-Painters.pdf</x:v>
      </x:c>
      <x:c r="Q213" s="15" t="str">
        <x:v>gmail-labour-invoices/2026-07-24/914e6f0fb4edb6a9-2026-07-24 - GT-INV-202707-04-Ottawa-Painters.pdf</x:v>
      </x:c>
      <x:c r="R213" s="15" t="str">
        <x:v>914e6f0fb4edb6a9e2b28bb90ffddc9b29c5b3fe2ae7f65c763c189f110b4d8d</x:v>
      </x:c>
    </x:row>
    <x:row r="214">
      <x:c r="A214" s="31" t="n">
        <x:v>46227</x:v>
      </x:c>
      <x:c r="B214" s="15" t="str">
        <x:v>XDesign Dev Inc</x:v>
      </x:c>
      <x:c r="C214" s="15" t="str">
        <x:v>8604</x:v>
      </x:c>
      <x:c r="D214" s="15" t="str">
        <x:v>CAD</x:v>
      </x:c>
      <x:c r="E214" s="32" t="n">
        <x:v>420</x:v>
      </x:c>
      <x:c r="F214" s="32" t="n">
        <x:v>54.6</x:v>
      </x:c>
      <x:c r="G214" s="32" t="n">
        <x:v>474.6</x:v>
      </x:c>
      <x:c r="H214" s="15" t="str">
        <x:v>matched</x:v>
      </x:c>
      <x:c r="I214" s="15" t="str">
        <x:v>invoice</x:v>
      </x:c>
      <x:c r="J214" s="15" t="str">
        <x:v>109261475</x:v>
      </x:c>
      <x:c r="K214" s="15" t="str">
        <x:v>Pierre Caron</x:v>
      </x:c>
      <x:c r="L214" s="15" t="str">
        <x:v>152</x:v>
      </x:c>
      <x:c r="M214" s="15" t="str">
        <x:v>No</x:v>
      </x:c>
      <x:c r="N214" s="15"/>
      <x:c r="O214" s="15" t="n">
        <x:v>1</x:v>
      </x:c>
      <x:c r="P214" s="15" t="str">
        <x:v>2026-07-24 - Hosted - Invoice_8604_2026-07-23.pdf</x:v>
      </x:c>
      <x:c r="Q214" s="15" t="str">
        <x:v>gmail-labour-invoices/2026-07-24/bad4c4309cce8d29-2026-07-24 - Hosted - Invoice_8604_2026-07-23.pdf</x:v>
      </x:c>
      <x:c r="R214" s="15" t="str">
        <x:v>bad4c4309cce8d29dde52cc481f875e86a10f506d92c26ba1f3a6f163571a8e7</x:v>
      </x:c>
    </x:row>
  </x:sheetData>
  <x:mergeCells>
    <x:mergeCell ref="A1:R1"/>
    <x:mergeCell ref="A2:R2"/>
  </x:mergeCells>
  <x:conditionalFormatting sqref="H5:H214">
    <x:cfRule type="containsText" dxfId="0" priority="1" operator="containsText" text="unmatched"/>
  </x:conditionalFormatting>
  <x:conditionalFormatting sqref="M5:M214">
    <x:cfRule type="containsText" dxfId="1" priority="2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151111a7a6094d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9" hidden="0" customWidth="1"/>
    <x:col min="4" max="4" width="9" hidden="0" customWidth="1"/>
    <x:col min="5" max="5" width="14" hidden="0" customWidth="1"/>
    <x:col min="6" max="6" width="18" hidden="0" customWidth="1"/>
    <x:col min="7" max="7" width="37" hidden="0" customWidth="1"/>
    <x:col min="8" max="8" width="55" hidden="0" customWidth="1"/>
  </x:cols>
  <x:sheetData>
    <x:row r="1" ht="30" customHeight="1">
      <x:c r="A1" s="3" t="str">
        <x:v>Unmatched Source Files</x:v>
      </x:c>
      <x:c r="B1" s="3" t="str">
        <x:v>Unmatched Source Files</x:v>
      </x:c>
      <x:c r="C1" s="3" t="str">
        <x:v>Unmatched Source Files</x:v>
      </x:c>
      <x:c r="D1" s="3" t="str">
        <x:v>Unmatched Source Files</x:v>
      </x:c>
      <x:c r="E1" s="3" t="str">
        <x:v>Unmatched Source Files</x:v>
      </x:c>
      <x:c r="F1" s="3" t="str">
        <x:v>Unmatched Source Files</x:v>
      </x:c>
      <x:c r="G1" s="3" t="str">
        <x:v>Unmatched Source Files</x:v>
      </x:c>
      <x:c r="H1" s="3" t="str">
        <x:v>Unmatched Source Files</x:v>
      </x:c>
    </x:row>
    <x:row r="2" ht="34" customHeight="1">
      <x:c r="A2" s="7" t="str">
        <x:v>These files were uploaded but not attached to a job because the source did not contain a reliable CompanyCam name/address match.</x:v>
      </x:c>
      <x:c r="B2" s="7" t="str">
        <x:v>These files were uploaded but not attached to a job because the source did not contain a reliable CompanyCam name/address match.</x:v>
      </x:c>
      <x:c r="C2" s="7" t="str">
        <x:v>These files were uploaded but not attached to a job because the source did not contain a reliable CompanyCam name/address match.</x:v>
      </x:c>
      <x:c r="D2" s="7" t="str">
        <x:v>These files were uploaded but not attached to a job because the source did not contain a reliable CompanyCam name/address match.</x:v>
      </x:c>
      <x:c r="E2" s="7" t="str">
        <x:v>These files were uploaded but not attached to a job because the source did not contain a reliable CompanyCam name/address match.</x:v>
      </x:c>
      <x:c r="F2" s="7" t="str">
        <x:v>These files were uploaded but not attached to a job because the source did not contain a reliable CompanyCam name/address match.</x:v>
      </x:c>
      <x:c r="G2" s="7" t="str">
        <x:v>These files were uploaded but not attached to a job because the source did not contain a reliable CompanyCam name/address match.</x:v>
      </x:c>
      <x:c r="H2" s="7" t="str">
        <x:v>These files were uploaded but not attached to a job because the source did not contain a reliable CompanyCam name/address match.</x:v>
      </x:c>
    </x:row>
    <x:row r="4" ht="26" customHeight="1">
      <x:c r="A4" s="12" t="str">
        <x:v>Date</x:v>
      </x:c>
      <x:c r="B4" s="12" t="str">
        <x:v>Supplier</x:v>
      </x:c>
      <x:c r="C4" s="12" t="str">
        <x:v>Invoice #</x:v>
      </x:c>
      <x:c r="D4" s="12" t="str">
        <x:v>Currency</x:v>
      </x:c>
      <x:c r="E4" s="12" t="str">
        <x:v>Amount Paid</x:v>
      </x:c>
      <x:c r="F4" s="12" t="str">
        <x:v>Document Type</x:v>
      </x:c>
      <x:c r="G4" s="12" t="str">
        <x:v>Reason</x:v>
      </x:c>
      <x:c r="H4" s="12" t="str">
        <x:v>Filename</x:v>
      </x:c>
    </x:row>
    <x:row r="5">
      <x:c r="A5" s="31" t="n">
        <x:v>45861</x:v>
      </x:c>
      <x:c r="B5" s="15" t="str">
        <x:v>Unknown supplier</x:v>
      </x:c>
      <x:c r="C5" s="15" t="str">
        <x:v>FILE-1EC137DDC9A7</x:v>
      </x:c>
      <x:c r="D5" s="15" t="str">
        <x:v>CAD</x:v>
      </x:c>
      <x:c r="E5" s="32" t="n">
        <x:v>2574</x:v>
      </x:c>
      <x:c r="F5" s="15" t="str">
        <x:v>invoice</x:v>
      </x:c>
      <x:c r="G5" s="15" t="str">
        <x:v>No reliable project name/address match</x:v>
      </x:c>
      <x:c r="H5" s="15" t="str">
        <x:v>2025-07-23 - PO 250001 &amp; 250002.xlsx</x:v>
      </x:c>
    </x:row>
    <x:row r="6">
      <x:c r="A6" s="31" t="n">
        <x:v>45911</x:v>
      </x:c>
      <x:c r="B6" s="15" t="str">
        <x:v>Goulet Contracting &amp; Painting Inc.</x:v>
      </x:c>
      <x:c r="C6" s="15" t="str">
        <x:v>INV-000197</x:v>
      </x:c>
      <x:c r="D6" s="15" t="str">
        <x:v>CAD</x:v>
      </x:c>
      <x:c r="E6" s="32" t="n">
        <x:v>11535.04</x:v>
      </x:c>
      <x:c r="F6" s="15" t="str">
        <x:v>invoice</x:v>
      </x:c>
      <x:c r="G6" s="15" t="str">
        <x:v>No reliable project name/address match</x:v>
      </x:c>
      <x:c r="H6" s="15" t="str">
        <x:v>2025-09-11 - INV-000197.pdf</x:v>
      </x:c>
    </x:row>
    <x:row r="7">
      <x:c r="A7" s="31" t="n">
        <x:v>45930</x:v>
      </x:c>
      <x:c r="B7" s="15" t="str">
        <x:v>PaintTastic Pro Inc</x:v>
      </x:c>
      <x:c r="C7" s="15" t="str">
        <x:v>327949</x:v>
      </x:c>
      <x:c r="D7" s="15" t="str">
        <x:v>CAD</x:v>
      </x:c>
      <x:c r="E7" s="32" t="n">
        <x:v>16385</x:v>
      </x:c>
      <x:c r="F7" s="15" t="str">
        <x:v>invoice</x:v>
      </x:c>
      <x:c r="G7" s="15" t="str">
        <x:v>No reliable project name/address match</x:v>
      </x:c>
      <x:c r="H7" s="15" t="str">
        <x:v>2025-09-30 - invoice-327949.pdf</x:v>
      </x:c>
    </x:row>
    <x:row r="8">
      <x:c r="A8" s="31" t="n">
        <x:v>45931</x:v>
      </x:c>
      <x:c r="B8" s="15" t="str">
        <x:v>613PAINTING INC</x:v>
      </x:c>
      <x:c r="C8" s="15" t="str">
        <x:v>25001</x:v>
      </x:c>
      <x:c r="D8" s="15" t="str">
        <x:v>CAD</x:v>
      </x:c>
      <x:c r="E8" s="32" t="n">
        <x:v>1388.97</x:v>
      </x:c>
      <x:c r="F8" s="15" t="str">
        <x:v>invoice</x:v>
      </x:c>
      <x:c r="G8" s="15" t="str">
        <x:v>No reliable project name/address match</x:v>
      </x:c>
      <x:c r="H8" s="15" t="str">
        <x:v>2025-10-01 - INVOICE_25001_from_613PAINTING INC.pdf</x:v>
      </x:c>
    </x:row>
    <x:row r="9">
      <x:c r="A9" s="31" t="n">
        <x:v>45932</x:v>
      </x:c>
      <x:c r="B9" s="15" t="str">
        <x:v>613PAINTING INC</x:v>
      </x:c>
      <x:c r="C9" s="15" t="str">
        <x:v>25001</x:v>
      </x:c>
      <x:c r="D9" s="15" t="str">
        <x:v>CAD</x:v>
      </x:c>
      <x:c r="E9" s="32" t="n">
        <x:v>1388.97</x:v>
      </x:c>
      <x:c r="F9" s="15" t="str">
        <x:v>invoice</x:v>
      </x:c>
      <x:c r="G9" s="15" t="str">
        <x:v>No reliable project name/address match</x:v>
      </x:c>
      <x:c r="H9" s="15" t="str">
        <x:v>2025-10-02 - INVOICE_25001_from_613PAINTING INC (2).pdf</x:v>
      </x:c>
    </x:row>
    <x:row r="10">
      <x:c r="A10" s="31" t="n">
        <x:v>45932</x:v>
      </x:c>
      <x:c r="B10" s="15" t="str">
        <x:v>613PAINTING INC</x:v>
      </x:c>
      <x:c r="C10" s="15" t="str">
        <x:v>25001</x:v>
      </x:c>
      <x:c r="D10" s="15" t="str">
        <x:v>CAD</x:v>
      </x:c>
      <x:c r="E10" s="32" t="n">
        <x:v>1388.97</x:v>
      </x:c>
      <x:c r="F10" s="15" t="str">
        <x:v>invoice</x:v>
      </x:c>
      <x:c r="G10" s="15" t="str">
        <x:v>No reliable project name/address match</x:v>
      </x:c>
      <x:c r="H10" s="15" t="str">
        <x:v>2025-10-02 - INVOICE_25001_from_613PAINTING INC.pdf</x:v>
      </x:c>
    </x:row>
    <x:row r="11">
      <x:c r="A11" s="31" t="n">
        <x:v>45937</x:v>
      </x:c>
      <x:c r="B11" s="15" t="str">
        <x:v>Polaris Painters</x:v>
      </x:c>
      <x:c r="C11" s="15" t="str">
        <x:v>41</x:v>
      </x:c>
      <x:c r="D11" s="15" t="str">
        <x:v>CAD</x:v>
      </x:c>
      <x:c r="E11" s="32" t="n">
        <x:v>5900</x:v>
      </x:c>
      <x:c r="F11" s="15" t="str">
        <x:v>invoice</x:v>
      </x:c>
      <x:c r="G11" s="15" t="str">
        <x:v>No reliable project name/address match</x:v>
      </x:c>
      <x:c r="H11" s="15" t="str">
        <x:v>2025-10-07 - Hosted - Jobber Invoice 41 - Services Rendered.pdf</x:v>
      </x:c>
    </x:row>
    <x:row r="12">
      <x:c r="A12" s="31" t="n">
        <x:v>45950</x:v>
      </x:c>
      <x:c r="B12" s="15" t="str">
        <x:v>Goulet Contracting &amp; Painting Inc.</x:v>
      </x:c>
      <x:c r="C12" s="15" t="str">
        <x:v>INV-000197</x:v>
      </x:c>
      <x:c r="D12" s="15" t="str">
        <x:v>CAD</x:v>
      </x:c>
      <x:c r="E12" s="32" t="n">
        <x:v>9150.74</x:v>
      </x:c>
      <x:c r="F12" s="15" t="str">
        <x:v>invoice</x:v>
      </x:c>
      <x:c r="G12" s="15" t="str">
        <x:v>No reliable project name/address match</x:v>
      </x:c>
      <x:c r="H12" s="15" t="str">
        <x:v>2025-10-20 - INV-000197.pdf</x:v>
      </x:c>
    </x:row>
    <x:row r="13">
      <x:c r="A13" s="31" t="n">
        <x:v>45959</x:v>
      </x:c>
      <x:c r="B13" s="15" t="str">
        <x:v>Polaris Painters</x:v>
      </x:c>
      <x:c r="C13" s="15" t="str">
        <x:v>42</x:v>
      </x:c>
      <x:c r="D13" s="15" t="str">
        <x:v>CAD</x:v>
      </x:c>
      <x:c r="E13" s="32" t="n">
        <x:v>1400</x:v>
      </x:c>
      <x:c r="F13" s="15" t="str">
        <x:v>invoice</x:v>
      </x:c>
      <x:c r="G13" s="15" t="str">
        <x:v>No reliable project name/address match</x:v>
      </x:c>
      <x:c r="H13" s="15" t="str">
        <x:v>2025-10-29 - Hosted - Jobber Invoice 42 - Services Rendered.pdf</x:v>
      </x:c>
    </x:row>
    <x:row r="14">
      <x:c r="A14" s="31" t="n">
        <x:v>45966</x:v>
      </x:c>
      <x:c r="B14" s="15" t="str">
        <x:v>Polaris Painters</x:v>
      </x:c>
      <x:c r="C14" s="15" t="str">
        <x:v>43</x:v>
      </x:c>
      <x:c r="D14" s="15" t="str">
        <x:v>CAD</x:v>
      </x:c>
      <x:c r="E14" s="32" t="n">
        <x:v>900</x:v>
      </x:c>
      <x:c r="F14" s="15" t="str">
        <x:v>invoice</x:v>
      </x:c>
      <x:c r="G14" s="15" t="str">
        <x:v>No reliable project name/address match</x:v>
      </x:c>
      <x:c r="H14" s="15" t="str">
        <x:v>2025-11-05 - Hosted - Jobber Invoice 43 - Nicole.pdf</x:v>
      </x:c>
    </x:row>
    <x:row r="15">
      <x:c r="A15" s="31" t="n">
        <x:v>45981</x:v>
      </x:c>
      <x:c r="B15" s="15" t="str">
        <x:v>Polaris Painters</x:v>
      </x:c>
      <x:c r="C15" s="15" t="str">
        <x:v>45</x:v>
      </x:c>
      <x:c r="D15" s="15" t="str">
        <x:v>CAD</x:v>
      </x:c>
      <x:c r="E15" s="32" t="n">
        <x:v>2150</x:v>
      </x:c>
      <x:c r="F15" s="15" t="str">
        <x:v>invoice</x:v>
      </x:c>
      <x:c r="G15" s="15" t="str">
        <x:v>No reliable project name/address match</x:v>
      </x:c>
      <x:c r="H15" s="15" t="str">
        <x:v>2025-11-20 - Hosted - Jobber Invoice 45 - Elizabeth McCrae.pdf</x:v>
      </x:c>
    </x:row>
    <x:row r="16">
      <x:c r="A16" s="31" t="n">
        <x:v>45992</x:v>
      </x:c>
      <x:c r="B16" s="15" t="str">
        <x:v>Polaris Painters</x:v>
      </x:c>
      <x:c r="C16" s="15" t="str">
        <x:v>46</x:v>
      </x:c>
      <x:c r="D16" s="15" t="str">
        <x:v>CAD</x:v>
      </x:c>
      <x:c r="E16" s="32" t="n">
        <x:v>650</x:v>
      </x:c>
      <x:c r="F16" s="15" t="str">
        <x:v>invoice</x:v>
      </x:c>
      <x:c r="G16" s="15" t="str">
        <x:v>No reliable project name/address match</x:v>
      </x:c>
      <x:c r="H16" s="15" t="str">
        <x:v>2025-12-01 - Hosted - Jobber Invoice 46 - Services Rendered.pdf</x:v>
      </x:c>
    </x:row>
    <x:row r="17">
      <x:c r="A17" s="31" t="n">
        <x:v>46008</x:v>
      </x:c>
      <x:c r="B17" s="15" t="str">
        <x:v>Polaris Painters</x:v>
      </x:c>
      <x:c r="C17" s="15" t="str">
        <x:v>47</x:v>
      </x:c>
      <x:c r="D17" s="15" t="str">
        <x:v>CAD</x:v>
      </x:c>
      <x:c r="E17" s="32" t="n">
        <x:v>1000</x:v>
      </x:c>
      <x:c r="F17" s="15" t="str">
        <x:v>invoice</x:v>
      </x:c>
      <x:c r="G17" s="15" t="str">
        <x:v>No reliable project name/address match</x:v>
      </x:c>
      <x:c r="H17" s="15" t="str">
        <x:v>2025-12-17 - Hosted - Jobber Invoice 47 - Rick Peche.pdf</x:v>
      </x:c>
    </x:row>
    <x:row r="18">
      <x:c r="A18" s="31" t="n">
        <x:v>46008</x:v>
      </x:c>
      <x:c r="B18" s="15" t="str">
        <x:v>Polaris Painters</x:v>
      </x:c>
      <x:c r="C18" s="15" t="str">
        <x:v>48</x:v>
      </x:c>
      <x:c r="D18" s="15" t="str">
        <x:v>CAD</x:v>
      </x:c>
      <x:c r="E18" s="32" t="n">
        <x:v>5000</x:v>
      </x:c>
      <x:c r="F18" s="15" t="str">
        <x:v>invoice</x:v>
      </x:c>
      <x:c r="G18" s="15" t="str">
        <x:v>No reliable project name/address match</x:v>
      </x:c>
      <x:c r="H18" s="15" t="str">
        <x:v>2025-12-17 - Hosted - Jobber Invoice 48 - Salah Osman.pdf</x:v>
      </x:c>
    </x:row>
    <x:row r="19">
      <x:c r="A19" s="31" t="n">
        <x:v>46032</x:v>
      </x:c>
      <x:c r="B19" s="15" t="str">
        <x:v>Polaris Painters</x:v>
      </x:c>
      <x:c r="C19" s="15" t="str">
        <x:v>51</x:v>
      </x:c>
      <x:c r="D19" s="15" t="str">
        <x:v>CAD</x:v>
      </x:c>
      <x:c r="E19" s="32" t="n">
        <x:v>430</x:v>
      </x:c>
      <x:c r="F19" s="15" t="str">
        <x:v>invoice</x:v>
      </x:c>
      <x:c r="G19" s="15" t="str">
        <x:v>No reliable project name/address match</x:v>
      </x:c>
      <x:c r="H19" s="15" t="str">
        <x:v>2026-01-10 - Hosted - Jobber Invoice 51 - Services Rendered.pdf</x:v>
      </x:c>
    </x:row>
    <x:row r="20">
      <x:c r="A20" s="31" t="n">
        <x:v>46053</x:v>
      </x:c>
      <x:c r="B20" s="15" t="str">
        <x:v>Unknown supplier</x:v>
      </x:c>
      <x:c r="C20" s="15" t="str">
        <x:v>FILE-1471929AB1AC</x:v>
      </x:c>
      <x:c r="D20" s="15" t="str">
        <x:v>CAD</x:v>
      </x:c>
      <x:c r="E20" s="32" t="n">
        <x:v>30</x:v>
      </x:c>
      <x:c r="F20" s="15" t="str">
        <x:v>receipt</x:v>
      </x:c>
      <x:c r="G20" s="15" t="str">
        <x:v>No reliable project name/address match</x:v>
      </x:c>
      <x:c r="H20" s="15" t="str">
        <x:v>2026-01-31 - IMG_2440.jpeg</x:v>
      </x:c>
    </x:row>
    <x:row r="21">
      <x:c r="A21" s="31" t="n">
        <x:v>46053</x:v>
      </x:c>
      <x:c r="B21" s="15" t="str">
        <x:v>Unknown supplier</x:v>
      </x:c>
      <x:c r="C21" s="15" t="str">
        <x:v>FILE-8D1AB8E94D0D</x:v>
      </x:c>
      <x:c r="D21" s="15" t="str">
        <x:v>CAD</x:v>
      </x:c>
      <x:c r="E21" s="32" t="n">
        <x:v>30.9</x:v>
      </x:c>
      <x:c r="F21" s="15" t="str">
        <x:v>receipt</x:v>
      </x:c>
      <x:c r="G21" s="15" t="str">
        <x:v>No reliable project name/address match</x:v>
      </x:c>
      <x:c r="H21" s="15" t="str">
        <x:v>2026-01-31 - IMG_2441.jpeg</x:v>
      </x:c>
    </x:row>
    <x:row r="22">
      <x:c r="A22" s="31" t="n">
        <x:v>46053</x:v>
      </x:c>
      <x:c r="B22" s="15" t="str">
        <x:v>Unknown supplier</x:v>
      </x:c>
      <x:c r="C22" s="15" t="str">
        <x:v>FILE-A81F03AFDBA2</x:v>
      </x:c>
      <x:c r="D22" s="15" t="str">
        <x:v>CAD</x:v>
      </x:c>
      <x:c r="E22" s="32"/>
      <x:c r="F22" s="15" t="str">
        <x:v>needs_review</x:v>
      </x:c>
      <x:c r="G22" s="15" t="str">
        <x:v>No reliable project name/address match</x:v>
      </x:c>
      <x:c r="H22" s="15" t="str">
        <x:v>2026-01-31 - IMG_2442.jpeg</x:v>
      </x:c>
    </x:row>
    <x:row r="23">
      <x:c r="A23" s="31" t="n">
        <x:v>46053</x:v>
      </x:c>
      <x:c r="B23" s="15" t="str">
        <x:v>Unknown supplier</x:v>
      </x:c>
      <x:c r="C23" s="15" t="str">
        <x:v>FILE-2031ADD90A50</x:v>
      </x:c>
      <x:c r="D23" s="15" t="str">
        <x:v>CAD</x:v>
      </x:c>
      <x:c r="E23" s="32"/>
      <x:c r="F23" s="15" t="str">
        <x:v>needs_review</x:v>
      </x:c>
      <x:c r="G23" s="15" t="str">
        <x:v>No reliable project name/address match</x:v>
      </x:c>
      <x:c r="H23" s="15" t="str">
        <x:v>2026-01-31 - P r.JPG</x:v>
      </x:c>
    </x:row>
    <x:row r="24">
      <x:c r="A24" s="31" t="n">
        <x:v>46053</x:v>
      </x:c>
      <x:c r="B24" s="15" t="str">
        <x:v>Unknown supplier</x:v>
      </x:c>
      <x:c r="C24" s="15" t="str">
        <x:v>FILE-D061DF851155</x:v>
      </x:c>
      <x:c r="D24" s="15" t="str">
        <x:v>CAD</x:v>
      </x:c>
      <x:c r="E24" s="32" t="n">
        <x:v>25</x:v>
      </x:c>
      <x:c r="F24" s="15" t="str">
        <x:v>receipt</x:v>
      </x:c>
      <x:c r="G24" s="15" t="str">
        <x:v>No reliable project name/address match</x:v>
      </x:c>
      <x:c r="H24" s="15" t="str">
        <x:v>2026-01-31 - Parking receipt.JPG</x:v>
      </x:c>
    </x:row>
    <x:row r="25">
      <x:c r="A25" s="31" t="n">
        <x:v>46053</x:v>
      </x:c>
      <x:c r="B25" s="15" t="str">
        <x:v>Unknown supplier</x:v>
      </x:c>
      <x:c r="C25" s="15" t="str">
        <x:v>FILE-8FE7F641A9A6</x:v>
      </x:c>
      <x:c r="D25" s="15" t="str">
        <x:v>CAD</x:v>
      </x:c>
      <x:c r="E25" s="32"/>
      <x:c r="F25" s="15" t="str">
        <x:v>needs_review</x:v>
      </x:c>
      <x:c r="G25" s="15" t="str">
        <x:v>No reliable project name/address match</x:v>
      </x:c>
      <x:c r="H25" s="15" t="str">
        <x:v>2026-01-31 - Pr.JPG</x:v>
      </x:c>
    </x:row>
    <x:row r="26">
      <x:c r="A26" s="31" t="n">
        <x:v>46053</x:v>
      </x:c>
      <x:c r="B26" s="15" t="str">
        <x:v>Mas Reno</x:v>
      </x:c>
      <x:c r="C26" s="15" t="str">
        <x:v>012224</x:v>
      </x:c>
      <x:c r="D26" s="15" t="str">
        <x:v>CAD</x:v>
      </x:c>
      <x:c r="E26" s="32" t="n">
        <x:v>897.5</x:v>
      </x:c>
      <x:c r="F26" s="15" t="str">
        <x:v>invoice</x:v>
      </x:c>
      <x:c r="G26" s="15" t="str">
        <x:v>No reliable project name/address match</x:v>
      </x:c>
      <x:c r="H26" s="15" t="str">
        <x:v>2026-01-31 - Untitled.pdf</x:v>
      </x:c>
    </x:row>
    <x:row r="27">
      <x:c r="A27" s="31" t="n">
        <x:v>46064</x:v>
      </x:c>
      <x:c r="B27" s="15" t="str">
        <x:v>Angel Marcelo Cabrera</x:v>
      </x:c>
      <x:c r="C27" s="15" t="str">
        <x:v>1</x:v>
      </x:c>
      <x:c r="D27" s="15" t="str">
        <x:v>CAD</x:v>
      </x:c>
      <x:c r="E27" s="32" t="n">
        <x:v>250</x:v>
      </x:c>
      <x:c r="F27" s="15" t="str">
        <x:v>invoice</x:v>
      </x:c>
      <x:c r="G27" s="15" t="str">
        <x:v>No reliable project name/address match</x:v>
      </x:c>
      <x:c r="H27" s="15" t="str">
        <x:v>2026-02-11 - application_1.pdf</x:v>
      </x:c>
    </x:row>
    <x:row r="28">
      <x:c r="A28" s="31" t="n">
        <x:v>46065</x:v>
      </x:c>
      <x:c r="B28" s="15" t="str">
        <x:v>Polaris Painters</x:v>
      </x:c>
      <x:c r="C28" s="15" t="str">
        <x:v>56</x:v>
      </x:c>
      <x:c r="D28" s="15" t="str">
        <x:v>CAD</x:v>
      </x:c>
      <x:c r="E28" s="32" t="n">
        <x:v>180</x:v>
      </x:c>
      <x:c r="F28" s="15" t="str">
        <x:v>invoice</x:v>
      </x:c>
      <x:c r="G28" s="15" t="str">
        <x:v>No reliable project name/address match</x:v>
      </x:c>
      <x:c r="H28" s="15" t="str">
        <x:v>2026-02-12 - Hosted - Jobber Invoice 56 - Reza - work with Scott.pdf</x:v>
      </x:c>
    </x:row>
    <x:row r="29">
      <x:c r="A29" s="31" t="n">
        <x:v>46072</x:v>
      </x:c>
      <x:c r="B29" s="15" t="str">
        <x:v>Polaris Painters</x:v>
      </x:c>
      <x:c r="C29" s="15" t="str">
        <x:v>60</x:v>
      </x:c>
      <x:c r="D29" s="15" t="str">
        <x:v>CAD</x:v>
      </x:c>
      <x:c r="E29" s="32" t="n">
        <x:v>1040</x:v>
      </x:c>
      <x:c r="F29" s="15" t="str">
        <x:v>invoice</x:v>
      </x:c>
      <x:c r="G29" s="15" t="str">
        <x:v>No reliable project name/address match</x:v>
      </x:c>
      <x:c r="H29" s="15" t="str">
        <x:v>2026-02-19 - Hosted - Jobber Invoice 60 - Services Rendered.pdf</x:v>
      </x:c>
    </x:row>
    <x:row r="30">
      <x:c r="A30" s="31" t="n">
        <x:v>46073</x:v>
      </x:c>
      <x:c r="B30" s="15" t="str">
        <x:v>Unknown supplier</x:v>
      </x:c>
      <x:c r="C30" s="15" t="str">
        <x:v>FILE-FD1D93A146D7</x:v>
      </x:c>
      <x:c r="D30" s="15" t="str">
        <x:v>CAD</x:v>
      </x:c>
      <x:c r="E30" s="32"/>
      <x:c r="F30" s="15" t="str">
        <x:v>needs_review</x:v>
      </x:c>
      <x:c r="G30" s="15" t="str">
        <x:v>No reliable project name/address match</x:v>
      </x:c>
      <x:c r="H30" s="15" t="str">
        <x:v>2026-02-20 - 1000170276.heic</x:v>
      </x:c>
    </x:row>
    <x:row r="31">
      <x:c r="A31" s="31" t="n">
        <x:v>46074</x:v>
      </x:c>
      <x:c r="B31" s="15" t="str">
        <x:v>XDesign Dev Inc</x:v>
      </x:c>
      <x:c r="C31" s="15" t="str">
        <x:v>8524</x:v>
      </x:c>
      <x:c r="D31" s="15" t="str">
        <x:v>CAD</x:v>
      </x:c>
      <x:c r="E31" s="32" t="n">
        <x:v>282.5</x:v>
      </x:c>
      <x:c r="F31" s="15" t="str">
        <x:v>invoice</x:v>
      </x:c>
      <x:c r="G31" s="15" t="str">
        <x:v>No reliable project name/address match</x:v>
      </x:c>
      <x:c r="H31" s="15" t="str">
        <x:v>2026-02-21 - Invoice_8524_2026-02-22.pdf</x:v>
      </x:c>
    </x:row>
    <x:row r="32">
      <x:c r="A32" s="31" t="n">
        <x:v>46092</x:v>
      </x:c>
      <x:c r="B32" s="15" t="str">
        <x:v>Niels Aschengreen</x:v>
      </x:c>
      <x:c r="C32" s="15" t="str">
        <x:v>20260311</x:v>
      </x:c>
      <x:c r="D32" s="15" t="str">
        <x:v>CAD</x:v>
      </x:c>
      <x:c r="E32" s="32" t="n">
        <x:v>459</x:v>
      </x:c>
      <x:c r="F32" s="15" t="str">
        <x:v>invoice</x:v>
      </x:c>
      <x:c r="G32" s="15" t="str">
        <x:v>No reliable project name/address match</x:v>
      </x:c>
      <x:c r="H32" s="15" t="str">
        <x:v>2026-03-11 - Invoice 2.docx</x:v>
      </x:c>
    </x:row>
    <x:row r="33">
      <x:c r="A33" s="31" t="n">
        <x:v>46102</x:v>
      </x:c>
      <x:c r="B33" s="15" t="str">
        <x:v>Premium Coat</x:v>
      </x:c>
      <x:c r="C33" s="15" t="str">
        <x:v>31467</x:v>
      </x:c>
      <x:c r="D33" s="15" t="str">
        <x:v>CAD</x:v>
      </x:c>
      <x:c r="E33" s="32"/>
      <x:c r="F33" s="15" t="str">
        <x:v>receipt</x:v>
      </x:c>
      <x:c r="G33" s="15" t="str">
        <x:v>No reliable project name/address match</x:v>
      </x:c>
      <x:c r="H33" s="15" t="str">
        <x:v>2026-03-21 - Invoice_31467 Materials P61. REIMBURSEMENT.pdf</x:v>
      </x:c>
    </x:row>
    <x:row r="34">
      <x:c r="A34" s="31" t="n">
        <x:v>46102</x:v>
      </x:c>
      <x:c r="B34" s="15" t="str">
        <x:v>Premium Coat</x:v>
      </x:c>
      <x:c r="C34" s="15" t="str">
        <x:v>88024</x:v>
      </x:c>
      <x:c r="D34" s="15" t="str">
        <x:v>CAD</x:v>
      </x:c>
      <x:c r="E34" s="32"/>
      <x:c r="F34" s="15" t="str">
        <x:v>receipt</x:v>
      </x:c>
      <x:c r="G34" s="15" t="str">
        <x:v>No reliable project name/address match</x:v>
      </x:c>
      <x:c r="H34" s="15" t="str">
        <x:v>2026-03-21 - Invoice_88024 Materials Reimbursement Ottawa Painters P61..pdf</x:v>
      </x:c>
    </x:row>
    <x:row r="35">
      <x:c r="A35" s="31" t="n">
        <x:v>46109</x:v>
      </x:c>
      <x:c r="B35" s="15" t="str">
        <x:v>Youssef Mroueh</x:v>
      </x:c>
      <x:c r="C35" s="15" t="str">
        <x:v>1</x:v>
      </x:c>
      <x:c r="D35" s="15" t="str">
        <x:v>CAD</x:v>
      </x:c>
      <x:c r="E35" s="32" t="n">
        <x:v>3150</x:v>
      </x:c>
      <x:c r="F35" s="15" t="str">
        <x:v>invoice</x:v>
      </x:c>
      <x:c r="G35" s="15" t="str">
        <x:v>No reliable project name/address match</x:v>
      </x:c>
      <x:c r="H35" s="15" t="str">
        <x:v>2026-03-28 - invoice1.pdf</x:v>
      </x:c>
    </x:row>
    <x:row r="36">
      <x:c r="A36" s="31" t="n">
        <x:v>46109</x:v>
      </x:c>
      <x:c r="B36" s="15" t="str">
        <x:v>Youssef Mroueh</x:v>
      </x:c>
      <x:c r="C36" s="15" t="str">
        <x:v>2</x:v>
      </x:c>
      <x:c r="D36" s="15" t="str">
        <x:v>CAD</x:v>
      </x:c>
      <x:c r="E36" s="32" t="n">
        <x:v>3150</x:v>
      </x:c>
      <x:c r="F36" s="15" t="str">
        <x:v>invoice</x:v>
      </x:c>
      <x:c r="G36" s="15" t="str">
        <x:v>No reliable project name/address match</x:v>
      </x:c>
      <x:c r="H36" s="15" t="str">
        <x:v>2026-03-28 - invoice2.pdf</x:v>
      </x:c>
    </x:row>
    <x:row r="37">
      <x:c r="A37" s="31" t="n">
        <x:v>46109</x:v>
      </x:c>
      <x:c r="B37" s="15" t="str">
        <x:v>Youssef Mroueh</x:v>
      </x:c>
      <x:c r="C37" s="15" t="str">
        <x:v>3</x:v>
      </x:c>
      <x:c r="D37" s="15" t="str">
        <x:v>CAD</x:v>
      </x:c>
      <x:c r="E37" s="32" t="n">
        <x:v>3150</x:v>
      </x:c>
      <x:c r="F37" s="15" t="str">
        <x:v>invoice</x:v>
      </x:c>
      <x:c r="G37" s="15" t="str">
        <x:v>No reliable project name/address match</x:v>
      </x:c>
      <x:c r="H37" s="15" t="str">
        <x:v>2026-03-28 - invoice3.pdf</x:v>
      </x:c>
    </x:row>
    <x:row r="38">
      <x:c r="A38" s="31" t="n">
        <x:v>46109</x:v>
      </x:c>
      <x:c r="B38" s="15" t="str">
        <x:v>Youssef Mroueh</x:v>
      </x:c>
      <x:c r="C38" s="15" t="str">
        <x:v>4</x:v>
      </x:c>
      <x:c r="D38" s="15" t="str">
        <x:v>CAD</x:v>
      </x:c>
      <x:c r="E38" s="32" t="n">
        <x:v>3150</x:v>
      </x:c>
      <x:c r="F38" s="15" t="str">
        <x:v>invoice</x:v>
      </x:c>
      <x:c r="G38" s="15" t="str">
        <x:v>No reliable project name/address match</x:v>
      </x:c>
      <x:c r="H38" s="15" t="str">
        <x:v>2026-03-28 - invoice4.pdf</x:v>
      </x:c>
    </x:row>
    <x:row r="39">
      <x:c r="A39" s="31" t="n">
        <x:v>46119</x:v>
      </x:c>
      <x:c r="B39" s="15" t="str">
        <x:v>Abdellah Aouf</x:v>
      </x:c>
      <x:c r="C39" s="15" t="str">
        <x:v>INV-20260403-001</x:v>
      </x:c>
      <x:c r="D39" s="15" t="str">
        <x:v>CAD</x:v>
      </x:c>
      <x:c r="E39" s="32" t="n">
        <x:v>200</x:v>
      </x:c>
      <x:c r="F39" s="15" t="str">
        <x:v>invoice</x:v>
      </x:c>
      <x:c r="G39" s="15" t="str">
        <x:v>No reliable project name/address match</x:v>
      </x:c>
      <x:c r="H39" s="15" t="str">
        <x:v>2026-04-07 - INV-20260403-001.pdf</x:v>
      </x:c>
    </x:row>
    <x:row r="40">
      <x:c r="A40" s="31" t="n">
        <x:v>46123</x:v>
      </x:c>
      <x:c r="B40" s="15" t="str">
        <x:v>Polaris Painters</x:v>
      </x:c>
      <x:c r="C40" s="15" t="str">
        <x:v>76</x:v>
      </x:c>
      <x:c r="D40" s="15" t="str">
        <x:v>CAD</x:v>
      </x:c>
      <x:c r="E40" s="32" t="n">
        <x:v>1145</x:v>
      </x:c>
      <x:c r="F40" s="15" t="str">
        <x:v>invoice</x:v>
      </x:c>
      <x:c r="G40" s="15" t="str">
        <x:v>No reliable project name/address match</x:v>
      </x:c>
      <x:c r="H40" s="15" t="str">
        <x:v>2026-04-11 - Hosted - Jobber Invoice 76 - Rekka Tulsikram.pdf</x:v>
      </x:c>
    </x:row>
    <x:row r="41">
      <x:c r="A41" s="31" t="n">
        <x:v>46126</x:v>
      </x:c>
      <x:c r="B41" s="15" t="str">
        <x:v>Polaris Painters</x:v>
      </x:c>
      <x:c r="C41" s="15" t="str">
        <x:v>77</x:v>
      </x:c>
      <x:c r="D41" s="15" t="str">
        <x:v>CAD</x:v>
      </x:c>
      <x:c r="E41" s="32" t="n">
        <x:v>1750</x:v>
      </x:c>
      <x:c r="F41" s="15" t="str">
        <x:v>invoice</x:v>
      </x:c>
      <x:c r="G41" s="15" t="str">
        <x:v>No reliable project name/address match</x:v>
      </x:c>
      <x:c r="H41" s="15" t="str">
        <x:v>2026-04-14 - Hosted - Jobber Invoice 77 - Julie Irving.pdf</x:v>
      </x:c>
    </x:row>
    <x:row r="42">
      <x:c r="A42" s="31" t="n">
        <x:v>46140</x:v>
      </x:c>
      <x:c r="B42" s="15" t="str">
        <x:v>Done Right Handyman Services</x:v>
      </x:c>
      <x:c r="C42" s="15" t="str">
        <x:v>260048</x:v>
      </x:c>
      <x:c r="D42" s="15" t="str">
        <x:v>CAD</x:v>
      </x:c>
      <x:c r="E42" s="32" t="n">
        <x:v>169.5</x:v>
      </x:c>
      <x:c r="F42" s="15" t="str">
        <x:v>invoice</x:v>
      </x:c>
      <x:c r="G42" s="15" t="str">
        <x:v>No reliable project name/address match</x:v>
      </x:c>
      <x:c r="H42" s="15" t="str">
        <x:v>2026-04-28 - Invoice_260048_from_Done_Right_Handyman_Services.pdf</x:v>
      </x:c>
    </x:row>
    <x:row r="43">
      <x:c r="A43" s="31" t="n">
        <x:v>46141</x:v>
      </x:c>
      <x:c r="B43" s="15" t="str">
        <x:v>Polaris Painters</x:v>
      </x:c>
      <x:c r="C43" s="15" t="str">
        <x:v>81</x:v>
      </x:c>
      <x:c r="D43" s="15" t="str">
        <x:v>CAD</x:v>
      </x:c>
      <x:c r="E43" s="32" t="n">
        <x:v>700</x:v>
      </x:c>
      <x:c r="F43" s="15" t="str">
        <x:v>invoice</x:v>
      </x:c>
      <x:c r="G43" s="15" t="str">
        <x:v>No reliable project name/address match</x:v>
      </x:c>
      <x:c r="H43" s="15" t="str">
        <x:v>2026-04-29 - Hosted - Jobber Invoice 81 - Julie Irving - added work.pdf</x:v>
      </x:c>
    </x:row>
    <x:row r="44">
      <x:c r="A44" s="31" t="n">
        <x:v>46192</x:v>
      </x:c>
      <x:c r="B44" s="15" t="str">
        <x:v>Unknown supplier</x:v>
      </x:c>
      <x:c r="C44" s="15" t="str">
        <x:v>403291</x:v>
      </x:c>
      <x:c r="D44" s="15" t="str">
        <x:v>CAD</x:v>
      </x:c>
      <x:c r="E44" s="32"/>
      <x:c r="F44" s="15" t="str">
        <x:v>needs_review</x:v>
      </x:c>
      <x:c r="G44" s="15" t="str">
        <x:v>No reliable project name/address match</x:v>
      </x:c>
      <x:c r="H44" s="15" t="str">
        <x:v>2026-06-19 - Invoice#403291-260619153014.pdf</x:v>
      </x:c>
    </x:row>
    <x:row r="45">
      <x:c r="A45" s="31" t="n">
        <x:v>46201</x:v>
      </x:c>
      <x:c r="B45" s="15" t="str">
        <x:v>Sherwin-Williams</x:v>
      </x:c>
      <x:c r="C45" s="15" t="str">
        <x:v>FILE-97098E629224</x:v>
      </x:c>
      <x:c r="D45" s="15" t="str">
        <x:v>CAD</x:v>
      </x:c>
      <x:c r="E45" s="32" t="n">
        <x:v>61.53</x:v>
      </x:c>
      <x:c r="F45" s="15" t="str">
        <x:v>receipt</x:v>
      </x:c>
      <x:c r="G45" s="15" t="str">
        <x:v>No reliable project name/address match</x:v>
      </x:c>
      <x:c r="H45" s="15" t="str">
        <x:v>2026-06-28 - 20260628_171446.jpg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37d5c769a4541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8" hidden="0" customWidth="1"/>
    <x:col min="3" max="3" width="19" hidden="0" customWidth="1"/>
    <x:col min="4" max="4" width="9" hidden="0" customWidth="1"/>
    <x:col min="5" max="5" width="30" hidden="0" customWidth="1"/>
    <x:col min="6" max="6" width="38" hidden="0" customWidth="1"/>
    <x:col min="7" max="7" width="75" hidden="0" customWidth="1"/>
  </x:cols>
  <x:sheetData>
    <x:row r="1" ht="30" customHeight="1">
      <x:c r="A1" s="3" t="str">
        <x:v>Duplicate and Version Groups</x:v>
      </x:c>
      <x:c r="B1" s="3" t="str">
        <x:v>Duplicate and Version Groups</x:v>
      </x:c>
      <x:c r="C1" s="3" t="str">
        <x:v>Duplicate and Version Groups</x:v>
      </x:c>
      <x:c r="D1" s="3" t="str">
        <x:v>Duplicate and Version Groups</x:v>
      </x:c>
      <x:c r="E1" s="3" t="str">
        <x:v>Duplicate and Version Groups</x:v>
      </x:c>
      <x:c r="F1" s="3" t="str">
        <x:v>Duplicate and Version Groups</x:v>
      </x:c>
      <x:c r="G1" s="3" t="str">
        <x:v>Duplicate and Version Groups</x:v>
      </x:c>
    </x:row>
    <x:row r="2" ht="34" customHeight="1">
      <x:c r="A2" s="7" t="str">
        <x:v>Same supplier/invoice-number groups can be exact copies, revised totals, or payment copies. They are flagged—not automatically deleted.</x:v>
      </x:c>
      <x:c r="B2" s="7" t="str">
        <x:v>Same supplier/invoice-number groups can be exact copies, revised totals, or payment copies. They are flagged—not automatically deleted.</x:v>
      </x:c>
      <x:c r="C2" s="7" t="str">
        <x:v>Same supplier/invoice-number groups can be exact copies, revised totals, or payment copies. They are flagged—not automatically deleted.</x:v>
      </x:c>
      <x:c r="D2" s="7" t="str">
        <x:v>Same supplier/invoice-number groups can be exact copies, revised totals, or payment copies. They are flagged—not automatically deleted.</x:v>
      </x:c>
      <x:c r="E2" s="7" t="str">
        <x:v>Same supplier/invoice-number groups can be exact copies, revised totals, or payment copies. They are flagged—not automatically deleted.</x:v>
      </x:c>
      <x:c r="F2" s="7" t="str">
        <x:v>Same supplier/invoice-number groups can be exact copies, revised totals, or payment copies. They are flagged—not automatically deleted.</x:v>
      </x:c>
      <x:c r="G2" s="7" t="str">
        <x:v>Same supplier/invoice-number groups can be exact copies, revised totals, or payment copies. They are flagged—not automatically deleted.</x:v>
      </x:c>
    </x:row>
    <x:row r="5" ht="26" customHeight="1">
      <x:c r="A5" s="12" t="str">
        <x:v>Group ID</x:v>
      </x:c>
      <x:c r="B5" s="12" t="str">
        <x:v>Supplier</x:v>
      </x:c>
      <x:c r="C5" s="12" t="str">
        <x:v>Invoice #</x:v>
      </x:c>
      <x:c r="D5" s="12" t="str">
        <x:v>Files</x:v>
      </x:c>
      <x:c r="E5" s="12" t="str">
        <x:v>Amounts Seen</x:v>
      </x:c>
      <x:c r="F5" s="12" t="str">
        <x:v>Dates</x:v>
      </x:c>
      <x:c r="G5" s="12" t="str">
        <x:v>Filenames</x:v>
      </x:c>
    </x:row>
    <x:row r="6">
      <x:c r="A6" s="15" t="str">
        <x:v>0ac661f4b8892d6c</x:v>
      </x:c>
      <x:c r="B6" s="15" t="str">
        <x:v>613PAINTING INC</x:v>
      </x:c>
      <x:c r="C6" s="15" t="str">
        <x:v>25001</x:v>
      </x:c>
      <x:c r="D6" s="15" t="n">
        <x:v>3</x:v>
      </x:c>
      <x:c r="E6" s="15" t="str">
        <x:v>CAD 1388.97</x:v>
      </x:c>
      <x:c r="F6" s="15" t="str">
        <x:v>2025-10-01; 2025-10-02; 2025-10-02</x:v>
      </x:c>
      <x:c r="G6" s="15" t="str">
        <x:v>2025-10-01 - INVOICE_25001_from_613PAINTING INC.pdf | 2025-10-02 - INVOICE_25001_from_613PAINTING INC (2).pdf | 2025-10-02 - INVOICE_25001_from_613PAINTING INC.pdf</x:v>
      </x:c>
    </x:row>
    <x:row r="7">
      <x:c r="A7" s="15" t="str">
        <x:v>2e73e3f3895dff2d</x:v>
      </x:c>
      <x:c r="B7" s="15" t="str">
        <x:v>Abdellah Aouf</x:v>
      </x:c>
      <x:c r="C7" s="15" t="str">
        <x:v>INV-20260128-001</x:v>
      </x:c>
      <x:c r="D7" s="15" t="n">
        <x:v>2</x:v>
      </x:c>
      <x:c r="E7" s="15" t="str">
        <x:v>CAD 1900; CAD 800</x:v>
      </x:c>
      <x:c r="F7" s="15" t="str">
        <x:v>2026-01-29; 2026-02-20</x:v>
      </x:c>
      <x:c r="G7" s="15" t="str">
        <x:v>2026-01-29 - invoice_ottawa_painters copy.pdf | 2026-02-20 - Invoice Feb 18.pdf</x:v>
      </x:c>
    </x:row>
    <x:row r="8">
      <x:c r="A8" s="15" t="str">
        <x:v>35e0b7e9cc0b8069</x:v>
      </x:c>
      <x:c r="B8" s="15" t="str">
        <x:v>Abdellah Aouf</x:v>
      </x:c>
      <x:c r="C8" s="15" t="str">
        <x:v>INV-20260615-001</x:v>
      </x:c>
      <x:c r="D8" s="15" t="n">
        <x:v>2</x:v>
      </x:c>
      <x:c r="E8" s="15" t="str">
        <x:v>CAD 520; CAD 104</x:v>
      </x:c>
      <x:c r="F8" s="15" t="str">
        <x:v>2026-06-15; 2026-06-15</x:v>
      </x:c>
      <x:c r="G8" s="15" t="str">
        <x:v>2026-06-15 - INV-20260615-001 (2).pdf | 2026-06-15 - INV-20260615-001.pdf</x:v>
      </x:c>
    </x:row>
    <x:row r="9">
      <x:c r="A9" s="15" t="str">
        <x:v>f114452dc4d3f40a</x:v>
      </x:c>
      <x:c r="B9" s="15" t="str">
        <x:v>AMG Service Construction</x:v>
      </x:c>
      <x:c r="C9" s="15" t="str">
        <x:v>108</x:v>
      </x:c>
      <x:c r="D9" s="15" t="n">
        <x:v>3</x:v>
      </x:c>
      <x:c r="E9" s="15" t="str">
        <x:v>CAD 5545.76; CAD 5364.19</x:v>
      </x:c>
      <x:c r="F9" s="15" t="str">
        <x:v>2026-05-25; 2026-05-26; 2026-05-28</x:v>
      </x:c>
      <x:c r="G9" s="15" t="str">
        <x:v>2026-05-25 - 108-Ottawa-painters.pdf | 2026-05-26 - 108-Ottawa-painters.pdf | 2026-05-28 - 108-Ottawa-painters.pdf</x:v>
      </x:c>
    </x:row>
    <x:row r="10">
      <x:c r="A10" s="15" t="str">
        <x:v>0fe0d5bd916a26d2</x:v>
      </x:c>
      <x:c r="B10" s="15" t="str">
        <x:v>AMG Service Construction</x:v>
      </x:c>
      <x:c r="C10" s="15" t="str">
        <x:v>109</x:v>
      </x:c>
      <x:c r="D10" s="15" t="n">
        <x:v>2</x:v>
      </x:c>
      <x:c r="E10" s="15" t="str">
        <x:v>CAD 1250.75; CAD 1447.2</x:v>
      </x:c>
      <x:c r="F10" s="15" t="str">
        <x:v>2026-06-03; 2026-06-03</x:v>
      </x:c>
      <x:c r="G10" s="15" t="str">
        <x:v>2026-06-03 - 109-Ottawa-painters (2).pdf | 2026-06-03 - 109-Ottawa-painters.pdf</x:v>
      </x:c>
    </x:row>
    <x:row r="11">
      <x:c r="A11" s="15" t="str">
        <x:v>737cc1c61f49b162</x:v>
      </x:c>
      <x:c r="B11" s="15" t="str">
        <x:v>Andre Archambault Handyman Services Inc.</x:v>
      </x:c>
      <x:c r="C11" s="15" t="str">
        <x:v>797</x:v>
      </x:c>
      <x:c r="D11" s="15" t="n">
        <x:v>3</x:v>
      </x:c>
      <x:c r="E11" s="15" t="str">
        <x:v>CAD 536.75</x:v>
      </x:c>
      <x:c r="F11" s="15" t="str">
        <x:v>2026-04-01; 2026-04-07; 2026-04-07</x:v>
      </x:c>
      <x:c r="G11" s="15" t="str">
        <x:v>2026-04-01 - invoice_797.pdf | 2026-04-07 - invoice_797 (2).pdf | 2026-04-07 - invoice_797.pdf</x:v>
      </x:c>
    </x:row>
    <x:row r="12">
      <x:c r="A12" s="15" t="str">
        <x:v>441fa0ae6f846cee</x:v>
      </x:c>
      <x:c r="B12" s="15" t="str">
        <x:v>Angel Marcelo Cabrera</x:v>
      </x:c>
      <x:c r="C12" s="15" t="str">
        <x:v>3</x:v>
      </x:c>
      <x:c r="D12" s="15" t="n">
        <x:v>4</x:v>
      </x:c>
      <x:c r="E12" s="15" t="str">
        <x:v>CAD 1728; CAD 1275; CAD 646.88</x:v>
      </x:c>
      <x:c r="F12" s="15" t="str">
        <x:v>2026-03-02; 2026-03-02; 2026-03-06; 2026-03-11</x:v>
      </x:c>
      <x:c r="G12" s="15" t="str">
        <x:v>2026-03-02 - Marcelo invoice #3-1.pdf | 2026-03-02 - Marcelo invoice#3.pdf | 2026-03-06 - Marcelo invoice#3-1.pdf | 2026-03-11 - Marcelo invoice#4.pdf</x:v>
      </x:c>
    </x:row>
    <x:row r="13">
      <x:c r="A13" s="15" t="str">
        <x:v>15dc5a448a774f1a</x:v>
      </x:c>
      <x:c r="B13" s="15" t="str">
        <x:v>Angel Marcelo Cabrera</x:v>
      </x:c>
      <x:c r="C13" s="15" t="str">
        <x:v>8</x:v>
      </x:c>
      <x:c r="D13" s="15" t="n">
        <x:v>2</x:v>
      </x:c>
      <x:c r="E13" s="15" t="str">
        <x:v>CAD 393.75; CAD 187.5</x:v>
      </x:c>
      <x:c r="F13" s="15" t="str">
        <x:v>2026-04-02; 2026-04-10</x:v>
      </x:c>
      <x:c r="G13" s="15" t="str">
        <x:v>2026-04-02 - Marcelo invoice#8.pdf | 2026-04-10 - Marcelo invoice#8.pdf</x:v>
      </x:c>
    </x:row>
    <x:row r="14">
      <x:c r="A14" s="15" t="str">
        <x:v>ae507d597fa80282</x:v>
      </x:c>
      <x:c r="B14" s="15" t="str">
        <x:v>Angel Marcelo Cabrera</x:v>
      </x:c>
      <x:c r="C14" s="15" t="str">
        <x:v>9</x:v>
      </x:c>
      <x:c r="D14" s="15" t="n">
        <x:v>2</x:v>
      </x:c>
      <x:c r="E14" s="15" t="str">
        <x:v>CAD 337.5; CAD 431.25</x:v>
      </x:c>
      <x:c r="F14" s="15" t="str">
        <x:v>2026-04-14; 2026-04-14</x:v>
      </x:c>
      <x:c r="G14" s="15" t="str">
        <x:v>2026-04-14 - Marcelo invoice#9 (2).pdf | 2026-04-14 - Marcelo invoice#9.pdf</x:v>
      </x:c>
    </x:row>
    <x:row r="15">
      <x:c r="A15" s="15" t="str">
        <x:v>232401d893188a97</x:v>
      </x:c>
      <x:c r="B15" s="15" t="str">
        <x:v>Goulet Contracting &amp; Painting Inc.</x:v>
      </x:c>
      <x:c r="C15" s="15" t="str">
        <x:v>INV-000197</x:v>
      </x:c>
      <x:c r="D15" s="15" t="n">
        <x:v>2</x:v>
      </x:c>
      <x:c r="E15" s="15" t="str">
        <x:v>CAD 11535.04; CAD 9150.74</x:v>
      </x:c>
      <x:c r="F15" s="15" t="str">
        <x:v>2025-09-11; 2025-10-20</x:v>
      </x:c>
      <x:c r="G15" s="15" t="str">
        <x:v>2025-09-11 - INV-000197.pdf | 2025-10-20 - INV-000197.pdf</x:v>
      </x:c>
    </x:row>
    <x:row r="16">
      <x:c r="A16" s="15" t="str">
        <x:v>2ee14e3d56045f3c</x:v>
      </x:c>
      <x:c r="B16" s="15" t="str">
        <x:v>Phillip Hyde</x:v>
      </x:c>
      <x:c r="C16" s="15" t="str">
        <x:v>INV-000013</x:v>
      </x:c>
      <x:c r="D16" s="15" t="n">
        <x:v>2</x:v>
      </x:c>
      <x:c r="E16" s="15" t="str">
        <x:v>CAD 917.34</x:v>
      </x:c>
      <x:c r="F16" s="15" t="str">
        <x:v>2025-12-15; 2025-12-29</x:v>
      </x:c>
      <x:c r="G16" s="15" t="str">
        <x:v>2025-12-15 - INV-000013.pdf | 2025-12-29 - Payment-1.pdf</x:v>
      </x:c>
    </x:row>
    <x:row r="17">
      <x:c r="A17" s="15" t="str">
        <x:v>b63926c5ddb9489e</x:v>
      </x:c>
      <x:c r="B17" s="15" t="str">
        <x:v>Phillip Hyde</x:v>
      </x:c>
      <x:c r="C17" s="15" t="str">
        <x:v>INV-000015</x:v>
      </x:c>
      <x:c r="D17" s="15" t="n">
        <x:v>2</x:v>
      </x:c>
      <x:c r="E17" s="15" t="str">
        <x:v>CAD 524.7</x:v>
      </x:c>
      <x:c r="F17" s="15" t="str">
        <x:v>2026-01-23; 2026-01-28</x:v>
      </x:c>
      <x:c r="G17" s="15" t="str">
        <x:v>2026-01-23 - INV-000015.pdf | 2026-01-28 - Payment-2.pdf</x:v>
      </x:c>
    </x:row>
    <x:row r="18">
      <x:c r="A18" s="15" t="str">
        <x:v>936080c2b71a7143</x:v>
      </x:c>
      <x:c r="B18" s="15" t="str">
        <x:v>Premium Coat</x:v>
      </x:c>
      <x:c r="C18" s="15" t="str">
        <x:v>FM-171</x:v>
      </x:c>
      <x:c r="D18" s="15" t="n">
        <x:v>2</x:v>
      </x:c>
      <x:c r="E18" s="15" t="str">
        <x:v>CAD 2131.82; CAD 5367.5</x:v>
      </x:c>
      <x:c r="F18" s="15" t="str">
        <x:v>2026-05-30; 2026-05-30</x:v>
      </x:c>
      <x:c r="G18" s="15" t="str">
        <x:v>2026-05-30 - Invoice FM-171 (2).pdf | 2026-05-30 - Invoice FM-171.pdf</x:v>
      </x:c>
    </x:row>
    <x:row r="19">
      <x:c r="A19" s="15" t="str">
        <x:v>1ef742dab2aa1db4</x:v>
      </x:c>
      <x:c r="B19" s="15" t="str">
        <x:v>Scott Bertin</x:v>
      </x:c>
      <x:c r="C19" s="15" t="str">
        <x:v>1</x:v>
      </x:c>
      <x:c r="D19" s="15" t="n">
        <x:v>2</x:v>
      </x:c>
      <x:c r="E19" s="15" t="str">
        <x:v>CAD 1980; CAD 1085</x:v>
      </x:c>
      <x:c r="F19" s="15" t="str">
        <x:v>2026-03-25; 2026-03-25</x:v>
      </x:c>
      <x:c r="G19" s="15" t="str">
        <x:v>2026-03-25 - 1000018917.jpg | 2026-03-25 - Screenshot_20260324_200419_Sheets.jpg</x:v>
      </x:c>
    </x:row>
    <x:row r="20">
      <x:c r="A20" s="15" t="str">
        <x:v>fccf2fba8780532a</x:v>
      </x:c>
      <x:c r="B20" s="15" t="str">
        <x:v>XDesign Dev Inc</x:v>
      </x:c>
      <x:c r="C20" s="15" t="str">
        <x:v>8586</x:v>
      </x:c>
      <x:c r="D20" s="15" t="n">
        <x:v>2</x:v>
      </x:c>
      <x:c r="E20" s="15" t="str">
        <x:v>CAD 271.2; CAD 372.9</x:v>
      </x:c>
      <x:c r="F20" s="15" t="str">
        <x:v>2026-06-07; 2026-06-08</x:v>
      </x:c>
      <x:c r="G20" s="15" t="str">
        <x:v>2026-06-07 - Invoice_8586_2026-06-06.pdf | 2026-06-08 - Invoice_8586_2026-06-06.pdf</x:v>
      </x:c>
    </x:row>
    <x:row r="23">
      <x:c r="A23" s="19" t="str">
        <x:v>Exact byte-for-byte copies excluded before upload</x:v>
      </x:c>
      <x:c r="B23" s="19" t="str">
        <x:v>Exact byte-for-byte copies excluded before upload</x:v>
      </x:c>
      <x:c r="C23" s="19" t="str">
        <x:v>Exact byte-for-byte copies excluded before upload</x:v>
      </x:c>
    </x:row>
    <x:row r="24">
      <x:c r="A24" s="15" t="str">
        <x:v>2026-05-26</x:v>
      </x:c>
      <x:c r="B24" s="15" t="str">
        <x:v>Perfect Strokes invoice 118</x:v>
      </x:c>
      <x:c r="C24" s="15" t="str">
        <x:v>Exact copy excluded</x:v>
      </x:c>
    </x:row>
    <x:row r="25">
      <x:c r="A25" s="15" t="str">
        <x:v>2026-06-27</x:v>
      </x:c>
      <x:c r="B25" s="15" t="str">
        <x:v>XDesign invoice 8590</x:v>
      </x:c>
      <x:c r="C25" s="15" t="str">
        <x:v>Exact copy excluded</x:v>
      </x:c>
    </x:row>
    <x:row r="26">
      <x:c r="A26" s="15" t="str">
        <x:v>2026-06-02</x:v>
      </x:c>
      <x:c r="B26" s="15" t="str">
        <x:v>74932994… (2).pdf</x:v>
      </x:c>
      <x:c r="C26" s="15" t="str">
        <x:v>Exact copy excluded</x:v>
      </x:c>
    </x:row>
  </x:sheetData>
  <x:mergeCells>
    <x:mergeCell ref="A1:G1"/>
    <x:mergeCell ref="A2:G2"/>
    <x:mergeCell ref="A23:C23"/>
  </x:mergeCells>
  <x:pageMargins left="0.7" right="0.7" top="0.75" bottom="0.75" header="0.3" footer="0.3"/>
  <x:tableParts count="1">
    <x:tablePart xmlns:r="http://schemas.openxmlformats.org/officeDocument/2006/relationships" r:id="R34981f7830c84d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50" hidden="0" customWidth="1"/>
    <x:col min="4" max="4" width="12" hidden="0" customWidth="1"/>
  </x:cols>
  <x:sheetData>
    <x:row r="1" ht="30" customHeight="1">
      <x:c r="A1" s="3" t="str">
        <x:v>Operational Jobs Without Invoices</x:v>
      </x:c>
      <x:c r="B1" s="3" t="str">
        <x:v>Operational Jobs Without Invoices</x:v>
      </x:c>
      <x:c r="C1" s="3" t="str">
        <x:v>Operational Jobs Without Invoices</x:v>
      </x:c>
      <x:c r="D1" s="3" t="str">
        <x:v>Operational Jobs Without Invoices</x:v>
      </x:c>
    </x:row>
    <x:row r="2" ht="34" customHeight="1">
      <x:c r="A2" s="7" t="str">
        <x:v>CompanyCam jobs with no linked invoice in this archive. Active jobs appear first; leads, deleted/test projects, and internal QA records are excluded.</x:v>
      </x:c>
      <x:c r="B2" s="7" t="str">
        <x:v>CompanyCam jobs with no linked invoice in this archive. Active jobs appear first; leads, deleted/test projects, and internal QA records are excluded.</x:v>
      </x:c>
      <x:c r="C2" s="7" t="str">
        <x:v>CompanyCam jobs with no linked invoice in this archive. Active jobs appear first; leads, deleted/test projects, and internal QA records are excluded.</x:v>
      </x:c>
      <x:c r="D2" s="7" t="str">
        <x:v>CompanyCam jobs with no linked invoice in this archive. Active jobs appear first; leads, deleted/test projects, and internal QA records are excluded.</x:v>
      </x:c>
    </x:row>
    <x:row r="4" ht="26" customHeight="1">
      <x:c r="A4" s="12" t="str">
        <x:v>CompanyCam ID</x:v>
      </x:c>
      <x:c r="B4" s="12" t="str">
        <x:v>Job</x:v>
      </x:c>
      <x:c r="C4" s="12" t="str">
        <x:v>Address</x:v>
      </x:c>
      <x:c r="D4" s="12" t="str">
        <x:v>Status</x:v>
      </x:c>
    </x:row>
    <x:row r="5">
      <x:c r="A5" s="15" t="str">
        <x:v>99721778</x:v>
      </x:c>
      <x:c r="B5" s="15" t="str">
        <x:v>Aisha Suhail</x:v>
      </x:c>
      <x:c r="C5" s="15" t="str">
        <x:v>4310 Goldeneye Way, Ottawa, ON, K1V 2G8, CA</x:v>
      </x:c>
      <x:c r="D5" s="15" t="str">
        <x:v>Active</x:v>
      </x:c>
    </x:row>
    <x:row r="6">
      <x:c r="A6" s="15" t="str">
        <x:v>97687669</x:v>
      </x:c>
      <x:c r="B6" s="15" t="str">
        <x:v>Alison Senior</x:v>
      </x:c>
      <x:c r="C6" s="15" t="str">
        <x:v>249 Hepatica Way, Ottawa, ON, K4A 0Z2, CA</x:v>
      </x:c>
      <x:c r="D6" s="15" t="str">
        <x:v>Active</x:v>
      </x:c>
    </x:row>
    <x:row r="7">
      <x:c r="A7" s="15" t="str">
        <x:v>104214178</x:v>
      </x:c>
      <x:c r="B7" s="15" t="str">
        <x:v>Andrea Popova</x:v>
      </x:c>
      <x:c r="C7" s="15" t="str">
        <x:v>914 Walkley Rd, Ottawa, ON, K1V 6R5, CA</x:v>
      </x:c>
      <x:c r="D7" s="15" t="str">
        <x:v>Active</x:v>
      </x:c>
    </x:row>
    <x:row r="8">
      <x:c r="A8" s="15" t="str">
        <x:v>105247211</x:v>
      </x:c>
      <x:c r="B8" s="15" t="str">
        <x:v>Andrew Hewson</x:v>
      </x:c>
      <x:c r="C8" s="15" t="str">
        <x:v>616 Lakeridge Dr, Ottawa, ON, K4A 0H4, CA</x:v>
      </x:c>
      <x:c r="D8" s="15" t="str">
        <x:v>Active</x:v>
      </x:c>
    </x:row>
    <x:row r="9">
      <x:c r="A9" s="15" t="str">
        <x:v>105415868</x:v>
      </x:c>
      <x:c r="B9" s="15" t="str">
        <x:v>Anne Melrose</x:v>
      </x:c>
      <x:c r="C9" s="15" t="str">
        <x:v>230 Ave Blackburn, Ottawa, ON, K1N 8A8, CA</x:v>
      </x:c>
      <x:c r="D9" s="15" t="str">
        <x:v>Active</x:v>
      </x:c>
    </x:row>
    <x:row r="10">
      <x:c r="A10" s="15" t="str">
        <x:v>99790638</x:v>
      </x:c>
      <x:c r="B10" s="15" t="str">
        <x:v>Ashok Saha</x:v>
      </x:c>
      <x:c r="C10" s="15" t="str">
        <x:v>212 Breitling Ct, Ottawa, ON, K2R 1E5, CA</x:v>
      </x:c>
      <x:c r="D10" s="15" t="str">
        <x:v>Active</x:v>
      </x:c>
    </x:row>
    <x:row r="11">
      <x:c r="A11" s="15" t="str">
        <x:v>106031525</x:v>
      </x:c>
      <x:c r="B11" s="15" t="str">
        <x:v>Aspen Tzal</x:v>
      </x:c>
      <x:c r="C11" s="15" t="str">
        <x:v>300 Lisgar St, #1213, Ottawa, ON, K2P 0E2, CA</x:v>
      </x:c>
      <x:c r="D11" s="15" t="str">
        <x:v>Active</x:v>
      </x:c>
    </x:row>
    <x:row r="12">
      <x:c r="A12" s="15" t="str">
        <x:v>102929362</x:v>
      </x:c>
      <x:c r="B12" s="15" t="str">
        <x:v>Barry Dollin</x:v>
      </x:c>
      <x:c r="C12" s="15" t="str">
        <x:v>124 Sherwood Dr, Ottawa, ON, K1Y 3V2, CA</x:v>
      </x:c>
      <x:c r="D12" s="15" t="str">
        <x:v>Active</x:v>
      </x:c>
    </x:row>
    <x:row r="13">
      <x:c r="A13" s="15" t="str">
        <x:v>105499564</x:v>
      </x:c>
      <x:c r="B13" s="15" t="str">
        <x:v>Catherine Beaulieu</x:v>
      </x:c>
      <x:c r="C13" s="15" t="str">
        <x:v>45 Putman Ave, Ottawa, ON, K1M 1Z1, CA</x:v>
      </x:c>
      <x:c r="D13" s="15" t="str">
        <x:v>Active</x:v>
      </x:c>
    </x:row>
    <x:row r="14">
      <x:c r="A14" s="15" t="str">
        <x:v>101275098</x:v>
      </x:c>
      <x:c r="B14" s="15" t="str">
        <x:v>Christine Nasrallah</x:v>
      </x:c>
      <x:c r="C14" s="15" t="str">
        <x:v>706 Painted Sky Wy, Ottawa, ON, K2S 2L3, CA</x:v>
      </x:c>
      <x:c r="D14" s="15" t="str">
        <x:v>Active</x:v>
      </x:c>
    </x:row>
    <x:row r="15">
      <x:c r="A15" s="15" t="str">
        <x:v>109886187</x:v>
      </x:c>
      <x:c r="B15" s="15" t="str">
        <x:v>Don &amp; Peggy McHugh</x:v>
      </x:c>
      <x:c r="C15" s="15" t="str">
        <x:v>850 Dundee Ave, Ottawa, ON, K2B 5S8, CA</x:v>
      </x:c>
      <x:c r="D15" s="15" t="str">
        <x:v>Active</x:v>
      </x:c>
    </x:row>
    <x:row r="16">
      <x:c r="A16" s="15" t="str">
        <x:v>105519208</x:v>
      </x:c>
      <x:c r="B16" s="15" t="str">
        <x:v>Erik Brownrigg</x:v>
      </x:c>
      <x:c r="C16" s="15" t="str">
        <x:v>778 Carnelian Cres, Ottawa, ON, K4M 0E2, CA</x:v>
      </x:c>
      <x:c r="D16" s="15" t="str">
        <x:v>Active</x:v>
      </x:c>
    </x:row>
    <x:row r="17">
      <x:c r="A17" s="15" t="str">
        <x:v>105441750</x:v>
      </x:c>
      <x:c r="B17" s="15" t="str">
        <x:v>Francois Levesque</x:v>
      </x:c>
      <x:c r="C17" s="15" t="str">
        <x:v>1857 Hialeah Dr, Ottawa, ON, K4A 3S7, CA</x:v>
      </x:c>
      <x:c r="D17" s="15" t="str">
        <x:v>Active</x:v>
      </x:c>
    </x:row>
    <x:row r="18">
      <x:c r="A18" s="15" t="str">
        <x:v>104025869</x:v>
      </x:c>
      <x:c r="B18" s="15" t="str">
        <x:v>Ginette Joseph</x:v>
      </x:c>
      <x:c r="C18" s="15" t="str">
        <x:v>143 Margrave Ave, Ottawa, ON, K1T 3X8, CA</x:v>
      </x:c>
      <x:c r="D18" s="15" t="str">
        <x:v>Active</x:v>
      </x:c>
    </x:row>
    <x:row r="19">
      <x:c r="A19" s="15" t="str">
        <x:v>105834859</x:v>
      </x:c>
      <x:c r="B19" s="15" t="str">
        <x:v>Jon Roebuck</x:v>
      </x:c>
      <x:c r="C19" s="15" t="str">
        <x:v>1714 Amberdale Crescent, Ottawa, ON, K1H 7B3, CA</x:v>
      </x:c>
      <x:c r="D19" s="15" t="str">
        <x:v>Active</x:v>
      </x:c>
    </x:row>
    <x:row r="20">
      <x:c r="A20" s="15" t="str">
        <x:v>96756583</x:v>
      </x:c>
      <x:c r="B20" s="15" t="str">
        <x:v>Katie Wakeman</x:v>
      </x:c>
      <x:c r="C20" s="15" t="str">
        <x:v>88 Richmond Rd #706, Ottawa, ON, K1Z 6V9, CA</x:v>
      </x:c>
      <x:c r="D20" s="15" t="str">
        <x:v>Active</x:v>
      </x:c>
    </x:row>
    <x:row r="21">
      <x:c r="A21" s="15" t="str">
        <x:v>99473540</x:v>
      </x:c>
      <x:c r="B21" s="15" t="str">
        <x:v>Laura Whitworth</x:v>
      </x:c>
      <x:c r="C21" s="15" t="str">
        <x:v>1454 Bonneville Crescent, Ottawa, ON, K1C 7N2, CA</x:v>
      </x:c>
      <x:c r="D21" s="15" t="str">
        <x:v>Active</x:v>
      </x:c>
    </x:row>
    <x:row r="22">
      <x:c r="A22" s="15" t="str">
        <x:v>109381573</x:v>
      </x:c>
      <x:c r="B22" s="15" t="str">
        <x:v>Leiya Dobson</x:v>
      </x:c>
      <x:c r="C22" s="15" t="str">
        <x:v>120 Walnut Ct, 46, Ottawa, ON, K1R 7W2, CA</x:v>
      </x:c>
      <x:c r="D22" s="15" t="str">
        <x:v>Active</x:v>
      </x:c>
    </x:row>
    <x:row r="23">
      <x:c r="A23" s="15" t="str">
        <x:v>105265540</x:v>
      </x:c>
      <x:c r="B23" s="15" t="str">
        <x:v>Matthieu Kimmell</x:v>
      </x:c>
      <x:c r="C23" s="15" t="str">
        <x:v>255 Cathcart St, Ottawa, ON, K1N 5C2, CA</x:v>
      </x:c>
      <x:c r="D23" s="15" t="str">
        <x:v>Active</x:v>
      </x:c>
    </x:row>
    <x:row r="24">
      <x:c r="A24" s="15" t="str">
        <x:v>100220663</x:v>
      </x:c>
      <x:c r="B24" s="15" t="str">
        <x:v>Melanie Stockdale</x:v>
      </x:c>
      <x:c r="C24" s="15" t="str">
        <x:v>2156 Audrey Ave, Ottawa, ON, K1G 1L2, CA</x:v>
      </x:c>
      <x:c r="D24" s="15" t="str">
        <x:v>Active</x:v>
      </x:c>
    </x:row>
    <x:row r="25">
      <x:c r="A25" s="15" t="str">
        <x:v>97320061</x:v>
      </x:c>
      <x:c r="B25" s="15" t="str">
        <x:v>Nancy Karas</x:v>
      </x:c>
      <x:c r="C25" s="15" t="str">
        <x:v>6081 Valley Field Crescent, Ottawa, ON, K1C 5P3, CA</x:v>
      </x:c>
      <x:c r="D25" s="15" t="str">
        <x:v>Active</x:v>
      </x:c>
    </x:row>
    <x:row r="26">
      <x:c r="A26" s="15" t="str">
        <x:v>99455439</x:v>
      </x:c>
      <x:c r="B26" s="15" t="str">
        <x:v>Nathalie Guimont</x:v>
      </x:c>
      <x:c r="C26" s="15" t="str">
        <x:v>1837 Windflower Way, Ottawa, ON, K1C 5Z8, CA</x:v>
      </x:c>
      <x:c r="D26" s="15" t="str">
        <x:v>Active</x:v>
      </x:c>
    </x:row>
    <x:row r="27">
      <x:c r="A27" s="15" t="str">
        <x:v>104610586</x:v>
      </x:c>
      <x:c r="B27" s="15" t="str">
        <x:v>Phil Coe #1</x:v>
      </x:c>
      <x:c r="C27" s="15" t="str">
        <x:v>6558 Michelangelo Ct, Ottawa, ON, K0A 2T0, CA</x:v>
      </x:c>
      <x:c r="D27" s="15" t="str">
        <x:v>Active</x:v>
      </x:c>
    </x:row>
    <x:row r="28">
      <x:c r="A28" s="15" t="str">
        <x:v>105209210</x:v>
      </x:c>
      <x:c r="B28" s="15" t="str">
        <x:v>Rachelle Latremouille</x:v>
      </x:c>
      <x:c r="C28" s="15" t="str">
        <x:v>65 Newport Crescent, Ottawa, ON, K1T 3M3, CA</x:v>
      </x:c>
      <x:c r="D28" s="15" t="str">
        <x:v>Active</x:v>
      </x:c>
    </x:row>
    <x:row r="29">
      <x:c r="A29" s="15" t="str">
        <x:v>105848213</x:v>
      </x:c>
      <x:c r="B29" s="15" t="str">
        <x:v>Shezara Ali</x:v>
      </x:c>
      <x:c r="C29" s="15" t="str">
        <x:v>314 Central Park Dr, #805, Ottawa, ON, K2C 0R2, CA</x:v>
      </x:c>
      <x:c r="D29" s="15" t="str">
        <x:v>Active</x:v>
      </x:c>
    </x:row>
    <x:row r="30">
      <x:c r="A30" s="15" t="str">
        <x:v>99548034</x:v>
      </x:c>
      <x:c r="B30" s="15" t="str">
        <x:v>Sue Deluney</x:v>
      </x:c>
      <x:c r="C30" s="15" t="str">
        <x:v>27 Gentle Gate Crescent, Ottawa, ON, K1T 1Z9, CA</x:v>
      </x:c>
      <x:c r="D30" s="15" t="str">
        <x:v>Active</x:v>
      </x:c>
    </x:row>
    <x:row r="31">
      <x:c r="A31" s="15" t="str">
        <x:v>105746981</x:v>
      </x:c>
      <x:c r="B31" s="15" t="str">
        <x:v>Wendy Page</x:v>
      </x:c>
      <x:c r="C31" s="15" t="str">
        <x:v>618 Shelley Ave, Ottawa, ON, K1G 0P4, CA</x:v>
      </x:c>
      <x:c r="D31" s="15" t="str">
        <x:v>Active</x:v>
      </x:c>
    </x:row>
    <x:row r="32">
      <x:c r="A32" s="15" t="str">
        <x:v>97269849</x:v>
      </x:c>
      <x:c r="B32" s="15" t="str">
        <x:v>Zeana Robleh</x:v>
      </x:c>
      <x:c r="C32" s="15" t="str">
        <x:v>1428 Ballard Ct, Ottawa, ON, K1B 4Z2, CA</x:v>
      </x:c>
      <x:c r="D32" s="15" t="str">
        <x:v>Active</x:v>
      </x:c>
    </x:row>
    <x:row r="33">
      <x:c r="A33" s="15" t="str">
        <x:v>101159996</x:v>
      </x:c>
      <x:c r="B33" s="15" t="str">
        <x:v>Ahmed Abdillahi</x:v>
      </x:c>
      <x:c r="C33" s="15" t="str">
        <x:v>506 Harvest Valley Ave, Ottawa, ON, K4A 0R1, CA</x:v>
      </x:c>
      <x:c r="D33" s="15" t="str">
        <x:v>Archived</x:v>
      </x:c>
    </x:row>
    <x:row r="34">
      <x:c r="A34" s="15" t="str">
        <x:v>97475519</x:v>
      </x:c>
      <x:c r="B34" s="15" t="str">
        <x:v>Amir Banihashemi</x:v>
      </x:c>
      <x:c r="C34" s="15" t="str">
        <x:v>199 Strathcona Ave, Ottawa, ON, K1S 1X7, CA</x:v>
      </x:c>
      <x:c r="D34" s="15" t="str">
        <x:v>Archived</x:v>
      </x:c>
    </x:row>
    <x:row r="35">
      <x:c r="A35" s="15" t="str">
        <x:v>102601245</x:v>
      </x:c>
      <x:c r="B35" s="15" t="str">
        <x:v>Amit Mishra</x:v>
      </x:c>
      <x:c r="C35" s="15" t="str">
        <x:v>401 Oaklawn Crescent, Ottawa, ON, K4A 3J3, CA</x:v>
      </x:c>
      <x:c r="D35" s="15" t="str">
        <x:v>Archived</x:v>
      </x:c>
    </x:row>
    <x:row r="36">
      <x:c r="A36" s="15" t="str">
        <x:v>102069753</x:v>
      </x:c>
      <x:c r="B36" s="15" t="str">
        <x:v>Antony Sim</x:v>
      </x:c>
      <x:c r="C36" s="15" t="str">
        <x:v>CA</x:v>
      </x:c>
      <x:c r="D36" s="15" t="str">
        <x:v>Archived</x:v>
      </x:c>
    </x:row>
    <x:row r="37">
      <x:c r="A37" s="15" t="str">
        <x:v>104355075</x:v>
      </x:c>
      <x:c r="B37" s="15" t="str">
        <x:v>Barbara Greenberg</x:v>
      </x:c>
      <x:c r="C37" s="15" t="str">
        <x:v>56 Conover St, Ottawa, ON, K2G 3Z5, CA</x:v>
      </x:c>
      <x:c r="D37" s="15" t="str">
        <x:v>Archived</x:v>
      </x:c>
    </x:row>
    <x:row r="38">
      <x:c r="A38" s="15" t="str">
        <x:v>103908233</x:v>
      </x:c>
      <x:c r="B38" s="15" t="str">
        <x:v>Baro Baro</x:v>
      </x:c>
      <x:c r="C38" s="15" t="str">
        <x:v>558 Renaissance Dr, Ottawa, ON, K4A 4E9, CA</x:v>
      </x:c>
      <x:c r="D38" s="15" t="str">
        <x:v>Archived</x:v>
      </x:c>
    </x:row>
    <x:row r="39">
      <x:c r="A39" s="15" t="str">
        <x:v>97329405</x:v>
      </x:c>
      <x:c r="B39" s="15" t="str">
        <x:v>Bill Vail</x:v>
      </x:c>
      <x:c r="C39" s="15" t="str">
        <x:v>8252 Nashdale Dr, Ottawa, ON, K0A 2P0, CA</x:v>
      </x:c>
      <x:c r="D39" s="15" t="str">
        <x:v>Archived</x:v>
      </x:c>
    </x:row>
    <x:row r="40">
      <x:c r="A40" s="15" t="str">
        <x:v>103507278</x:v>
      </x:c>
      <x:c r="B40" s="15" t="str">
        <x:v>Carina Stark</x:v>
      </x:c>
      <x:c r="C40" s="15" t="str">
        <x:v>148 Waterfern Way, Ottawa, ON, K4A 0S6, CA</x:v>
      </x:c>
      <x:c r="D40" s="15" t="str">
        <x:v>Archived</x:v>
      </x:c>
    </x:row>
    <x:row r="41">
      <x:c r="A41" s="15" t="str">
        <x:v>100515692</x:v>
      </x:c>
      <x:c r="B41" s="15" t="str">
        <x:v>Carl Suurland</x:v>
      </x:c>
      <x:c r="C41" s="15" t="str">
        <x:v>1324 Avenue O, Ottawa, ON, K1G 0A9, CA</x:v>
      </x:c>
      <x:c r="D41" s="15" t="str">
        <x:v>Archived</x:v>
      </x:c>
    </x:row>
    <x:row r="42">
      <x:c r="A42" s="15" t="str">
        <x:v>97468469</x:v>
      </x:c>
      <x:c r="B42" s="15" t="str">
        <x:v>Carly Plate</x:v>
      </x:c>
      <x:c r="C42" s="15" t="str">
        <x:v>184 Crichton St, Ottawa, ON, K1M 1W2, CA</x:v>
      </x:c>
      <x:c r="D42" s="15" t="str">
        <x:v>Archived</x:v>
      </x:c>
    </x:row>
    <x:row r="43">
      <x:c r="A43" s="15" t="str">
        <x:v>100872030</x:v>
      </x:c>
      <x:c r="B43" s="15" t="str">
        <x:v>Caroline Ladanowski</x:v>
      </x:c>
      <x:c r="C43" s="15" t="str">
        <x:v>2237 Utah St, Ottawa, ON, K1H 7W6, CA</x:v>
      </x:c>
      <x:c r="D43" s="15" t="str">
        <x:v>Archived</x:v>
      </x:c>
    </x:row>
    <x:row r="44">
      <x:c r="A44" s="15" t="str">
        <x:v>100756507</x:v>
      </x:c>
      <x:c r="B44" s="15" t="str">
        <x:v>Carrie Poirier</x:v>
      </x:c>
      <x:c r="C44" s="15" t="str">
        <x:v>3309 Morningmist Way, Embrun, ON, K0A 1W0, CA</x:v>
      </x:c>
      <x:c r="D44" s="15" t="str">
        <x:v>Archived</x:v>
      </x:c>
    </x:row>
    <x:row r="45">
      <x:c r="A45" s="15" t="str">
        <x:v>102070069</x:v>
      </x:c>
      <x:c r="B45" s="15" t="str">
        <x:v>Chantale Bougie</x:v>
      </x:c>
      <x:c r="C45" s="15" t="str">
        <x:v>CA</x:v>
      </x:c>
      <x:c r="D45" s="15" t="str">
        <x:v>Archived</x:v>
      </x:c>
    </x:row>
    <x:row r="46">
      <x:c r="A46" s="15" t="str">
        <x:v>97870415</x:v>
      </x:c>
      <x:c r="B46" s="15" t="str">
        <x:v>Chioma Okekeze</x:v>
      </x:c>
      <x:c r="C46" s="15" t="str">
        <x:v>6279 Tealwood Pl, Ottawa, ON, K1C 7J9, CA</x:v>
      </x:c>
      <x:c r="D46" s="15" t="str">
        <x:v>Archived</x:v>
      </x:c>
    </x:row>
    <x:row r="47">
      <x:c r="A47" s="15" t="str">
        <x:v>102116731</x:v>
      </x:c>
      <x:c r="B47" s="15" t="str">
        <x:v>Chris Bucar</x:v>
      </x:c>
      <x:c r="C47" s="15" t="str">
        <x:v>2390 Georgina Dr, Ottawa, ON, K2B 7M7, CA</x:v>
      </x:c>
      <x:c r="D47" s="15" t="str">
        <x:v>Archived</x:v>
      </x:c>
    </x:row>
    <x:row r="48">
      <x:c r="A48" s="15" t="str">
        <x:v>100909506</x:v>
      </x:c>
      <x:c r="B48" s="15" t="str">
        <x:v>Chris Pereira</x:v>
      </x:c>
      <x:c r="C48" s="15" t="str">
        <x:v>1900 Kingsdale Ave, Ottawa, ON, K1T 1J1, CA</x:v>
      </x:c>
      <x:c r="D48" s="15" t="str">
        <x:v>Archived</x:v>
      </x:c>
    </x:row>
    <x:row r="49">
      <x:c r="A49" s="15" t="str">
        <x:v>104998057</x:v>
      </x:c>
      <x:c r="B49" s="15" t="str">
        <x:v>Christina Fernandez</x:v>
      </x:c>
      <x:c r="C49" s="15" t="str">
        <x:v>67 MacKay St, Ottawa, ON, K1M 2B3, CA</x:v>
      </x:c>
      <x:c r="D49" s="15" t="str">
        <x:v>Archived</x:v>
      </x:c>
    </x:row>
    <x:row r="50">
      <x:c r="A50" s="15" t="str">
        <x:v>102089787</x:v>
      </x:c>
      <x:c r="B50" s="15" t="str">
        <x:v>Christopher Bolger</x:v>
      </x:c>
      <x:c r="C50" s="15" t="str">
        <x:v>221 Mountbatten Ave, CA</x:v>
      </x:c>
      <x:c r="D50" s="15" t="str">
        <x:v>Archived</x:v>
      </x:c>
    </x:row>
    <x:row r="51">
      <x:c r="A51" s="15" t="str">
        <x:v>101727774</x:v>
      </x:c>
      <x:c r="B51" s="15" t="str">
        <x:v>Colette Hemeni</x:v>
      </x:c>
      <x:c r="C51" s="15" t="str">
        <x:v>415 MacLaren St, #906, Ottawa, ON, K2P 2C8, CA</x:v>
      </x:c>
      <x:c r="D51" s="15" t="str">
        <x:v>Archived</x:v>
      </x:c>
    </x:row>
    <x:row r="52">
      <x:c r="A52" s="15" t="str">
        <x:v>97336395</x:v>
      </x:c>
      <x:c r="B52" s="15" t="str">
        <x:v>Daniel</x:v>
      </x:c>
      <x:c r="C52" s="15" t="str">
        <x:v>60H Jaguar Private, Ottawa, ON, K2V 0J2, CA</x:v>
      </x:c>
      <x:c r="D52" s="15" t="str">
        <x:v>Archived</x:v>
      </x:c>
    </x:row>
    <x:row r="53">
      <x:c r="A53" s="15" t="str">
        <x:v>102903332</x:v>
      </x:c>
      <x:c r="B53" s="15" t="str">
        <x:v>Daniel Heredia</x:v>
      </x:c>
      <x:c r="C53" s="15" t="str">
        <x:v>103 Chancery Crescent, Ottawa, ON, K4A 4N3, CA</x:v>
      </x:c>
      <x:c r="D53" s="15" t="str">
        <x:v>Archived</x:v>
      </x:c>
    </x:row>
    <x:row r="54">
      <x:c r="A54" s="15" t="str">
        <x:v>103125782</x:v>
      </x:c>
      <x:c r="B54" s="15" t="str">
        <x:v>Daniel Lemieux</x:v>
      </x:c>
      <x:c r="C54" s="15" t="str">
        <x:v>3580 Rivergate Way, #408, Ottawa, ON, K1V, CA</x:v>
      </x:c>
      <x:c r="D54" s="15" t="str">
        <x:v>Archived</x:v>
      </x:c>
    </x:row>
    <x:row r="55">
      <x:c r="A55" s="15" t="str">
        <x:v>97278479</x:v>
      </x:c>
      <x:c r="B55" s="15" t="str">
        <x:v>Daniele Cinquemani</x:v>
      </x:c>
      <x:c r="C55" s="15" t="str">
        <x:v>4408 Goldeneye Way, Ottawa, ON, K1V 2J3, CA</x:v>
      </x:c>
      <x:c r="D55" s="15" t="str">
        <x:v>Archived</x:v>
      </x:c>
    </x:row>
    <x:row r="56">
      <x:c r="A56" s="15" t="str">
        <x:v>102123558</x:v>
      </x:c>
      <x:c r="B56" s="15" t="str">
        <x:v>David Richardson</x:v>
      </x:c>
      <x:c r="C56" s="15" t="str">
        <x:v>2001 Hollybrook Crescent, CA</x:v>
      </x:c>
      <x:c r="D56" s="15" t="str">
        <x:v>Archived</x:v>
      </x:c>
    </x:row>
    <x:row r="57">
      <x:c r="A57" s="15" t="str">
        <x:v>101777917</x:v>
      </x:c>
      <x:c r="B57" s="15" t="str">
        <x:v>Dayne Degroot</x:v>
      </x:c>
      <x:c r="C57" s="15" t="str">
        <x:v>20 Thiessen Crescent, Ottawa, ON, K2L 2M3, CA</x:v>
      </x:c>
      <x:c r="D57" s="15" t="str">
        <x:v>Archived</x:v>
      </x:c>
    </x:row>
    <x:row r="58">
      <x:c r="A58" s="15" t="str">
        <x:v>102892394</x:v>
      </x:c>
      <x:c r="B58" s="15" t="str">
        <x:v>Deborah Mavula</x:v>
      </x:c>
      <x:c r="C58" s="15" t="str">
        <x:v>181 Crevasse Rd., Ottawa, ON, K1W 0R5, CA</x:v>
      </x:c>
      <x:c r="D58" s="15" t="str">
        <x:v>Archived</x:v>
      </x:c>
    </x:row>
    <x:row r="59">
      <x:c r="A59" s="15" t="str">
        <x:v>104870012</x:v>
      </x:c>
      <x:c r="B59" s="15" t="str">
        <x:v>Diane Girard Boileau</x:v>
      </x:c>
      <x:c r="C59" s="15" t="str">
        <x:v>1388 River Rd, Ottawa, ON, K4M 1B4, CA</x:v>
      </x:c>
      <x:c r="D59" s="15" t="str">
        <x:v>Archived</x:v>
      </x:c>
    </x:row>
    <x:row r="60">
      <x:c r="A60" s="15" t="str">
        <x:v>104233059</x:v>
      </x:c>
      <x:c r="B60" s="15" t="str">
        <x:v>Didi Pascal</x:v>
      </x:c>
      <x:c r="C60" s="15" t="str">
        <x:v>2372 Esprit Dr, Ottawa, ON, K4A 0T4, CA</x:v>
      </x:c>
      <x:c r="D60" s="15" t="str">
        <x:v>Archived</x:v>
      </x:c>
    </x:row>
    <x:row r="61">
      <x:c r="A61" s="15" t="str">
        <x:v>97782980</x:v>
      </x:c>
      <x:c r="B61" s="15" t="str">
        <x:v>Dr Alain Kabemba</x:v>
      </x:c>
      <x:c r="C61" s="15" t="str">
        <x:v>226 Keyrock Dr, Ottawa, ON, K2T 0B4, CA</x:v>
      </x:c>
      <x:c r="D61" s="15" t="str">
        <x:v>Archived</x:v>
      </x:c>
    </x:row>
    <x:row r="62">
      <x:c r="A62" s="15" t="str">
        <x:v>104132430</x:v>
      </x:c>
      <x:c r="B62" s="15" t="str">
        <x:v>Elaine Keverney</x:v>
      </x:c>
      <x:c r="C62" s="15" t="str">
        <x:v>474 Stalwart Crescent, Ottawa, ON, K1T 0H3, CA</x:v>
      </x:c>
      <x:c r="D62" s="15" t="str">
        <x:v>Archived</x:v>
      </x:c>
    </x:row>
    <x:row r="63">
      <x:c r="A63" s="15" t="str">
        <x:v>104450536</x:v>
      </x:c>
      <x:c r="B63" s="15" t="str">
        <x:v>Erin Armstrong</x:v>
      </x:c>
      <x:c r="C63" s="15" t="str">
        <x:v>1862 Sharel Dr, Ottawa, ON, K1H 6W4, CA</x:v>
      </x:c>
      <x:c r="D63" s="15" t="str">
        <x:v>Archived</x:v>
      </x:c>
    </x:row>
    <x:row r="64">
      <x:c r="A64" s="15" t="str">
        <x:v>99609135</x:v>
      </x:c>
      <x:c r="B64" s="15" t="str">
        <x:v>Erin-Renee Keddo</x:v>
      </x:c>
      <x:c r="C64" s="15" t="str">
        <x:v>57 Chester Crescent, Ottawa, ON, K2J 2J6, CA</x:v>
      </x:c>
      <x:c r="D64" s="15" t="str">
        <x:v>Archived</x:v>
      </x:c>
    </x:row>
    <x:row r="65">
      <x:c r="A65" s="15" t="str">
        <x:v>104581829</x:v>
      </x:c>
      <x:c r="B65" s="15" t="str">
        <x:v>Hannah Boyle</x:v>
      </x:c>
      <x:c r="C65" s="15" t="str">
        <x:v>27 Ivy Crescent, Ottawa, ON, K1M 1Y1, CA</x:v>
      </x:c>
      <x:c r="D65" s="15" t="str">
        <x:v>Archived</x:v>
      </x:c>
    </x:row>
    <x:row r="66">
      <x:c r="A66" s="15" t="str">
        <x:v>96793782</x:v>
      </x:c>
      <x:c r="B66" s="15" t="str">
        <x:v>Hugo Lafontaine</x:v>
      </x:c>
      <x:c r="C66" s="15" t="str">
        <x:v>1828 Yale Ave, Ottawa, ON, K1H 6S4, CA</x:v>
      </x:c>
      <x:c r="D66" s="15" t="str">
        <x:v>Archived</x:v>
      </x:c>
    </x:row>
    <x:row r="67">
      <x:c r="A67" s="15" t="str">
        <x:v>100393273</x:v>
      </x:c>
      <x:c r="B67" s="15" t="str">
        <x:v>Jackie Weatherall</x:v>
      </x:c>
      <x:c r="C67" s="15" t="str">
        <x:v>35 Glenmoriston Ave, Ottawa, ON, K2L 2S3, CA</x:v>
      </x:c>
      <x:c r="D67" s="15" t="str">
        <x:v>Archived</x:v>
      </x:c>
    </x:row>
    <x:row r="68">
      <x:c r="A68" s="15" t="str">
        <x:v>102300885</x:v>
      </x:c>
      <x:c r="B68" s="15" t="str">
        <x:v>Janelle Bah</x:v>
      </x:c>
      <x:c r="C68" s="15" t="str">
        <x:v>1624B Varennes Blvd, Ottawa, ON, K4A 3Z8, CA</x:v>
      </x:c>
      <x:c r="D68" s="15" t="str">
        <x:v>Archived</x:v>
      </x:c>
    </x:row>
    <x:row r="69">
      <x:c r="A69" s="15" t="str">
        <x:v>96711193</x:v>
      </x:c>
      <x:c r="B69" s="15" t="str">
        <x:v>Jean Marcelin</x:v>
      </x:c>
      <x:c r="C69" s="15" t="str">
        <x:v>483 Ruby St, Clarence-Rockland, ON, K4K 0H5, CA</x:v>
      </x:c>
      <x:c r="D69" s="15" t="str">
        <x:v>Archived</x:v>
      </x:c>
    </x:row>
    <x:row r="70">
      <x:c r="A70" s="15" t="str">
        <x:v>102095389</x:v>
      </x:c>
      <x:c r="B70" s="15" t="str">
        <x:v>Jess Foley</x:v>
      </x:c>
      <x:c r="C70" s="15" t="str">
        <x:v>2109 Bangor St, Ottawa, ON, K1G 2X6, CA</x:v>
      </x:c>
      <x:c r="D70" s="15" t="str">
        <x:v>Archived</x:v>
      </x:c>
    </x:row>
    <x:row r="71">
      <x:c r="A71" s="15" t="str">
        <x:v>101190167</x:v>
      </x:c>
      <x:c r="B71" s="15" t="str">
        <x:v>Joe Fuca</x:v>
      </x:c>
      <x:c r="C71" s="15" t="str">
        <x:v>820 Pergola Pl, Ottawa, ON, K1T 0T8, CA</x:v>
      </x:c>
      <x:c r="D71" s="15" t="str">
        <x:v>Archived</x:v>
      </x:c>
    </x:row>
    <x:row r="72">
      <x:c r="A72" s="15" t="str">
        <x:v>104221368</x:v>
      </x:c>
      <x:c r="B72" s="15" t="str">
        <x:v>Joelle Boutros</x:v>
      </x:c>
      <x:c r="C72" s="15" t="str">
        <x:v>236 Trailsedge Way, Ottawa, ON, K4B 1H9, CA</x:v>
      </x:c>
      <x:c r="D72" s="15" t="str">
        <x:v>Archived</x:v>
      </x:c>
    </x:row>
    <x:row r="73">
      <x:c r="A73" s="15" t="str">
        <x:v>96929139</x:v>
      </x:c>
      <x:c r="B73" s="15" t="str">
        <x:v>Jose Reyes - Store Name = Cosey</x:v>
      </x:c>
      <x:c r="C73" s="15" t="str">
        <x:v>137 Rideau St, Ottawa, ON, K1N 5W1, CA</x:v>
      </x:c>
      <x:c r="D73" s="15" t="str">
        <x:v>Archived</x:v>
      </x:c>
    </x:row>
    <x:row r="74">
      <x:c r="A74" s="15" t="str">
        <x:v>99821826</x:v>
      </x:c>
      <x:c r="B74" s="15" t="str">
        <x:v>Joy Shand</x:v>
      </x:c>
      <x:c r="C74" s="15" t="str">
        <x:v>12 Rue Prentiss, Gatineau, QC, J9H 5V6, CA</x:v>
      </x:c>
      <x:c r="D74" s="15" t="str">
        <x:v>Archived</x:v>
      </x:c>
    </x:row>
    <x:row r="75">
      <x:c r="A75" s="15" t="str">
        <x:v>97594616</x:v>
      </x:c>
      <x:c r="B75" s="15" t="str">
        <x:v>Julie Irwin</x:v>
      </x:c>
      <x:c r="C75" s="15" t="str">
        <x:v>1805 Gaspé Ave, Ottawa, ON, K1K 0A4, CA</x:v>
      </x:c>
      <x:c r="D75" s="15" t="str">
        <x:v>Archived</x:v>
      </x:c>
    </x:row>
    <x:row r="76">
      <x:c r="A76" s="15" t="str">
        <x:v>98066311</x:v>
      </x:c>
      <x:c r="B76" s="15" t="str">
        <x:v>Justin Bara</x:v>
      </x:c>
      <x:c r="C76" s="15" t="str">
        <x:v>634 Aquaview Dr, Ottawa, ON, K4A 4W2, CA</x:v>
      </x:c>
      <x:c r="D76" s="15" t="str">
        <x:v>Archived</x:v>
      </x:c>
    </x:row>
    <x:row r="77">
      <x:c r="A77" s="15" t="str">
        <x:v>100277301</x:v>
      </x:c>
      <x:c r="B77" s="15" t="str">
        <x:v>Karen Van Staveren</x:v>
      </x:c>
      <x:c r="C77" s="15" t="str">
        <x:v>2 Muirfield Gardens, Ottawa, ON, K2R 1B8, CA</x:v>
      </x:c>
      <x:c r="D77" s="15" t="str">
        <x:v>Archived</x:v>
      </x:c>
    </x:row>
    <x:row r="78">
      <x:c r="A78" s="15" t="str">
        <x:v>105144863</x:v>
      </x:c>
      <x:c r="B78" s="15" t="str">
        <x:v>Kelly Mounce</x:v>
      </x:c>
      <x:c r="C78" s="15" t="str">
        <x:v>CA</x:v>
      </x:c>
      <x:c r="D78" s="15" t="str">
        <x:v>Archived</x:v>
      </x:c>
    </x:row>
    <x:row r="79">
      <x:c r="A79" s="15" t="str">
        <x:v>102113190</x:v>
      </x:c>
      <x:c r="B79" s="15" t="str">
        <x:v>Kevin Beda</x:v>
      </x:c>
      <x:c r="C79" s="15" t="str">
        <x:v>CA</x:v>
      </x:c>
      <x:c r="D79" s="15" t="str">
        <x:v>Archived</x:v>
      </x:c>
    </x:row>
    <x:row r="80">
      <x:c r="A80" s="15" t="str">
        <x:v>102631116</x:v>
      </x:c>
      <x:c r="B80" s="15" t="str">
        <x:v>Louise Taillefer</x:v>
      </x:c>
      <x:c r="C80" s="15" t="str">
        <x:v>261 Forestglade Crescent, Ottawa, ON, K1G 6N7, CA</x:v>
      </x:c>
      <x:c r="D80" s="15" t="str">
        <x:v>Archived</x:v>
      </x:c>
    </x:row>
    <x:row r="81">
      <x:c r="A81" s="15" t="str">
        <x:v>97139562</x:v>
      </x:c>
      <x:c r="B81" s="15" t="str">
        <x:v>Lucie McClennen</x:v>
      </x:c>
      <x:c r="C81" s="15" t="str">
        <x:v>558 Genevriers St, Ottawa, ON, K4A 0Y9, CA</x:v>
      </x:c>
      <x:c r="D81" s="15" t="str">
        <x:v>Archived</x:v>
      </x:c>
    </x:row>
    <x:row r="82">
      <x:c r="A82" s="15" t="str">
        <x:v>98095948</x:v>
      </x:c>
      <x:c r="B82" s="15" t="str">
        <x:v>Lune Arpin</x:v>
      </x:c>
      <x:c r="C82" s="15" t="str">
        <x:v>3441 Southgate Rd, Ottawa, ON, K1V 7Y5, CA</x:v>
      </x:c>
      <x:c r="D82" s="15" t="str">
        <x:v>Archived</x:v>
      </x:c>
    </x:row>
    <x:row r="83">
      <x:c r="A83" s="15" t="str">
        <x:v>97663515</x:v>
      </x:c>
      <x:c r="B83" s="15" t="str">
        <x:v>Marcelle Saad</x:v>
      </x:c>
      <x:c r="C83" s="15" t="str">
        <x:v>1124 Moselle Crescent, Ottawa, ON, K1C 2T2, CA</x:v>
      </x:c>
      <x:c r="D83" s="15" t="str">
        <x:v>Archived</x:v>
      </x:c>
    </x:row>
    <x:row r="84">
      <x:c r="A84" s="15" t="str">
        <x:v>101287044</x:v>
      </x:c>
      <x:c r="B84" s="15" t="str">
        <x:v>Mary Ann Laplante</x:v>
      </x:c>
      <x:c r="C84" s="15" t="str">
        <x:v>2188 35, Ottawa, ON, K4C 1L8, CA</x:v>
      </x:c>
      <x:c r="D84" s="15" t="str">
        <x:v>Archived</x:v>
      </x:c>
    </x:row>
    <x:row r="85">
      <x:c r="A85" s="15" t="str">
        <x:v>105812439</x:v>
      </x:c>
      <x:c r="B85" s="15" t="str">
        <x:v>Matt Andruff</x:v>
      </x:c>
      <x:c r="C85" s="15" t="str">
        <x:v>1180 Southwood Dr, Ottawa, ON, K2C 3C3, CA</x:v>
      </x:c>
      <x:c r="D85" s="15" t="str">
        <x:v>Archived</x:v>
      </x:c>
    </x:row>
    <x:row r="86">
      <x:c r="A86" s="15" t="str">
        <x:v>103916205</x:v>
      </x:c>
      <x:c r="B86" s="15" t="str">
        <x:v>Meg Friedman</x:v>
      </x:c>
      <x:c r="C86" s="15" t="str">
        <x:v>69 Wycliffe St, Ottawa, ON, K2G 5M3, CA</x:v>
      </x:c>
      <x:c r="D86" s="15" t="str">
        <x:v>Archived</x:v>
      </x:c>
    </x:row>
    <x:row r="87">
      <x:c r="A87" s="15" t="str">
        <x:v>105228589</x:v>
      </x:c>
      <x:c r="B87" s="15" t="str">
        <x:v>Melissa Mathurin</x:v>
      </x:c>
      <x:c r="C87" s="15" t="str">
        <x:v>406 Galatina Way, Ottawa, ON, K2K 0E7, CA</x:v>
      </x:c>
      <x:c r="D87" s="15" t="str">
        <x:v>Archived</x:v>
      </x:c>
    </x:row>
    <x:row r="88">
      <x:c r="A88" s="15" t="str">
        <x:v>105820700</x:v>
      </x:c>
      <x:c r="B88" s="15" t="str">
        <x:v>Mfs Property</x:v>
      </x:c>
      <x:c r="C88" s="15" t="str">
        <x:v>508 Maley St, Kemptville, ON, K0G 1J0, CA</x:v>
      </x:c>
      <x:c r="D88" s="15" t="str">
        <x:v>Archived</x:v>
      </x:c>
    </x:row>
    <x:row r="89">
      <x:c r="A89" s="15" t="str">
        <x:v>100466426</x:v>
      </x:c>
      <x:c r="B89" s="15" t="str">
        <x:v>Michelle Wherrett</x:v>
      </x:c>
      <x:c r="C89" s="15" t="str">
        <x:v>18 Harvard Ave, Ottawa, ON, K1S 4Z2, CA</x:v>
      </x:c>
      <x:c r="D89" s="15" t="str">
        <x:v>Archived</x:v>
      </x:c>
    </x:row>
    <x:row r="90">
      <x:c r="A90" s="15" t="str">
        <x:v>104437987</x:v>
      </x:c>
      <x:c r="B90" s="15" t="str">
        <x:v>Mike Hill</x:v>
      </x:c>
      <x:c r="C90" s="15" t="str">
        <x:v>107 Cole Porter St, Ottawa, ON, K2A 3S3, CA</x:v>
      </x:c>
      <x:c r="D90" s="15" t="str">
        <x:v>Archived</x:v>
      </x:c>
    </x:row>
    <x:row r="91">
      <x:c r="A91" s="15" t="str">
        <x:v>102808010</x:v>
      </x:c>
      <x:c r="B91" s="15" t="str">
        <x:v>Miriam Abbadi</x:v>
      </x:c>
      <x:c r="C91" s="15" t="str">
        <x:v>320 Robillard Private, Ottawa, ON, K1T 2W1, CA</x:v>
      </x:c>
      <x:c r="D91" s="15" t="str">
        <x:v>Archived</x:v>
      </x:c>
    </x:row>
    <x:row r="92">
      <x:c r="A92" s="15" t="str">
        <x:v>102001413</x:v>
      </x:c>
      <x:c r="B92" s="15" t="str">
        <x:v>Nandini Sarkar</x:v>
      </x:c>
      <x:c r="C92" s="15" t="str">
        <x:v>28 Amberwood Crescent, Ottawa, ON, K2E 7B9, CA</x:v>
      </x:c>
      <x:c r="D92" s="15" t="str">
        <x:v>Archived</x:v>
      </x:c>
    </x:row>
    <x:row r="93">
      <x:c r="A93" s="15" t="str">
        <x:v>104109048</x:v>
      </x:c>
      <x:c r="B93" s="15" t="str">
        <x:v>Nichole Dufour</x:v>
      </x:c>
      <x:c r="C93" s="15" t="str">
        <x:v>55 Aridus Cres, Ottawa, ON, K2S 2L4, CA</x:v>
      </x:c>
      <x:c r="D93" s="15" t="str">
        <x:v>Archived</x:v>
      </x:c>
    </x:row>
    <x:row r="94">
      <x:c r="A94" s="15" t="str">
        <x:v>102281391</x:v>
      </x:c>
      <x:c r="B94" s="15" t="str">
        <x:v>Ninon Parent</x:v>
      </x:c>
      <x:c r="C94" s="15" t="str">
        <x:v>722 Crowberry St, Ottawa, ON, K4A 0A8, CA</x:v>
      </x:c>
      <x:c r="D94" s="15" t="str">
        <x:v>Archived</x:v>
      </x:c>
    </x:row>
    <x:row r="95">
      <x:c r="A95" s="15" t="str">
        <x:v>104034567</x:v>
      </x:c>
      <x:c r="B95" s="15" t="str">
        <x:v>Pat Hogue</x:v>
      </x:c>
      <x:c r="C95" s="15" t="str">
        <x:v>5422 Wadell Ct, Ottawa, ON, K4M 1L3, CA</x:v>
      </x:c>
      <x:c r="D95" s="15" t="str">
        <x:v>Archived</x:v>
      </x:c>
    </x:row>
    <x:row r="96">
      <x:c r="A96" s="15" t="str">
        <x:v>100730103</x:v>
      </x:c>
      <x:c r="B96" s="15" t="str">
        <x:v>Rachel May-Boland</x:v>
      </x:c>
      <x:c r="C96" s="15" t="str">
        <x:v>4366 Whittaker Crescent, Ottawa, ON, K1B 4P2, CA</x:v>
      </x:c>
      <x:c r="D96" s="15" t="str">
        <x:v>Archived</x:v>
      </x:c>
    </x:row>
    <x:row r="97">
      <x:c r="A97" s="15" t="str">
        <x:v>100221236</x:v>
      </x:c>
      <x:c r="B97" s="15" t="str">
        <x:v>Rebecca Westwell</x:v>
      </x:c>
      <x:c r="C97" s="15" t="str">
        <x:v>4 Berton Pl, Ottawa, ON, K2L 3R8, CA</x:v>
      </x:c>
      <x:c r="D97" s="15" t="str">
        <x:v>Archived</x:v>
      </x:c>
    </x:row>
    <x:row r="98">
      <x:c r="A98" s="15" t="str">
        <x:v>102068071</x:v>
      </x:c>
      <x:c r="B98" s="15" t="str">
        <x:v>Reem Hashim</x:v>
      </x:c>
      <x:c r="C98" s="15" t="str">
        <x:v>309 Solidago Mews, CA</x:v>
      </x:c>
      <x:c r="D98" s="15" t="str">
        <x:v>Archived</x:v>
      </x:c>
    </x:row>
    <x:row r="99">
      <x:c r="A99" s="15" t="str">
        <x:v>101077326</x:v>
      </x:c>
      <x:c r="B99" s="15" t="str">
        <x:v>Rekha Tulsiram</x:v>
      </x:c>
      <x:c r="C99" s="15" t="str">
        <x:v>246 Flora St, Ottawa, ON, K1R 5R9, CA</x:v>
      </x:c>
      <x:c r="D99" s="15" t="str">
        <x:v>Archived</x:v>
      </x:c>
    </x:row>
    <x:row r="100">
      <x:c r="A100" s="15" t="str">
        <x:v>105908794</x:v>
      </x:c>
      <x:c r="B100" s="15" t="str">
        <x:v>Rima Burder</x:v>
      </x:c>
      <x:c r="C100" s="15" t="str">
        <x:v>22 Bergeron Private, Priv, ON, K1C 0C2, CA</x:v>
      </x:c>
      <x:c r="D100" s="15" t="str">
        <x:v>Archived</x:v>
      </x:c>
    </x:row>
    <x:row r="101">
      <x:c r="A101" s="15" t="str">
        <x:v>100985502</x:v>
      </x:c>
      <x:c r="B101" s="15" t="str">
        <x:v>Robert Peixoto</x:v>
      </x:c>
      <x:c r="C101" s="15" t="str">
        <x:v>1355 Maitland Ave, Ottawa, ON, K2C 2C8, CA</x:v>
      </x:c>
      <x:c r="D101" s="15" t="str">
        <x:v>Archived</x:v>
      </x:c>
    </x:row>
    <x:row r="102">
      <x:c r="A102" s="15" t="str">
        <x:v>96475220</x:v>
      </x:c>
      <x:c r="B102" s="15" t="str">
        <x:v>Rohit Jain</x:v>
      </x:c>
      <x:c r="C102" s="15" t="str">
        <x:v>460 Seyton Dr, Ottawa, ON, K2H 1G2, CA</x:v>
      </x:c>
      <x:c r="D102" s="15" t="str">
        <x:v>Archived</x:v>
      </x:c>
    </x:row>
    <x:row r="103">
      <x:c r="A103" s="15" t="str">
        <x:v>100110670</x:v>
      </x:c>
      <x:c r="B103" s="15" t="str">
        <x:v>Ryan Molloy</x:v>
      </x:c>
      <x:c r="C103" s="15" t="str">
        <x:v>108 Trailsedge Way, Ottawa, ON, K4B 1H9, CA</x:v>
      </x:c>
      <x:c r="D103" s="15" t="str">
        <x:v>Archived</x:v>
      </x:c>
    </x:row>
    <x:row r="104">
      <x:c r="A104" s="15" t="str">
        <x:v>100619655</x:v>
      </x:c>
      <x:c r="B104" s="15" t="str">
        <x:v>Sam Kotecha</x:v>
      </x:c>
      <x:c r="C104" s="15" t="str">
        <x:v>546 Devonwood Cir, Ottawa, ON, K1T 4E5, CA</x:v>
      </x:c>
      <x:c r="D104" s="15" t="str">
        <x:v>Archived</x:v>
      </x:c>
    </x:row>
    <x:row r="105">
      <x:c r="A105" s="15" t="str">
        <x:v>100769511</x:v>
      </x:c>
      <x:c r="B105" s="15" t="str">
        <x:v>Samer Juma Ali</x:v>
      </x:c>
      <x:c r="C105" s="15" t="str">
        <x:v>105 Springbeauty Ave, Ottawa, ON, K2J 5A3, CA</x:v>
      </x:c>
      <x:c r="D105" s="15" t="str">
        <x:v>Archived</x:v>
      </x:c>
    </x:row>
    <x:row r="106">
      <x:c r="A106" s="15" t="str">
        <x:v>104885684</x:v>
      </x:c>
      <x:c r="B106" s="15" t="str">
        <x:v>Santhosh Kumar</x:v>
      </x:c>
      <x:c r="C106" s="15" t="str">
        <x:v>2 Hesse Crescent, Ottawa, ON, K2S 1E4, CA</x:v>
      </x:c>
      <x:c r="D106" s="15" t="str">
        <x:v>Archived</x:v>
      </x:c>
    </x:row>
    <x:row r="107">
      <x:c r="A107" s="15" t="str">
        <x:v>101060566</x:v>
      </x:c>
      <x:c r="B107" s="15" t="str">
        <x:v>Selvinah Vydelingum</x:v>
      </x:c>
      <x:c r="C107" s="15" t="str">
        <x:v>164 Grassy Plains Dr, Ottawa, ON, K2M 2S1, CA</x:v>
      </x:c>
      <x:c r="D107" s="15" t="str">
        <x:v>Archived</x:v>
      </x:c>
    </x:row>
    <x:row r="108">
      <x:c r="A108" s="15" t="str">
        <x:v>99384542</x:v>
      </x:c>
      <x:c r="B108" s="15" t="str">
        <x:v>Semirath Fagbemi</x:v>
      </x:c>
      <x:c r="C108" s="15" t="str">
        <x:v>322 Robillard Private, Ottawa, ON, K1T 2W1, CA</x:v>
      </x:c>
      <x:c r="D108" s="15" t="str">
        <x:v>Archived</x:v>
      </x:c>
    </x:row>
    <x:row r="109">
      <x:c r="A109" s="15" t="str">
        <x:v>101926498</x:v>
      </x:c>
      <x:c r="B109" s="15" t="str">
        <x:v>Serap Saribiga</x:v>
      </x:c>
      <x:c r="C109" s="15" t="str">
        <x:v>546 Dovercourt Ave, Ottawa, ON, K2A 0V1, CA</x:v>
      </x:c>
      <x:c r="D109" s="15" t="str">
        <x:v>Archived</x:v>
      </x:c>
    </x:row>
    <x:row r="110">
      <x:c r="A110" s="15" t="str">
        <x:v>100029755</x:v>
      </x:c>
      <x:c r="B110" s="15" t="str">
        <x:v>Stephanie Gigault</x:v>
      </x:c>
      <x:c r="C110" s="15" t="str">
        <x:v>434 Rue des Geraniums, Gatineau, QC, J8P 3R1, CA</x:v>
      </x:c>
      <x:c r="D110" s="15" t="str">
        <x:v>Archived</x:v>
      </x:c>
    </x:row>
    <x:row r="111">
      <x:c r="A111" s="15" t="str">
        <x:v>96590729</x:v>
      </x:c>
      <x:c r="B111" s="15" t="str">
        <x:v>Stephanie Udeh - Thermogenics</x:v>
      </x:c>
      <x:c r="C111" s="15" t="str">
        <x:v>2615 Lancaster Rd #3, Ottawa, ON, K1B 5L8, CA</x:v>
      </x:c>
      <x:c r="D111" s="15" t="str">
        <x:v>Archived</x:v>
      </x:c>
    </x:row>
    <x:row r="112">
      <x:c r="A112" s="15" t="str">
        <x:v>102472688</x:v>
      </x:c>
      <x:c r="B112" s="15" t="str">
        <x:v>Theresa Ngondi</x:v>
      </x:c>
      <x:c r="C112" s="15" t="str">
        <x:v>267 Livery St, Ottawa, ON, K2S 1E7, CA</x:v>
      </x:c>
      <x:c r="D112" s="15" t="str">
        <x:v>Archived</x:v>
      </x:c>
    </x:row>
    <x:row r="113">
      <x:c r="A113" s="15" t="str">
        <x:v>103888472</x:v>
      </x:c>
      <x:c r="B113" s="15" t="str">
        <x:v>Tina Morden</x:v>
      </x:c>
      <x:c r="C113" s="15" t="str">
        <x:v>1131 Deer Park Rd, Ottawa, ON, K2E 6G7, CA</x:v>
      </x:c>
      <x:c r="D113" s="15" t="str">
        <x:v>Archived</x:v>
      </x:c>
    </x:row>
    <x:row r="114">
      <x:c r="A114" s="15" t="str">
        <x:v>96566677</x:v>
      </x:c>
      <x:c r="B114" s="15" t="str">
        <x:v>Vamsi Pulagem</x:v>
      </x:c>
      <x:c r="C114" s="15" t="str">
        <x:v>161 Tandalee Crescent, Ottawa, ON, K2M 0A2, CA</x:v>
      </x:c>
      <x:c r="D114" s="15" t="str">
        <x:v>Archived</x:v>
      </x:c>
    </x:row>
    <x:row r="115">
      <x:c r="A115" s="15" t="str">
        <x:v>96669921</x:v>
      </x:c>
      <x:c r="B115" s="15" t="str">
        <x:v>Wendy Luciani</x:v>
      </x:c>
      <x:c r="C115" s="15" t="str">
        <x:v>1314 Randall Ave, Ottawa, ON, K1H 7R1, CA</x:v>
      </x:c>
      <x:c r="D115" s="15" t="str">
        <x:v>Archived</x:v>
      </x:c>
    </x:row>
    <x:row r="116">
      <x:c r="A116" s="15" t="str">
        <x:v>100290742</x:v>
      </x:c>
      <x:c r="B116" s="15" t="str">
        <x:v>Yolanda Cobisa</x:v>
      </x:c>
      <x:c r="C116" s="15" t="str">
        <x:v>969 Goose River Ave, Ottawa, ON, K1V 1T8, CA</x:v>
      </x:c>
      <x:c r="D116" s="15" t="str">
        <x:v>Archived</x:v>
      </x:c>
    </x:row>
    <x:row r="117">
      <x:c r="A117" s="15" t="str">
        <x:v>99215335</x:v>
      </x:c>
      <x:c r="B117" s="15" t="str">
        <x:v>Yuri Khoroshilov</x:v>
      </x:c>
      <x:c r="C117" s="15" t="str">
        <x:v>30 Sunnycrest Dr, Ottawa, ON, K2E 5Y2, CA</x:v>
      </x:c>
      <x:c r="D117" s="15" t="str">
        <x:v>Archived</x:v>
      </x:c>
    </x:row>
  </x:sheetData>
  <x:mergeCells>
    <x:mergeCell ref="A1:D1"/>
    <x:mergeCell ref="A2:D2"/>
  </x:mergeCells>
  <x:conditionalFormatting sqref="D5:D117">
    <x:cfRule type="containsText" dxfId="2" priority="1" operator="containsText" text="Active"/>
  </x:conditionalFormatting>
  <x:pageMargins left="0.7" right="0.7" top="0.75" bottom="0.75" header="0.3" footer="0.3"/>
  <x:tableParts count="1">
    <x:tablePart xmlns:r="http://schemas.openxmlformats.org/officeDocument/2006/relationships" r:id="R2cf2f59493d844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8" hidden="0" customWidth="1"/>
    <x:col min="4" max="4" width="14" hidden="0" customWidth="1"/>
    <x:col min="5" max="5" width="32" hidden="0" customWidth="1"/>
    <x:col min="6" max="6" width="46" hidden="0" customWidth="1"/>
    <x:col min="7" max="7" width="18" hidden="0" customWidth="1"/>
    <x:col min="8" max="8" width="9" hidden="0" customWidth="1"/>
    <x:col min="9" max="9" width="34" hidden="0" customWidth="1"/>
    <x:col min="10" max="10" width="34" hidden="0" customWidth="1"/>
  </x:cols>
  <x:sheetData>
    <x:row r="1" ht="30" customHeight="1">
      <x:c r="A1" s="3" t="str">
        <x:v>Links Requiring Review</x:v>
      </x:c>
      <x:c r="B1" s="3" t="str">
        <x:v>Links Requiring Review</x:v>
      </x:c>
      <x:c r="C1" s="3" t="str">
        <x:v>Links Requiring Review</x:v>
      </x:c>
      <x:c r="D1" s="3" t="str">
        <x:v>Links Requiring Review</x:v>
      </x:c>
      <x:c r="E1" s="3" t="str">
        <x:v>Links Requiring Review</x:v>
      </x:c>
      <x:c r="F1" s="3" t="str">
        <x:v>Links Requiring Review</x:v>
      </x:c>
      <x:c r="G1" s="3" t="str">
        <x:v>Links Requiring Review</x:v>
      </x:c>
      <x:c r="H1" s="3" t="str">
        <x:v>Links Requiring Review</x:v>
      </x:c>
      <x:c r="I1" s="3" t="str">
        <x:v>Links Requiring Review</x:v>
      </x:c>
      <x:c r="J1" s="3" t="str">
        <x:v>Links Requiring Review</x:v>
      </x:c>
    </x:row>
    <x:row r="2" ht="34" customHeight="1">
      <x:c r="A2" s="7" t="str">
        <x:v>These associations are plausible but flagged because CompanyCam still marks the record as a lead or because the name evidence is lower confidence.</x:v>
      </x:c>
      <x:c r="B2" s="7" t="str">
        <x:v>These associations are plausible but flagged because CompanyCam still marks the record as a lead or because the name evidence is lower confidence.</x:v>
      </x:c>
      <x:c r="C2" s="7" t="str">
        <x:v>These associations are plausible but flagged because CompanyCam still marks the record as a lead or because the name evidence is lower confidence.</x:v>
      </x:c>
      <x:c r="D2" s="7" t="str">
        <x:v>These associations are plausible but flagged because CompanyCam still marks the record as a lead or because the name evidence is lower confidence.</x:v>
      </x:c>
      <x:c r="E2" s="7" t="str">
        <x:v>These associations are plausible but flagged because CompanyCam still marks the record as a lead or because the name evidence is lower confidence.</x:v>
      </x:c>
      <x:c r="F2" s="7" t="str">
        <x:v>These associations are plausible but flagged because CompanyCam still marks the record as a lead or because the name evidence is lower confidence.</x:v>
      </x:c>
      <x:c r="G2" s="7" t="str">
        <x:v>These associations are plausible but flagged because CompanyCam still marks the record as a lead or because the name evidence is lower confidence.</x:v>
      </x:c>
      <x:c r="H2" s="7" t="str">
        <x:v>These associations are plausible but flagged because CompanyCam still marks the record as a lead or because the name evidence is lower confidence.</x:v>
      </x:c>
      <x:c r="I2" s="7" t="str">
        <x:v>These associations are plausible but flagged because CompanyCam still marks the record as a lead or because the name evidence is lower confidence.</x:v>
      </x:c>
      <x:c r="J2" s="7" t="str">
        <x:v>These associations are plausible but flagged because CompanyCam still marks the record as a lead or because the name evidence is lower confidence.</x:v>
      </x:c>
    </x:row>
    <x:row r="4" ht="26" customHeight="1">
      <x:c r="A4" s="12" t="str">
        <x:v>Invoice Date</x:v>
      </x:c>
      <x:c r="B4" s="12" t="str">
        <x:v>Supplier</x:v>
      </x:c>
      <x:c r="C4" s="12" t="str">
        <x:v>Invoice #</x:v>
      </x:c>
      <x:c r="D4" s="12" t="str">
        <x:v>Amount Paid</x:v>
      </x:c>
      <x:c r="E4" s="12" t="str">
        <x:v>Job</x:v>
      </x:c>
      <x:c r="F4" s="12" t="str">
        <x:v>Address</x:v>
      </x:c>
      <x:c r="G4" s="12" t="str">
        <x:v>Project ID</x:v>
      </x:c>
      <x:c r="H4" s="12" t="str">
        <x:v>Score</x:v>
      </x:c>
      <x:c r="I4" s="12" t="str">
        <x:v>Evidence</x:v>
      </x:c>
      <x:c r="J4" s="12" t="str">
        <x:v>Review Reason</x:v>
      </x:c>
    </x:row>
    <x:row r="5">
      <x:c r="A5" s="31" t="n">
        <x:v>46214</x:v>
      </x:c>
      <x:c r="B5" s="15" t="str">
        <x:v>XDesign Dev Inc</x:v>
      </x:c>
      <x:c r="C5" s="15" t="str">
        <x:v>8597</x:v>
      </x:c>
      <x:c r="D5" s="32" t="n">
        <x:v>305.1</x:v>
      </x:c>
      <x:c r="E5" s="15" t="str">
        <x:v>Christine Leclair - 2025-12-31T00:48:03.09</x:v>
      </x:c>
      <x:c r="F5" s="15" t="str">
        <x:v>CA</x:v>
      </x:c>
      <x:c r="G5" s="15" t="str">
        <x:v>108285849</x:v>
      </x:c>
      <x:c r="H5" s="15" t="n">
        <x:v>67</x:v>
      </x:c>
      <x:c r="I5" s="15" t="str">
        <x:v>name:christine leclair</x:v>
      </x:c>
      <x:c r="J5" s="33" t="str">
        <x:v>CompanyCam record marked lead</x:v>
      </x:c>
    </x:row>
    <x:row r="6">
      <x:c r="A6" s="31" t="n">
        <x:v>46218</x:v>
      </x:c>
      <x:c r="B6" s="15" t="str">
        <x:v>Fennec Contracting</x:v>
      </x:c>
      <x:c r="C6" s="15" t="str">
        <x:v>1</x:v>
      </x:c>
      <x:c r="D6" s="32" t="n">
        <x:v>3690</x:v>
      </x:c>
      <x:c r="E6" s="15" t="str">
        <x:v>Sally Bidal - 2026-05-24T16:16:33.077</x:v>
      </x:c>
      <x:c r="F6" s="15" t="str">
        <x:v>CA</x:v>
      </x:c>
      <x:c r="G6" s="15" t="str">
        <x:v>108496652</x:v>
      </x:c>
      <x:c r="H6" s="15" t="n">
        <x:v>67</x:v>
      </x:c>
      <x:c r="I6" s="15" t="str">
        <x:v>name:sally bidal</x:v>
      </x:c>
      <x:c r="J6" s="33" t="str">
        <x:v>CompanyCam record marked lead</x:v>
      </x:c>
    </x:row>
    <x:row r="7">
      <x:c r="A7" s="31" t="n">
        <x:v>46220</x:v>
      </x:c>
      <x:c r="B7" s="15" t="str">
        <x:v>XDesign Dev Inc</x:v>
      </x:c>
      <x:c r="C7" s="15" t="str">
        <x:v>8601</x:v>
      </x:c>
      <x:c r="D7" s="32" t="n">
        <x:v>339</x:v>
      </x:c>
      <x:c r="E7" s="15" t="str">
        <x:v>Christine Leclair - 2025-12-31T00:48:03.09</x:v>
      </x:c>
      <x:c r="F7" s="15" t="str">
        <x:v>CA</x:v>
      </x:c>
      <x:c r="G7" s="15" t="str">
        <x:v>108285849</x:v>
      </x:c>
      <x:c r="H7" s="15" t="n">
        <x:v>67</x:v>
      </x:c>
      <x:c r="I7" s="15" t="str">
        <x:v>name:christine leclair</x:v>
      </x:c>
      <x:c r="J7" s="33" t="str">
        <x:v>CompanyCam record marked lead</x:v>
      </x:c>
    </x:row>
    <x:row r="8">
      <x:c r="A8" s="31" t="n">
        <x:v>46220</x:v>
      </x:c>
      <x:c r="B8" s="15" t="str">
        <x:v>XDesign Dev Inc</x:v>
      </x:c>
      <x:c r="C8" s="15" t="str">
        <x:v>8601</x:v>
      </x:c>
      <x:c r="D8" s="32" t="n">
        <x:v>339</x:v>
      </x:c>
      <x:c r="E8" s="15" t="str">
        <x:v>Gregg Alexander - 2026-02-06T13:55:11.14</x:v>
      </x:c>
      <x:c r="F8" s="15" t="str">
        <x:v>CA</x:v>
      </x:c>
      <x:c r="G8" s="15" t="str">
        <x:v>106802754</x:v>
      </x:c>
      <x:c r="H8" s="15" t="n">
        <x:v>67</x:v>
      </x:c>
      <x:c r="I8" s="15" t="str">
        <x:v>name:gregg alexander</x:v>
      </x:c>
      <x:c r="J8" s="33" t="str">
        <x:v>CompanyCam record marked lead</x:v>
      </x:c>
    </x:row>
    <x:row r="9">
      <x:c r="A9" s="31" t="n">
        <x:v>46218</x:v>
      </x:c>
      <x:c r="B9" s="15" t="str">
        <x:v>Fennec Contracting</x:v>
      </x:c>
      <x:c r="C9" s="15" t="str">
        <x:v>1</x:v>
      </x:c>
      <x:c r="D9" s="32" t="n">
        <x:v>3690</x:v>
      </x:c>
      <x:c r="E9" s="15" t="str">
        <x:v>Patrick Lenouvel</x:v>
      </x:c>
      <x:c r="F9" s="15" t="str">
        <x:v>1313 Turner Crescent, Ottawa, ON, K1E 2Y5, CA</x:v>
      </x:c>
      <x:c r="G9" s="15" t="str">
        <x:v>106938970</x:v>
      </x:c>
      <x:c r="H9" s="15" t="n">
        <x:v>87</x:v>
      </x:c>
      <x:c r="I9" s="15" t="str">
        <x:v>address:1313 turner</x:v>
      </x:c>
      <x:c r="J9" s="33" t="str">
        <x:v>CompanyCam record marked lead</x:v>
      </x:c>
    </x:row>
    <x:row r="10">
      <x:c r="A10" s="31" t="n">
        <x:v>46206</x:v>
      </x:c>
      <x:c r="B10" s="15" t="str">
        <x:v>XDesign Dev Inc</x:v>
      </x:c>
      <x:c r="C10" s="15" t="str">
        <x:v>8594</x:v>
      </x:c>
      <x:c r="D10" s="32" t="n">
        <x:v>440.7</x:v>
      </x:c>
      <x:c r="E10" s="15" t="str">
        <x:v>Patrick Lenouvel</x:v>
      </x:c>
      <x:c r="F10" s="15" t="str">
        <x:v>1313 Turner Crescent, Ottawa, ON, K1E 2Y5, CA</x:v>
      </x:c>
      <x:c r="G10" s="15" t="str">
        <x:v>106938970</x:v>
      </x:c>
      <x:c r="H10" s="15" t="n">
        <x:v>152</x:v>
      </x:c>
      <x:c r="I10" s="15" t="str">
        <x:v>name:patrick lenouvel; address:1313 turner</x:v>
      </x:c>
      <x:c r="J10" s="33" t="str">
        <x:v>CompanyCam record marked lead</x:v>
      </x:c>
    </x:row>
    <x:row r="11">
      <x:c r="A11" s="31" t="n">
        <x:v>46223</x:v>
      </x:c>
      <x:c r="B11" s="15" t="str">
        <x:v>Grutenco Painting &amp; Construction Services</x:v>
      </x:c>
      <x:c r="C11" s="15" t="str">
        <x:v>GT-INV-202607-03</x:v>
      </x:c>
      <x:c r="D11" s="32" t="n">
        <x:v>1582</x:v>
      </x:c>
      <x:c r="E11" s="15" t="str">
        <x:v>Lorraine Ulrick</x:v>
      </x:c>
      <x:c r="F11" s="15" t="str">
        <x:v>180 York St, #909, Ottawa, ON, K1N 1J6, CA</x:v>
      </x:c>
      <x:c r="G11" s="15" t="str">
        <x:v>108520572</x:v>
      </x:c>
      <x:c r="H11" s="15" t="n">
        <x:v>152</x:v>
      </x:c>
      <x:c r="I11" s="15" t="str">
        <x:v>name:lorraine ulrick; address:180 york</x:v>
      </x:c>
      <x:c r="J11" s="33" t="str">
        <x:v>CompanyCam record marked lead</x:v>
      </x:c>
    </x:row>
    <x:row r="12">
      <x:c r="A12" s="31" t="n">
        <x:v>46227</x:v>
      </x:c>
      <x:c r="B12" s="15" t="str">
        <x:v>Grutenco Painting &amp; Construction Services</x:v>
      </x:c>
      <x:c r="C12" s="15" t="str">
        <x:v>GT-INV-202707-04</x:v>
      </x:c>
      <x:c r="D12" s="32" t="n">
        <x:v>2655.5</x:v>
      </x:c>
      <x:c r="E12" s="15" t="str">
        <x:v>Chris Jupp</x:v>
      </x:c>
      <x:c r="F12" s="15" t="str">
        <x:v>1330 Turner Crescent, Ottawa, ON, K1E 2Y4, CA</x:v>
      </x:c>
      <x:c r="G12" s="15" t="str">
        <x:v>108687702</x:v>
      </x:c>
      <x:c r="H12" s="15" t="n">
        <x:v>152</x:v>
      </x:c>
      <x:c r="I12" s="15" t="str">
        <x:v>name:chris jupp; address:1330 turner</x:v>
      </x:c>
      <x:c r="J12" s="33" t="str">
        <x:v>CompanyCam record marked lead</x:v>
      </x:c>
    </x:row>
    <x:row r="13">
      <x:c r="A13" s="31" t="n">
        <x:v>46227</x:v>
      </x:c>
      <x:c r="B13" s="15" t="str">
        <x:v>Grutenco Painting &amp; Construction Services</x:v>
      </x:c>
      <x:c r="C13" s="15" t="str">
        <x:v>GT-INV-202707-04</x:v>
      </x:c>
      <x:c r="D13" s="32" t="n">
        <x:v>2655.5</x:v>
      </x:c>
      <x:c r="E13" s="15" t="str">
        <x:v>Kristi Johnson - 2026-06-25T12:36:05</x:v>
      </x:c>
      <x:c r="F13" s="15" t="str">
        <x:v>2387 Esprit Dr, Ottawa, ON, K4A 0T4, CA</x:v>
      </x:c>
      <x:c r="G13" s="15" t="str">
        <x:v>108454712</x:v>
      </x:c>
      <x:c r="H13" s="15" t="n">
        <x:v>152</x:v>
      </x:c>
      <x:c r="I13" s="15" t="str">
        <x:v>name:kristi johnson; address:2387 esprit</x:v>
      </x:c>
      <x:c r="J13" s="33" t="str">
        <x:v>CompanyCam record marked lead</x:v>
      </x:c>
    </x:row>
    <x:row r="14">
      <x:c r="A14" s="31" t="n">
        <x:v>46141</x:v>
      </x:c>
      <x:c r="B14" s="15" t="str">
        <x:v>Polaris Painters</x:v>
      </x:c>
      <x:c r="C14" s="15" t="str">
        <x:v>82</x:v>
      </x:c>
      <x:c r="D14" s="32" t="n">
        <x:v>2295</x:v>
      </x:c>
      <x:c r="E14" s="15" t="str">
        <x:v>Yacoub Abdulla</x:v>
      </x:c>
      <x:c r="F14" s="15" t="str">
        <x:v>1657 Frenette St, Ottawa, ON, K4A 5B7, CA</x:v>
      </x:c>
      <x:c r="G14" s="15" t="str">
        <x:v>98859249</x:v>
      </x:c>
      <x:c r="H14" s="15" t="n">
        <x:v>55</x:v>
      </x:c>
      <x:c r="I14" s="15" t="str">
        <x:v>filename:yacoub abdulla</x:v>
      </x:c>
      <x:c r="J14" s="33" t="str">
        <x:v>Lower-confidence name evidence</x:v>
      </x:c>
    </x:row>
    <x:row r="15">
      <x:c r="A15" s="31" t="n">
        <x:v>46123</x:v>
      </x:c>
      <x:c r="B15" s="15" t="str">
        <x:v>XDesign Dev Inc</x:v>
      </x:c>
      <x:c r="C15" s="15" t="str">
        <x:v>8555</x:v>
      </x:c>
      <x:c r="D15" s="32" t="n">
        <x:v>339</x:v>
      </x:c>
      <x:c r="E15" s="15" t="str">
        <x:v>Dubravka Staka</x:v>
      </x:c>
      <x:c r="F15" s="15" t="str">
        <x:v>1921 Ottawa 34, Ottawa, ON, K1C 1E4, CA</x:v>
      </x:c>
      <x:c r="G15" s="15" t="str">
        <x:v>102219349</x:v>
      </x:c>
      <x:c r="H15" s="15" t="n">
        <x:v>60</x:v>
      </x:c>
      <x:c r="I15" s="15" t="str">
        <x:v>fuzzy_name:dubravka staka</x:v>
      </x:c>
      <x:c r="J15" s="33" t="str">
        <x:v>Lower-confidence name evidence</x:v>
      </x:c>
    </x:row>
    <x:row r="16">
      <x:c r="A16" s="31" t="n">
        <x:v>46123</x:v>
      </x:c>
      <x:c r="B16" s="15" t="str">
        <x:v>Polaris Painters</x:v>
      </x:c>
      <x:c r="C16" s="15" t="str">
        <x:v>73</x:v>
      </x:c>
      <x:c r="D16" s="32" t="n">
        <x:v>1200</x:v>
      </x:c>
      <x:c r="E16" s="15" t="str">
        <x:v>Darian Peeling</x:v>
      </x:c>
      <x:c r="F16" s="15" t="str">
        <x:v>5608 Old Richmond Rd, Ottawa, ON, K2R 1E3, CA</x:v>
      </x:c>
      <x:c r="G16" s="15" t="str">
        <x:v>100508406</x:v>
      </x:c>
      <x:c r="H16" s="15" t="n">
        <x:v>60</x:v>
      </x:c>
      <x:c r="I16" s="15" t="str">
        <x:v>fuzzy_name:darian peeling</x:v>
      </x:c>
      <x:c r="J16" s="33" t="str">
        <x:v>Lower-confidence name evidence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64a5409a8474f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6" hidden="0" customWidth="1"/>
    <x:col min="10" max="10" width="20" hidden="0" customWidth="1"/>
    <x:col min="11" max="11" width="66" hidden="0" customWidth="1"/>
    <x:col min="12" max="12" width="55" hidden="0" customWidth="1"/>
  </x:cols>
  <x:sheetData>
    <x:row r="1" ht="30" customHeight="1">
      <x:c r="A1" s="3" t="str">
        <x:v>Amount and HST Audit</x:v>
      </x:c>
      <x:c r="B1" s="3" t="str">
        <x:v>Amount and HST Audit</x:v>
      </x:c>
      <x:c r="C1" s="3" t="str">
        <x:v>Amount and HST Audit</x:v>
      </x:c>
      <x:c r="D1" s="3" t="str">
        <x:v>Amount and HST Audit</x:v>
      </x:c>
      <x:c r="E1" s="3" t="str">
        <x:v>Amount and HST Audit</x:v>
      </x:c>
      <x:c r="F1" s="3" t="str">
        <x:v>Amount and HST Audit</x:v>
      </x:c>
      <x:c r="G1" s="3" t="str">
        <x:v>Amount and HST Audit</x:v>
      </x:c>
      <x:c r="H1" s="3" t="str">
        <x:v>Amount and HST Audit</x:v>
      </x:c>
      <x:c r="I1" s="3" t="str">
        <x:v>Amount and HST Audit</x:v>
      </x:c>
      <x:c r="J1" s="3" t="str">
        <x:v>Amount and HST Audit</x:v>
      </x:c>
      <x:c r="K1" s="3" t="str">
        <x:v>Amount and HST Audit</x:v>
      </x:c>
      <x:c r="L1" s="3" t="str">
        <x:v>Amount and HST Audit</x:v>
      </x:c>
    </x:row>
    <x:row r="2" ht="34" customHeight="1">
      <x:c r="A2" s="7" t="str">
        <x:v>All 186 classified invoices balance arithmetically. This sheet records the source documents whose effective HST is not exactly 13% of the full pre-tax amount.</x:v>
      </x:c>
      <x:c r="B2" s="7" t="str">
        <x:v>All 186 classified invoices balance arithmetically. This sheet records the source documents whose effective HST is not exactly 13% of the full pre-tax amount.</x:v>
      </x:c>
      <x:c r="C2" s="7" t="str">
        <x:v>All 186 classified invoices balance arithmetically. This sheet records the source documents whose effective HST is not exactly 13% of the full pre-tax amount.</x:v>
      </x:c>
      <x:c r="D2" s="7" t="str">
        <x:v>All 186 classified invoices balance arithmetically. This sheet records the source documents whose effective HST is not exactly 13% of the full pre-tax amount.</x:v>
      </x:c>
      <x:c r="E2" s="7" t="str">
        <x:v>All 186 classified invoices balance arithmetically. This sheet records the source documents whose effective HST is not exactly 13% of the full pre-tax amount.</x:v>
      </x:c>
      <x:c r="F2" s="7" t="str">
        <x:v>All 186 classified invoices balance arithmetically. This sheet records the source documents whose effective HST is not exactly 13% of the full pre-tax amount.</x:v>
      </x:c>
      <x:c r="G2" s="7" t="str">
        <x:v>All 186 classified invoices balance arithmetically. This sheet records the source documents whose effective HST is not exactly 13% of the full pre-tax amount.</x:v>
      </x:c>
      <x:c r="H2" s="7" t="str">
        <x:v>All 186 classified invoices balance arithmetically. This sheet records the source documents whose effective HST is not exactly 13% of the full pre-tax amount.</x:v>
      </x:c>
      <x:c r="I2" s="7" t="str">
        <x:v>All 186 classified invoices balance arithmetically. This sheet records the source documents whose effective HST is not exactly 13% of the full pre-tax amount.</x:v>
      </x:c>
      <x:c r="J2" s="7" t="str">
        <x:v>All 186 classified invoices balance arithmetically. This sheet records the source documents whose effective HST is not exactly 13% of the full pre-tax amount.</x:v>
      </x:c>
      <x:c r="K2" s="7" t="str">
        <x:v>All 186 classified invoices balance arithmetically. This sheet records the source documents whose effective HST is not exactly 13% of the full pre-tax amount.</x:v>
      </x:c>
      <x:c r="L2" s="7" t="str">
        <x:v>All 186 classified invoices balance arithmetically. This sheet records the source documents whose effective HST is not exactly 13% of the full pre-tax amount.</x:v>
      </x:c>
    </x:row>
    <x:row r="4" ht="26" customHeight="1">
      <x:c r="A4" s="12" t="str">
        <x:v>Status</x:v>
      </x:c>
      <x:c r="B4" s="12" t="str">
        <x:v>Supplier</x:v>
      </x:c>
      <x:c r="C4" s="12" t="str">
        <x:v>Invoice #</x:v>
      </x:c>
      <x:c r="D4" s="12" t="str">
        <x:v>Invoice Date</x:v>
      </x:c>
      <x:c r="E4" s="12" t="str">
        <x:v>Amount</x:v>
      </x:c>
      <x:c r="F4" s="12" t="str">
        <x:v>HST</x:v>
      </x:c>
      <x:c r="G4" s="12" t="str">
        <x:v>Total</x:v>
      </x:c>
      <x:c r="H4" s="12" t="str">
        <x:v>Effective HST Rate</x:v>
      </x:c>
      <x:c r="I4" s="12" t="str">
        <x:v>Full 13% HST</x:v>
      </x:c>
      <x:c r="J4" s="12" t="str">
        <x:v>Variance vs Full 13%</x:v>
      </x:c>
      <x:c r="K4" s="12" t="str">
        <x:v>Finding</x:v>
      </x:c>
      <x:c r="L4" s="12" t="str">
        <x:v>Filename</x:v>
      </x:c>
    </x:row>
    <x:row r="5">
      <x:c r="A5" s="15" t="str">
        <x:v>Issue</x:v>
      </x:c>
      <x:c r="B5" s="15" t="str">
        <x:v>Mas Reno</x:v>
      </x:c>
      <x:c r="C5" s="15" t="str">
        <x:v>012225</x:v>
      </x:c>
      <x:c r="D5" s="31" t="n">
        <x:v>46053</x:v>
      </x:c>
      <x:c r="E5" s="32" t="n">
        <x:v>1350</x:v>
      </x:c>
      <x:c r="F5" s="32" t="n">
        <x:v>182.5</x:v>
      </x:c>
      <x:c r="G5" s="32" t="n">
        <x:v>1532.5</x:v>
      </x:c>
      <x:c r="H5" s="34" t="n">
        <x:f>IF(E5=0,0,F5/E5)</x:f>
        <x:v>0.13518518518518519</x:v>
      </x:c>
      <x:c r="I5" s="32" t="n">
        <x:f>E5*13%</x:f>
        <x:v>175.5</x:v>
      </x:c>
      <x:c r="J5" s="32" t="n">
        <x:f>F5-I5</x:f>
        <x:v>7</x:v>
      </x:c>
      <x:c r="K5" s="18" t="str">
        <x:v>Invoice shows $182.50 HST on $1,350.00. At 13%, HST would be $175.50, so the source appears $7.00 high.</x:v>
      </x:c>
      <x:c r="L5" s="18" t="str">
        <x:v>2026-01-31 - B9DDD3A2-B2E2-4407-8E74-0890B770FBE8.png</x:v>
      </x:c>
    </x:row>
    <x:row r="6">
      <x:c r="A6" s="15" t="str">
        <x:v>Issue</x:v>
      </x:c>
      <x:c r="B6" s="15" t="str">
        <x:v>AMG Service Construction</x:v>
      </x:c>
      <x:c r="C6" s="15" t="str">
        <x:v>108</x:v>
      </x:c>
      <x:c r="D6" s="31" t="n">
        <x:v>46167</x:v>
      </x:c>
      <x:c r="E6" s="32" t="n">
        <x:v>4758.26</x:v>
      </x:c>
      <x:c r="F6" s="32" t="n">
        <x:v>787.5</x:v>
      </x:c>
      <x:c r="G6" s="32" t="n">
        <x:v>5545.76</x:v>
      </x:c>
      <x:c r="H6" s="34" t="n">
        <x:f>IF(E6=0,0,F6/E6)</x:f>
        <x:v>0.16550167498203125</x:v>
      </x:c>
      <x:c r="I6" s="32" t="n">
        <x:f>E6*13%</x:f>
        <x:v>618.5738</x:v>
      </x:c>
      <x:c r="J6" s="32" t="n">
        <x:f>F6-I6</x:f>
        <x:v>168.9262</x:v>
      </x:c>
      <x:c r="K6" s="18" t="str">
        <x:v>Source includes three HST lines totalling $787.50. Later revisions show $605.93 HST and a total $181.57 lower.</x:v>
      </x:c>
      <x:c r="L6" s="18" t="str">
        <x:v>2026-05-25 - 108-Ottawa-painters.pdf</x:v>
      </x:c>
    </x:row>
    <x:row r="7">
      <x:c r="A7" s="15" t="str">
        <x:v>Explained exception</x:v>
      </x:c>
      <x:c r="B7" s="15" t="str">
        <x:v>Mas Reno</x:v>
      </x:c>
      <x:c r="C7" s="15" t="str">
        <x:v>012223</x:v>
      </x:c>
      <x:c r="D7" s="31" t="n">
        <x:v>46053</x:v>
      </x:c>
      <x:c r="E7" s="32" t="n">
        <x:v>1091</x:v>
      </x:c>
      <x:c r="F7" s="32" t="n">
        <x:v>130</x:v>
      </x:c>
      <x:c r="G7" s="32" t="n">
        <x:v>1221</x:v>
      </x:c>
      <x:c r="H7" s="34" t="n">
        <x:f>IF(E7=0,0,F7/E7)</x:f>
        <x:v>0.11915673693858846</x:v>
      </x:c>
      <x:c r="I7" s="32" t="n">
        <x:f>E7*13%</x:f>
        <x:v>141.83</x:v>
      </x:c>
      <x:c r="J7" s="32" t="n">
        <x:f>F7-I7</x:f>
        <x:v>-11.830000000000013</x:v>
      </x:c>
      <x:c r="K7" s="18" t="str">
        <x:v>HST is exactly 13% of the $1,000 painting service; the $91 parking fee is not taxed.</x:v>
      </x:c>
      <x:c r="L7" s="18" t="str">
        <x:v>2026-01-31 - BEC47543-6E34-4983-9A83-EF932417A7C6.png</x:v>
      </x:c>
    </x:row>
    <x:row r="8">
      <x:c r="A8" s="15" t="str">
        <x:v>Explained exception</x:v>
      </x:c>
      <x:c r="B8" s="15" t="str">
        <x:v>Mas Reno</x:v>
      </x:c>
      <x:c r="C8" s="15" t="str">
        <x:v>012224</x:v>
      </x:c>
      <x:c r="D8" s="31" t="n">
        <x:v>46053</x:v>
      </x:c>
      <x:c r="E8" s="32" t="n">
        <x:v>800</x:v>
      </x:c>
      <x:c r="F8" s="32" t="n">
        <x:v>97.5</x:v>
      </x:c>
      <x:c r="G8" s="32" t="n">
        <x:v>897.5</x:v>
      </x:c>
      <x:c r="H8" s="34" t="n">
        <x:f>IF(E8=0,0,F8/E8)</x:f>
        <x:v>0.121875</x:v>
      </x:c>
      <x:c r="I8" s="32" t="n">
        <x:f>E8*13%</x:f>
        <x:v>104</x:v>
      </x:c>
      <x:c r="J8" s="32" t="n">
        <x:f>F8-I8</x:f>
        <x:v>-6.5</x:v>
      </x:c>
      <x:c r="K8" s="18" t="str">
        <x:v>HST is exactly 13% of $750 painting/additional work; the $50 parking fee is not taxed.</x:v>
      </x:c>
      <x:c r="L8" s="18" t="str">
        <x:v>2026-01-31 - Untitled.pdf</x:v>
      </x:c>
    </x:row>
    <x:row r="9">
      <x:c r="A9" s="15" t="str">
        <x:v>Explained exception</x:v>
      </x:c>
      <x:c r="B9" s="15" t="str">
        <x:v>Caledonian Painting Ltd</x:v>
      </x:c>
      <x:c r="C9" s="15" t="str">
        <x:v>380069</x:v>
      </x:c>
      <x:c r="D9" s="31" t="n">
        <x:v>46058</x:v>
      </x:c>
      <x:c r="E9" s="32" t="n">
        <x:v>5107.86</x:v>
      </x:c>
      <x:c r="F9" s="32" t="n">
        <x:v>607.36</x:v>
      </x:c>
      <x:c r="G9" s="32" t="n">
        <x:v>5715.22</x:v>
      </x:c>
      <x:c r="H9" s="34" t="n">
        <x:f>IF(E9=0,0,F9/E9)</x:f>
        <x:v>0.11890693950108265</x:v>
      </x:c>
      <x:c r="I9" s="32" t="n">
        <x:f>E9*13%</x:f>
        <x:v>664.0218</x:v>
      </x:c>
      <x:c r="J9" s="32" t="n">
        <x:f>F9-I9</x:f>
        <x:v>-56.66179999999997</x:v>
      </x:c>
      <x:c r="K9" s="18" t="str">
        <x:v>The source taxes project management and sales at 13% and shows paint reimbursements as zero-tax.</x:v>
      </x:c>
      <x:c r="L9" s="18" t="str">
        <x:v>2026-02-05 - Hosted - invoice-380069.pdf</x:v>
      </x:c>
    </x:row>
    <x:row r="10">
      <x:c r="A10" s="15" t="str">
        <x:v>Explained exception</x:v>
      </x:c>
      <x:c r="B10" s="15" t="str">
        <x:v>Caledonian Painting Ltd</x:v>
      </x:c>
      <x:c r="C10" s="15" t="str">
        <x:v>239605</x:v>
      </x:c>
      <x:c r="D10" s="31" t="n">
        <x:v>46125</x:v>
      </x:c>
      <x:c r="E10" s="32" t="n">
        <x:v>12299.83</x:v>
      </x:c>
      <x:c r="F10" s="32" t="n">
        <x:v>1408.77</x:v>
      </x:c>
      <x:c r="G10" s="32" t="n">
        <x:v>13708.6</x:v>
      </x:c>
      <x:c r="H10" s="34" t="n">
        <x:f>IF(E10=0,0,F10/E10)</x:f>
        <x:v>0.11453572935560898</x:v>
      </x:c>
      <x:c r="I10" s="32" t="n">
        <x:f>E10*13%</x:f>
        <x:v>1598.9779</x:v>
      </x:c>
      <x:c r="J10" s="32" t="n">
        <x:f>F10-I10</x:f>
        <x:v>-190.2079000000001</x:v>
      </x:c>
      <x:c r="K10" s="18" t="str">
        <x:v>The source tax summary applies 13% to $10,836.68 and zero-rates $1,463.15 of paint.</x:v>
      </x:c>
      <x:c r="L10" s="18" t="str">
        <x:v>2026-04-13 - Invoice_239605_from_Caledonian_Painting_Ltd.pdf</x:v>
      </x:c>
    </x:row>
    <x:row r="11">
      <x:c r="A11" s="15" t="str">
        <x:v>Explained exception</x:v>
      </x:c>
      <x:c r="B11" s="15" t="str">
        <x:v>Caledonian Painting Ltd</x:v>
      </x:c>
      <x:c r="C11" s="15" t="str">
        <x:v>239606</x:v>
      </x:c>
      <x:c r="D11" s="31" t="n">
        <x:v>46143</x:v>
      </x:c>
      <x:c r="E11" s="32" t="n">
        <x:v>10256.71</x:v>
      </x:c>
      <x:c r="F11" s="32" t="n">
        <x:v>1319.15</x:v>
      </x:c>
      <x:c r="G11" s="32" t="n">
        <x:v>11575.86</x:v>
      </x:c>
      <x:c r="H11" s="34" t="n">
        <x:f>IF(E11=0,0,F11/E11)</x:f>
        <x:v>0.12861336627437064</x:v>
      </x:c>
      <x:c r="I11" s="32" t="n">
        <x:f>E11*13%</x:f>
        <x:v>1333.3723</x:v>
      </x:c>
      <x:c r="J11" s="32" t="n">
        <x:f>F11-I11</x:f>
        <x:v>-14.222299999999905</x:v>
      </x:c>
      <x:c r="K11" s="18" t="str">
        <x:v>The source tax summary applies 13% to $10,147.34 and zero-rates $109.37 of supplies.</x:v>
      </x:c>
      <x:c r="L11" s="18" t="str">
        <x:v>2026-05-01 - Invoice_239606_from_Caledonian_Painting_Ltd.pdf</x:v>
      </x:c>
    </x:row>
    <x:row r="12">
      <x:c r="A12" s="15" t="str">
        <x:v>Explained exception</x:v>
      </x:c>
      <x:c r="B12" s="15" t="str">
        <x:v>Caledonian Painting Ltd</x:v>
      </x:c>
      <x:c r="C12" s="15" t="str">
        <x:v>239607</x:v>
      </x:c>
      <x:c r="D12" s="31" t="n">
        <x:v>46184</x:v>
      </x:c>
      <x:c r="E12" s="32" t="n">
        <x:v>10863.6</x:v>
      </x:c>
      <x:c r="F12" s="32" t="n">
        <x:v>1392.5</x:v>
      </x:c>
      <x:c r="G12" s="32" t="n">
        <x:v>12256.1</x:v>
      </x:c>
      <x:c r="H12" s="34" t="n">
        <x:f>IF(E12=0,0,F12/E12)</x:f>
        <x:v>0.128180345373541</x:v>
      </x:c>
      <x:c r="I12" s="32" t="n">
        <x:f>E12*13%</x:f>
        <x:v>1412.268</x:v>
      </x:c>
      <x:c r="J12" s="32" t="n">
        <x:f>F12-I12</x:f>
        <x:v>-19.76800000000003</x:v>
      </x:c>
      <x:c r="K12" s="18" t="str">
        <x:v>The source tax summary applies 13% to $10,711.52 and zero-rates $152.08 of supplies.</x:v>
      </x:c>
      <x:c r="L12" s="18" t="str">
        <x:v>2026-06-11 - Invoice_239607_from_Caledonian_Painting_Ltd.pdf</x:v>
      </x:c>
    </x:row>
    <x:row r="13">
      <x:c r="A13" s="15" t="str">
        <x:v>Explained exception</x:v>
      </x:c>
      <x:c r="B13" s="15" t="str">
        <x:v>Caledonian Painting Ltd</x:v>
      </x:c>
      <x:c r="C13" s="15" t="str">
        <x:v>239608</x:v>
      </x:c>
      <x:c r="D13" s="31" t="n">
        <x:v>46203</x:v>
      </x:c>
      <x:c r="E13" s="32" t="n">
        <x:v>9032.67</x:v>
      </x:c>
      <x:c r="F13" s="32" t="n">
        <x:v>1160.38</x:v>
      </x:c>
      <x:c r="G13" s="32" t="n">
        <x:v>10193.05</x:v>
      </x:c>
      <x:c r="H13" s="34" t="n">
        <x:f>IF(E13=0,0,F13/E13)</x:f>
        <x:v>0.12846478394538935</x:v>
      </x:c>
      <x:c r="I13" s="32" t="n">
        <x:f>E13*13%</x:f>
        <x:v>1174.2471</x:v>
      </x:c>
      <x:c r="J13" s="32" t="n">
        <x:f>F13-I13</x:f>
        <x:v>-13.867099999999937</x:v>
      </x:c>
      <x:c r="K13" s="18" t="str">
        <x:v>The source tax summary applies 13% to $8,926.00 and zero-rates $106.67 of supplies.</x:v>
      </x:c>
      <x:c r="L13" s="18" t="str">
        <x:v>2026-06-30 - Invoice_239608_from_Caledonian_Painting_Ltd.pdf</x:v>
      </x:c>
    </x:row>
    <x:row r="14">
      <x:c r="A14" s="15" t="str">
        <x:v>Explained exception</x:v>
      </x:c>
      <x:c r="B14" s="15" t="str">
        <x:v>AMG Service Construction</x:v>
      </x:c>
      <x:c r="C14" s="15" t="str">
        <x:v>108</x:v>
      </x:c>
      <x:c r="D14" s="31" t="n">
        <x:v>46168</x:v>
      </x:c>
      <x:c r="E14" s="32" t="n">
        <x:v>4758.26</x:v>
      </x:c>
      <x:c r="F14" s="32" t="n">
        <x:v>605.93</x:v>
      </x:c>
      <x:c r="G14" s="32" t="n">
        <x:v>5364.19</x:v>
      </x:c>
      <x:c r="H14" s="34" t="n">
        <x:f>IF(E14=0,0,F14/E14)</x:f>
        <x:v>0.12734276815474563</x:v>
      </x:c>
      <x:c r="I14" s="32" t="n">
        <x:f>E14*13%</x:f>
        <x:v>618.5738</x:v>
      </x:c>
      <x:c r="J14" s="32" t="n">
        <x:f>F14-I14</x:f>
        <x:v>-12.643800000000056</x:v>
      </x:c>
      <x:c r="K14" s="18" t="str">
        <x:v>Corrected revision taxes $4,661.00 at 13%; $97.26 of materials is outside the taxable base.</x:v>
      </x:c>
      <x:c r="L14" s="18" t="str">
        <x:v>2026-05-26 - 108-Ottawa-painters.pdf</x:v>
      </x:c>
    </x:row>
    <x:row r="15">
      <x:c r="A15" s="15" t="str">
        <x:v>Explained exception</x:v>
      </x:c>
      <x:c r="B15" s="15" t="str">
        <x:v>AMG Service Construction</x:v>
      </x:c>
      <x:c r="C15" s="15" t="str">
        <x:v>108</x:v>
      </x:c>
      <x:c r="D15" s="31" t="n">
        <x:v>46170</x:v>
      </x:c>
      <x:c r="E15" s="32" t="n">
        <x:v>4758.26</x:v>
      </x:c>
      <x:c r="F15" s="32" t="n">
        <x:v>605.93</x:v>
      </x:c>
      <x:c r="G15" s="32" t="n">
        <x:v>5364.19</x:v>
      </x:c>
      <x:c r="H15" s="34" t="n">
        <x:f>IF(E15=0,0,F15/E15)</x:f>
        <x:v>0.12734276815474563</x:v>
      </x:c>
      <x:c r="I15" s="32" t="n">
        <x:f>E15*13%</x:f>
        <x:v>618.5738</x:v>
      </x:c>
      <x:c r="J15" s="32" t="n">
        <x:f>F15-I15</x:f>
        <x:v>-12.643800000000056</x:v>
      </x:c>
      <x:c r="K15" s="18" t="str">
        <x:v>Corrected revision taxes $4,661.00 at 13%; $97.26 of materials is outside the taxable base.</x:v>
      </x:c>
      <x:c r="L15" s="18" t="str">
        <x:v>2026-05-28 - 108-Ottawa-painters.pdf</x:v>
      </x:c>
    </x:row>
  </x:sheetData>
  <x:mergeCells>
    <x:mergeCell ref="A1:L1"/>
    <x:mergeCell ref="A2:L2"/>
  </x:mergeCells>
  <x:conditionalFormatting sqref="A5:A15">
    <x:cfRule type="containsText" dxfId="3" priority="1" operator="containsText" text="Issue"/>
    <x:cfRule type="containsText" dxfId="4" priority="2" operator="containsText" text="Explained exception"/>
  </x:conditionalFormatting>
  <x:pageMargins left="0.7" right="0.7" top="0.75" bottom="0.75" header="0.3" footer="0.3"/>
  <x:tableParts count="1">
    <x:tablePart xmlns:r="http://schemas.openxmlformats.org/officeDocument/2006/relationships" r:id="R0e53b27df68842ea"/>
  </x:tableParts>
</x:worksheet>
</file>
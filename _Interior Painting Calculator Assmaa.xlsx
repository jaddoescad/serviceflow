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ior" sheetId="1" r:id="rId5"/>
    <sheet state="visible" name="Aspen Tzal" sheetId="2" r:id="rId6"/>
    <sheet state="visible" name="Wendy Page" sheetId="3" r:id="rId7"/>
    <sheet state="visible" name="Rene Bellavance" sheetId="4" r:id="rId8"/>
    <sheet state="visible" name="Copy of Interior 1" sheetId="5" r:id="rId9"/>
    <sheet state="visible" name="Erik Brownrigg" sheetId="6" r:id="rId10"/>
    <sheet state="visible" name="Francois " sheetId="7" r:id="rId11"/>
    <sheet state="visible" name="Matthieu Kimmel" sheetId="8" r:id="rId12"/>
    <sheet state="visible" name="rachelle latremouille" sheetId="9" r:id="rId13"/>
    <sheet state="visible" name="Andrew Hewson" sheetId="10" r:id="rId14"/>
    <sheet state="visible" name="Diane Benoit" sheetId="11" r:id="rId15"/>
    <sheet state="visible" name="Jen Payne" sheetId="12" r:id="rId16"/>
    <sheet state="visible" name="David Rennie" sheetId="13" r:id="rId17"/>
    <sheet state="visible" name="Copy of Interior" sheetId="14" r:id="rId18"/>
    <sheet state="visible" name="Isabelle " sheetId="15" r:id="rId19"/>
    <sheet state="visible" name="Hannah Boyle" sheetId="16" r:id="rId20"/>
    <sheet state="visible" name="Paul Toonders" sheetId="17" r:id="rId21"/>
    <sheet state="visible" name="Erin Armstrong" sheetId="18" r:id="rId22"/>
    <sheet state="visible" name="Danielle Hards" sheetId="19" r:id="rId23"/>
    <sheet state="visible" name="Elaine Keveney" sheetId="20" r:id="rId24"/>
    <sheet state="visible" name="Nichole Dufour" sheetId="21" r:id="rId25"/>
    <sheet state="visible" name="Ibrahim Louka" sheetId="22" r:id="rId26"/>
    <sheet state="visible" name="Christian Boulet" sheetId="23" r:id="rId27"/>
    <sheet state="visible" name="Deborah Mavula" sheetId="24" r:id="rId28"/>
    <sheet state="visible" name="Theresa Ngondi" sheetId="25" r:id="rId29"/>
    <sheet state="visible" name="Louise Taillefer" sheetId="26" r:id="rId30"/>
    <sheet state="visible" name="Amit Mishra" sheetId="27" r:id="rId31"/>
    <sheet state="visible" name="Amanda Daoust" sheetId="28" r:id="rId32"/>
    <sheet state="visible" name="Interior " sheetId="29" r:id="rId33"/>
    <sheet state="visible" name="Gamal Mansour" sheetId="30" r:id="rId34"/>
    <sheet state="visible" name="Robert Plummer" sheetId="31" r:id="rId35"/>
    <sheet state="visible" name="Isabelle Alvarez" sheetId="32" r:id="rId36"/>
    <sheet state="visible" name="Anjou " sheetId="33" r:id="rId37"/>
    <sheet state="visible" name="Matt Armstrong" sheetId="34" r:id="rId38"/>
    <sheet state="visible" name="Augustine Bonny " sheetId="35" r:id="rId39"/>
    <sheet state="visible" name="Leanne Johnny" sheetId="36" r:id="rId40"/>
    <sheet state="visible" name="Irene Roberts" sheetId="37" r:id="rId41"/>
    <sheet state="visible" name="Rose couvrette" sheetId="38" r:id="rId42"/>
    <sheet state="visible" name="Irene Peter" sheetId="39" r:id="rId43"/>
    <sheet state="visible" name="Connor Morrison" sheetId="40" r:id="rId44"/>
    <sheet state="visible" name="Renee Morin" sheetId="41" r:id="rId45"/>
    <sheet state="visible" name="Kelly" sheetId="42" r:id="rId4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">
      <text>
        <t xml:space="preserve">Copy-ready text: click this cell, then press Cmd+C on Mac or Ctrl+C on Windows.</t>
      </text>
    </comment>
    <comment authorId="0" ref="Y1">
      <text>
        <t xml:space="preserve">Select the blue cell below, then press Cmd+C on Mac or Ctrl+C on Windows.</t>
      </text>
    </comment>
  </commentList>
</comments>
</file>

<file path=xl/sharedStrings.xml><?xml version="1.0" encoding="utf-8"?>
<sst xmlns="http://schemas.openxmlformats.org/spreadsheetml/2006/main" count="12840" uniqueCount="267">
  <si>
    <t>Name</t>
  </si>
  <si>
    <t>Length</t>
  </si>
  <si>
    <t>Width</t>
  </si>
  <si>
    <t>Height</t>
  </si>
  <si>
    <t>Doors</t>
  </si>
  <si>
    <t>Include Walls</t>
  </si>
  <si>
    <t>Include Ceiling</t>
  </si>
  <si>
    <t>Popcorn Ceiling</t>
  </si>
  <si>
    <t>Crown Molding</t>
  </si>
  <si>
    <t>Include Trim</t>
  </si>
  <si>
    <t>Trim Coats</t>
  </si>
  <si>
    <t>Wall Area</t>
  </si>
  <si>
    <t>Ceiling Area</t>
  </si>
  <si>
    <t>Perimeter</t>
  </si>
  <si>
    <t>Wall Price</t>
  </si>
  <si>
    <t>Third Coat Price</t>
  </si>
  <si>
    <t>Ceiling Price</t>
  </si>
  <si>
    <t>Popcorn Price</t>
  </si>
  <si>
    <t>Door Price</t>
  </si>
  <si>
    <t>Trim Price</t>
  </si>
  <si>
    <t>Crown Price</t>
  </si>
  <si>
    <t>Total</t>
  </si>
  <si>
    <t>Expected Hours</t>
  </si>
  <si>
    <t>COPY HOURS ↓</t>
  </si>
  <si>
    <t>Paint Option</t>
  </si>
  <si>
    <t>Wall Rate</t>
  </si>
  <si>
    <t/>
  </si>
  <si>
    <t>living room</t>
  </si>
  <si>
    <t>Interior HP 2c walls</t>
  </si>
  <si>
    <t>foyer</t>
  </si>
  <si>
    <t>Interior Super Paint 2c walls</t>
  </si>
  <si>
    <t>Interior Duration 2c walls</t>
  </si>
  <si>
    <t xml:space="preserve">eating </t>
  </si>
  <si>
    <t xml:space="preserve">dining </t>
  </si>
  <si>
    <t>Selected Paint</t>
  </si>
  <si>
    <t>office</t>
  </si>
  <si>
    <t>Active Wall Rate</t>
  </si>
  <si>
    <t>laundry</t>
  </si>
  <si>
    <t>Ceiling Rate</t>
  </si>
  <si>
    <t>Bed 2</t>
  </si>
  <si>
    <t>Door Rate</t>
  </si>
  <si>
    <t>Bed 3</t>
  </si>
  <si>
    <t>Trim Rate</t>
  </si>
  <si>
    <t>master bd</t>
  </si>
  <si>
    <t>Crown Rate</t>
  </si>
  <si>
    <t>bdrm 4</t>
  </si>
  <si>
    <t>Popcorn Rate</t>
  </si>
  <si>
    <t>kitchen</t>
  </si>
  <si>
    <t>Closets</t>
  </si>
  <si>
    <t>bathroom</t>
  </si>
  <si>
    <t>bathroomm</t>
  </si>
  <si>
    <t>Measurements</t>
  </si>
  <si>
    <t>Wall total area</t>
  </si>
  <si>
    <t>uey</t>
  </si>
  <si>
    <t>Ceiling total area</t>
  </si>
  <si>
    <t>yru</t>
  </si>
  <si>
    <t>Door count</t>
  </si>
  <si>
    <t>ed</t>
  </si>
  <si>
    <t>Trim linear feet</t>
  </si>
  <si>
    <t>recreation room</t>
  </si>
  <si>
    <t>Crown linear feet</t>
  </si>
  <si>
    <t>Material Assumptions</t>
  </si>
  <si>
    <t>Coverage (sqft/gal)</t>
  </si>
  <si>
    <t>Door sqft each</t>
  </si>
  <si>
    <t>Trim width (in)</t>
  </si>
  <si>
    <t>Crown width (in)</t>
  </si>
  <si>
    <t>Paint Gallons</t>
  </si>
  <si>
    <t>Walls paint</t>
  </si>
  <si>
    <t>Ceiling paint</t>
  </si>
  <si>
    <t>Doors paint</t>
  </si>
  <si>
    <t>Trim paint</t>
  </si>
  <si>
    <t>Crown paint</t>
  </si>
  <si>
    <t>Pricing Totals</t>
  </si>
  <si>
    <t>Rooms with Data</t>
  </si>
  <si>
    <t>Walls</t>
  </si>
  <si>
    <t>Ceilings</t>
  </si>
  <si>
    <t>Popcorn</t>
  </si>
  <si>
    <t>Trim</t>
  </si>
  <si>
    <t>Crown</t>
  </si>
  <si>
    <t>Grand Total</t>
  </si>
  <si>
    <t>Third Coat Total</t>
  </si>
  <si>
    <t>Estimated Hours</t>
  </si>
  <si>
    <t>Labour %</t>
  </si>
  <si>
    <t>Hourly Rate ($/hr)</t>
  </si>
  <si>
    <t>Total Hours</t>
  </si>
  <si>
    <t>Room</t>
  </si>
  <si>
    <t>bedroom 1</t>
  </si>
  <si>
    <t>bedroom 2</t>
  </si>
  <si>
    <t>Master bedroom</t>
  </si>
  <si>
    <t>closet</t>
  </si>
  <si>
    <t>ensuite</t>
  </si>
  <si>
    <t>bedroom 3</t>
  </si>
  <si>
    <t xml:space="preserve">upper landing </t>
  </si>
  <si>
    <t xml:space="preserve">family bathroom </t>
  </si>
  <si>
    <t>upper stairacse</t>
  </si>
  <si>
    <t>lower staircase</t>
  </si>
  <si>
    <t>sitting</t>
  </si>
  <si>
    <t>hallway</t>
  </si>
  <si>
    <t>powder</t>
  </si>
  <si>
    <t xml:space="preserve">laundry </t>
  </si>
  <si>
    <t xml:space="preserve">living </t>
  </si>
  <si>
    <t>Entranceway</t>
  </si>
  <si>
    <t>Living room</t>
  </si>
  <si>
    <t>hallwayy</t>
  </si>
  <si>
    <t>Hallway</t>
  </si>
  <si>
    <t>Bathroom</t>
  </si>
  <si>
    <t>Bed 1</t>
  </si>
  <si>
    <t>Master bed</t>
  </si>
  <si>
    <t>Kitchen</t>
  </si>
  <si>
    <t>Master</t>
  </si>
  <si>
    <t>Spare room</t>
  </si>
  <si>
    <t>bthrm</t>
  </si>
  <si>
    <t>Living</t>
  </si>
  <si>
    <t>Dining</t>
  </si>
  <si>
    <t>Entrance</t>
  </si>
  <si>
    <t>Tv roomm</t>
  </si>
  <si>
    <t>Tv room</t>
  </si>
  <si>
    <t>Top floor staircase</t>
  </si>
  <si>
    <t>Top floor hallway</t>
  </si>
  <si>
    <t>main floor staircasee</t>
  </si>
  <si>
    <t>Main floor staircase</t>
  </si>
  <si>
    <t>Office</t>
  </si>
  <si>
    <t>Powder room</t>
  </si>
  <si>
    <t>Entryway staircase</t>
  </si>
  <si>
    <t>Sitting room</t>
  </si>
  <si>
    <t>Laundry</t>
  </si>
  <si>
    <t>Lower staircase</t>
  </si>
  <si>
    <t>lower hallway</t>
  </si>
  <si>
    <t>Upper landing</t>
  </si>
  <si>
    <t>Bedroom 1</t>
  </si>
  <si>
    <t>Bedroom 2</t>
  </si>
  <si>
    <t>Upper staircase</t>
  </si>
  <si>
    <t>Powder</t>
  </si>
  <si>
    <t>feature wall master bedroom</t>
  </si>
  <si>
    <t>Dining room</t>
  </si>
  <si>
    <t xml:space="preserve">Bedroom 1 </t>
  </si>
  <si>
    <t>Ensuite</t>
  </si>
  <si>
    <t xml:space="preserve">Front door staircase </t>
  </si>
  <si>
    <t>Lower staircase 2</t>
  </si>
  <si>
    <t>den</t>
  </si>
  <si>
    <t>Den</t>
  </si>
  <si>
    <t>En suite</t>
  </si>
  <si>
    <t>Master bedroom (walls optional)</t>
  </si>
  <si>
    <t>Master en suite (walls optional)</t>
  </si>
  <si>
    <t>Lower hallway</t>
  </si>
  <si>
    <t>Bed 1 en suite (walls optional)</t>
  </si>
  <si>
    <t xml:space="preserve">kitchen </t>
  </si>
  <si>
    <t>Master bdrm</t>
  </si>
  <si>
    <t xml:space="preserve">hallway </t>
  </si>
  <si>
    <t xml:space="preserve">accent wall </t>
  </si>
  <si>
    <t>Primary bedroom</t>
  </si>
  <si>
    <t>living</t>
  </si>
  <si>
    <t>uPPER LANDING</t>
  </si>
  <si>
    <t>upper hallway</t>
  </si>
  <si>
    <t>family bathroom</t>
  </si>
  <si>
    <t>bdrm 3</t>
  </si>
  <si>
    <t>upper staircase</t>
  </si>
  <si>
    <t>entrancw</t>
  </si>
  <si>
    <t xml:space="preserve">dining room </t>
  </si>
  <si>
    <t xml:space="preserve">pwdr room </t>
  </si>
  <si>
    <t xml:space="preserve">lower staircase </t>
  </si>
  <si>
    <t xml:space="preserve">basement hallway </t>
  </si>
  <si>
    <t xml:space="preserve">basement bedroom </t>
  </si>
  <si>
    <t xml:space="preserve">storage </t>
  </si>
  <si>
    <t>primary bedroom</t>
  </si>
  <si>
    <t xml:space="preserve">bedroom </t>
  </si>
  <si>
    <t>hall</t>
  </si>
  <si>
    <t xml:space="preserve">upper staircase </t>
  </si>
  <si>
    <t xml:space="preserve">bathroom </t>
  </si>
  <si>
    <t xml:space="preserve">master bedroom </t>
  </si>
  <si>
    <t xml:space="preserve">tv room </t>
  </si>
  <si>
    <t xml:space="preserve">entrance </t>
  </si>
  <si>
    <t xml:space="preserve">Powder room </t>
  </si>
  <si>
    <t xml:space="preserve">Ofi\fice </t>
  </si>
  <si>
    <t xml:space="preserve">bedroom 3 </t>
  </si>
  <si>
    <t>Playroom</t>
  </si>
  <si>
    <t>Main Floor Bathroom</t>
  </si>
  <si>
    <t>Upstairs Family Bathroom</t>
  </si>
  <si>
    <t xml:space="preserve">Office </t>
  </si>
  <si>
    <t>Living Room</t>
  </si>
  <si>
    <t xml:space="preserve">Back bedroom </t>
  </si>
  <si>
    <t>Entrance way</t>
  </si>
  <si>
    <t>upper landing</t>
  </si>
  <si>
    <t>master bedroom</t>
  </si>
  <si>
    <t xml:space="preserve">bedroom 1 </t>
  </si>
  <si>
    <t xml:space="preserve">Livingroom/kitchen </t>
  </si>
  <si>
    <t>lower staircase1</t>
  </si>
  <si>
    <t>lower staircase2</t>
  </si>
  <si>
    <t>dining room</t>
  </si>
  <si>
    <t xml:space="preserve">living room </t>
  </si>
  <si>
    <t>Upper hallway</t>
  </si>
  <si>
    <t>lower staircase 2</t>
  </si>
  <si>
    <t>family bathroom 1</t>
  </si>
  <si>
    <t>family bathroom 2</t>
  </si>
  <si>
    <t>Mud room</t>
  </si>
  <si>
    <t xml:space="preserve">upstairs office </t>
  </si>
  <si>
    <t>Main bedroom</t>
  </si>
  <si>
    <t>Bedroom 3</t>
  </si>
  <si>
    <t>Bedroom 4</t>
  </si>
  <si>
    <t>other</t>
  </si>
  <si>
    <t>familyroom</t>
  </si>
  <si>
    <t>solarium</t>
  </si>
  <si>
    <t xml:space="preserve">Upper landing </t>
  </si>
  <si>
    <t>entranceway</t>
  </si>
  <si>
    <t>Walk in closet</t>
  </si>
  <si>
    <t>walk in clisee</t>
  </si>
  <si>
    <t xml:space="preserve">Front office </t>
  </si>
  <si>
    <t xml:space="preserve">Dining </t>
  </si>
  <si>
    <t xml:space="preserve">Kitchen </t>
  </si>
  <si>
    <t xml:space="preserve">Fmily room </t>
  </si>
  <si>
    <t xml:space="preserve">Staircase </t>
  </si>
  <si>
    <t>Closet</t>
  </si>
  <si>
    <t xml:space="preserve">Upstairs office </t>
  </si>
  <si>
    <t>Family bathroom</t>
  </si>
  <si>
    <t xml:space="preserve">X </t>
  </si>
  <si>
    <t>Laundry room</t>
  </si>
  <si>
    <t xml:space="preserve">Bedroom2 </t>
  </si>
  <si>
    <t xml:space="preserve">bedroom 4 </t>
  </si>
  <si>
    <t xml:space="preserve">office </t>
  </si>
  <si>
    <t>mud room</t>
  </si>
  <si>
    <t>Landing</t>
  </si>
  <si>
    <t>Staircase</t>
  </si>
  <si>
    <t xml:space="preserve">Living room </t>
  </si>
  <si>
    <t xml:space="preserve">Loft </t>
  </si>
  <si>
    <t xml:space="preserve">Hallway </t>
  </si>
  <si>
    <t xml:space="preserve">Bathroom </t>
  </si>
  <si>
    <t>Scotts price</t>
  </si>
  <si>
    <t xml:space="preserve">Upper Landing </t>
  </si>
  <si>
    <t xml:space="preserve">Entrance </t>
  </si>
  <si>
    <t xml:space="preserve"> Living Room</t>
  </si>
  <si>
    <t xml:space="preserve">Powder Room </t>
  </si>
  <si>
    <t>Staircase (lower)</t>
  </si>
  <si>
    <t>oj</t>
  </si>
  <si>
    <t>master</t>
  </si>
  <si>
    <t>Fam bath</t>
  </si>
  <si>
    <t>Entrance closet</t>
  </si>
  <si>
    <t>bedroom</t>
  </si>
  <si>
    <t>dining</t>
  </si>
  <si>
    <t>family room</t>
  </si>
  <si>
    <t>bdrm</t>
  </si>
  <si>
    <t>bthrn</t>
  </si>
  <si>
    <t>locker room</t>
  </si>
  <si>
    <t>lunch room</t>
  </si>
  <si>
    <t xml:space="preserve">office room </t>
  </si>
  <si>
    <t>officeroom 2</t>
  </si>
  <si>
    <t>office 3</t>
  </si>
  <si>
    <t>hallway 2</t>
  </si>
  <si>
    <t xml:space="preserve">main bdroom </t>
  </si>
  <si>
    <t xml:space="preserve">bdrm </t>
  </si>
  <si>
    <t xml:space="preserve">kids room </t>
  </si>
  <si>
    <t>entrance</t>
  </si>
  <si>
    <t>dining area</t>
  </si>
  <si>
    <t>bdroom 1</t>
  </si>
  <si>
    <t>bdroom 2</t>
  </si>
  <si>
    <t xml:space="preserve">Dinign room </t>
  </si>
  <si>
    <t>Bedroom</t>
  </si>
  <si>
    <t>Primary</t>
  </si>
  <si>
    <t>Bathroom 2</t>
  </si>
  <si>
    <t>breakfast</t>
  </si>
  <si>
    <t>walk in closet</t>
  </si>
  <si>
    <t>bthroom</t>
  </si>
  <si>
    <t xml:space="preserve">utility </t>
  </si>
  <si>
    <t>rec room</t>
  </si>
  <si>
    <t xml:space="preserve">bath </t>
  </si>
  <si>
    <t xml:space="preserve">Dining area </t>
  </si>
  <si>
    <t>Foyer</t>
  </si>
  <si>
    <t>Breakfast nook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</si>
</sst>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1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sz val="12.0"/>
      <color rgb="FF142334"/>
      <name val="Arial"/>
    </font>
    <font>
      <sz val="10.0"/>
      <color rgb="FF142333"/>
      <name val="Arial"/>
    </font>
    <font>
      <sz val="12.0"/>
      <color rgb="FF142334"/>
      <name val="Averta"/>
    </font>
    <font>
      <b/>
      <color theme="1"/>
      <name val="Arial"/>
      <scheme val="minor"/>
    </font>
    <font>
      <b/>
      <sz val="11.0"/>
      <color rgb="FFFFFFFF"/>
      <name val="Arial"/>
    </font>
    <font/>
    <font>
      <sz val="10.0"/>
      <color theme="1"/>
      <name val="Arial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1.0"/>
      <color rgb="FF142334"/>
      <name val="Arial"/>
    </font>
    <font>
      <sz val="12.0"/>
      <color rgb="FF142334"/>
      <name val="System-ui"/>
    </font>
  </fonts>
  <fills count="9">
    <fill>
      <patternFill patternType="none"/>
    </fill>
    <fill>
      <patternFill patternType="lightGray"/>
    </fill>
    <fill>
      <patternFill patternType="solid">
        <fgColor rgb="FF1E77B5"/>
        <bgColor rgb="FF1E77B5"/>
      </patternFill>
    </fill>
    <fill>
      <patternFill patternType="solid">
        <fgColor rgb="FFFFFFFF"/>
        <bgColor rgb="FFFFFFFF"/>
      </patternFill>
    </fill>
    <fill>
      <patternFill patternType="solid">
        <fgColor rgb="FFDBEDF7"/>
        <bgColor rgb="FFDBEDF7"/>
      </patternFill>
    </fill>
    <fill>
      <patternFill patternType="solid">
        <fgColor rgb="FF1F77B4"/>
        <bgColor rgb="FF1F77B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5F5E5"/>
        <bgColor rgb="FFE5F5E5"/>
      </patternFill>
    </fill>
  </fills>
  <borders count="8">
    <border/>
    <border>
      <left style="thin">
        <color rgb="FF1E77B5"/>
      </left>
      <right style="thin">
        <color rgb="FF1E77B5"/>
      </right>
      <top style="thin">
        <color rgb="FF1E77B5"/>
      </top>
      <bottom style="thin">
        <color rgb="FF1E77B5"/>
      </bottom>
    </border>
    <border>
      <left style="thin">
        <color rgb="FFCCCCCC"/>
      </left>
      <top style="medium">
        <color rgb="FF1F77B4"/>
      </top>
      <bottom style="thin">
        <color rgb="FFE5E5E5"/>
      </bottom>
    </border>
    <border>
      <right style="thin">
        <color rgb="FFCCCCCC"/>
      </right>
      <top style="medium">
        <color rgb="FF1F77B4"/>
      </top>
      <bottom style="thin">
        <color rgb="FFE5E5E5"/>
      </bottom>
    </border>
    <border>
      <left style="thin">
        <color rgb="FFCCCCCC"/>
      </left>
      <top style="thin">
        <color rgb="FFE5E5E5"/>
      </top>
      <bottom style="thin">
        <color rgb="FFE5E5E5"/>
      </bottom>
    </border>
    <border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CCCCCC"/>
      </left>
      <top style="thin">
        <color rgb="FFE5E5E5"/>
      </top>
      <bottom style="thin">
        <color rgb="FFCCCCCC"/>
      </bottom>
    </border>
    <border>
      <right style="thin">
        <color rgb="FFCCCCCC"/>
      </right>
      <top style="thin">
        <color rgb="FFE5E5E5"/>
      </top>
      <bottom style="thin">
        <color rgb="FFCCCCCC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2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1" numFmtId="2" xfId="0" applyAlignment="1" applyFont="1" applyNumberFormat="1">
      <alignment horizontal="right" shrinkToFit="0" wrapText="1"/>
    </xf>
    <xf borderId="1" fillId="4" fontId="6" numFmtId="0" xfId="0" applyAlignment="1" applyBorder="1" applyFill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2" numFmtId="2" xfId="0" applyAlignment="1" applyFont="1" applyNumberFormat="1">
      <alignment horizontal="right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3" fontId="7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2" fillId="5" fontId="9" numFmtId="0" xfId="0" applyAlignment="1" applyBorder="1" applyFill="1" applyFont="1">
      <alignment horizontal="center" readingOrder="0" vertical="center"/>
    </xf>
    <xf borderId="3" fillId="0" fontId="10" numFmtId="0" xfId="0" applyBorder="1" applyFont="1"/>
    <xf borderId="0" fillId="3" fontId="7" numFmtId="0" xfId="0" applyFont="1"/>
    <xf borderId="4" fillId="3" fontId="11" numFmtId="0" xfId="0" applyAlignment="1" applyBorder="1" applyFont="1">
      <alignment readingOrder="0" vertical="center"/>
    </xf>
    <xf borderId="5" fillId="3" fontId="11" numFmtId="2" xfId="0" applyAlignment="1" applyBorder="1" applyFont="1" applyNumberFormat="1">
      <alignment horizontal="right" vertical="center"/>
    </xf>
    <xf borderId="5" fillId="3" fontId="11" numFmtId="2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readingOrder="0"/>
    </xf>
    <xf borderId="6" fillId="3" fontId="11" numFmtId="0" xfId="0" applyAlignment="1" applyBorder="1" applyFont="1">
      <alignment readingOrder="0" vertical="center"/>
    </xf>
    <xf borderId="7" fillId="3" fontId="11" numFmtId="2" xfId="0" applyAlignment="1" applyBorder="1" applyFont="1" applyNumberFormat="1">
      <alignment horizontal="right" vertical="center"/>
    </xf>
    <xf borderId="0" fillId="3" fontId="11" numFmtId="0" xfId="0" applyAlignment="1" applyFont="1">
      <alignment readingOrder="0" vertical="center"/>
    </xf>
    <xf borderId="5" fillId="6" fontId="8" numFmtId="2" xfId="0" applyAlignment="1" applyBorder="1" applyFill="1" applyFont="1" applyNumberFormat="1">
      <alignment horizontal="right" readingOrder="0" vertical="center"/>
    </xf>
    <xf borderId="7" fillId="6" fontId="8" numFmtId="2" xfId="0" applyAlignment="1" applyBorder="1" applyFont="1" applyNumberFormat="1">
      <alignment horizontal="right" readingOrder="0" vertical="center"/>
    </xf>
    <xf borderId="4" fillId="3" fontId="11" numFmtId="0" xfId="0" applyAlignment="1" applyBorder="1" applyFont="1">
      <alignment readingOrder="0" vertical="center"/>
    </xf>
    <xf borderId="0" fillId="7" fontId="8" numFmtId="2" xfId="0" applyAlignment="1" applyFill="1" applyFont="1" applyNumberFormat="1">
      <alignment horizontal="left" readingOrder="0" vertical="center"/>
    </xf>
    <xf borderId="0" fillId="7" fontId="8" numFmtId="2" xfId="0" applyAlignment="1" applyFont="1" applyNumberFormat="1">
      <alignment horizontal="right" readingOrder="0" vertical="center"/>
    </xf>
    <xf borderId="5" fillId="3" fontId="11" numFmtId="1" xfId="0" applyAlignment="1" applyBorder="1" applyFont="1" applyNumberFormat="1">
      <alignment horizontal="right" vertical="center"/>
    </xf>
    <xf borderId="5" fillId="3" fontId="11" numFmtId="164" xfId="0" applyAlignment="1" applyBorder="1" applyFont="1" applyNumberFormat="1">
      <alignment horizontal="right" vertical="center"/>
    </xf>
    <xf borderId="6" fillId="8" fontId="12" numFmtId="164" xfId="0" applyAlignment="1" applyBorder="1" applyFill="1" applyFont="1" applyNumberFormat="1">
      <alignment horizontal="left" readingOrder="0" vertical="center"/>
    </xf>
    <xf borderId="7" fillId="8" fontId="12" numFmtId="164" xfId="0" applyAlignment="1" applyBorder="1" applyFont="1" applyNumberFormat="1">
      <alignment horizontal="right" vertical="center"/>
    </xf>
    <xf borderId="0" fillId="7" fontId="8" numFmtId="164" xfId="0" applyAlignment="1" applyFont="1" applyNumberFormat="1">
      <alignment horizontal="left" readingOrder="0"/>
    </xf>
    <xf borderId="0" fillId="7" fontId="8" numFmtId="164" xfId="0" applyAlignment="1" applyFont="1" applyNumberFormat="1">
      <alignment horizontal="right"/>
    </xf>
    <xf borderId="2" fillId="5" fontId="9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6" fontId="8" numFmtId="9" xfId="0" applyAlignment="1" applyBorder="1" applyFont="1" applyNumberFormat="1">
      <alignment horizontal="right" readingOrder="0"/>
    </xf>
    <xf borderId="5" fillId="6" fontId="8" numFmtId="2" xfId="0" applyAlignment="1" applyBorder="1" applyFont="1" applyNumberFormat="1">
      <alignment horizontal="right" readingOrder="0"/>
    </xf>
    <xf borderId="5" fillId="0" fontId="2" numFmtId="2" xfId="0" applyAlignment="1" applyBorder="1" applyFont="1" applyNumberForma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4" fillId="3" fontId="13" numFmtId="0" xfId="0" applyAlignment="1" applyBorder="1" applyFont="1">
      <alignment readingOrder="0"/>
    </xf>
    <xf borderId="5" fillId="3" fontId="13" numFmtId="2" xfId="0" applyAlignment="1" applyBorder="1" applyFont="1" applyNumberFormat="1">
      <alignment horizontal="right"/>
    </xf>
    <xf borderId="6" fillId="8" fontId="12" numFmtId="0" xfId="0" applyAlignment="1" applyBorder="1" applyFont="1">
      <alignment readingOrder="0"/>
    </xf>
    <xf borderId="7" fillId="8" fontId="12" numFmtId="2" xfId="0" applyAlignment="1" applyBorder="1" applyFont="1" applyNumberFormat="1">
      <alignment horizontal="right"/>
    </xf>
    <xf borderId="2" fillId="5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 shrinkToFit="0" wrapText="1"/>
    </xf>
    <xf borderId="0" fillId="3" fontId="14" numFmtId="0" xfId="0" applyAlignment="1" applyFont="1">
      <alignment readingOrder="0"/>
    </xf>
    <xf borderId="0" fillId="3" fontId="15" numFmtId="0" xfId="0" applyFont="1"/>
    <xf borderId="0" fillId="3" fontId="15" numFmtId="0" xfId="0" applyAlignment="1" applyFont="1">
      <alignment readingOrder="0"/>
    </xf>
    <xf borderId="5" fillId="3" fontId="11" numFmtId="164" xfId="0" applyAlignment="1" applyBorder="1" applyFont="1" applyNumberFormat="1">
      <alignment horizontal="right" readingOrder="0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5" max="25" width="18.88"/>
    <col customWidth="1" min="27" max="27" width="23.25"/>
    <col customWidth="1" min="28" max="28" width="15.13"/>
    <col customWidth="1" min="29" max="29" width="8.38"/>
  </cols>
  <sheetData>
    <row r="1" ht="15.75" customHeight="1">
      <c r="A1" s="1">
        <v>0.0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Y1" s="7" t="s">
        <v>23</v>
      </c>
      <c r="AA1" s="8" t="s">
        <v>24</v>
      </c>
      <c r="AB1" s="8" t="s">
        <v>25</v>
      </c>
      <c r="AC1" s="8" t="s">
        <v>26</v>
      </c>
    </row>
    <row r="2" ht="15.75" customHeight="1">
      <c r="B2" s="9" t="s">
        <v>27</v>
      </c>
      <c r="C2" s="10">
        <v>16.0</v>
      </c>
      <c r="D2" s="10">
        <v>22.0</v>
      </c>
      <c r="E2" s="10">
        <v>8.0</v>
      </c>
      <c r="F2" s="11"/>
      <c r="G2" s="11" t="b">
        <v>0</v>
      </c>
      <c r="H2" s="12" t="b">
        <v>1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0</v>
      </c>
      <c r="N2" s="13">
        <f t="shared" ref="N2:N49" si="2">IF(H2,C2*D2,0)</f>
        <v>352</v>
      </c>
      <c r="O2" s="13">
        <f t="shared" ref="O2:O49" si="3">(C2+D2)*2</f>
        <v>76</v>
      </c>
      <c r="P2" s="14">
        <f t="shared" ref="P2:P49" si="4">M2*$AB$7</f>
        <v>0</v>
      </c>
      <c r="Q2" s="15">
        <f t="shared" ref="Q2:Q1000" si="5">IFERROR(P2*0.35,0)</f>
        <v>0</v>
      </c>
      <c r="R2" s="14">
        <f t="shared" ref="R2:R49" si="6">N2*$AB$8</f>
        <v>485.76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485.76</v>
      </c>
      <c r="X2" s="16">
        <f t="shared" ref="X2:X1000" si="12">IFERROR((W2*$AB$47)/$AB$48,0)</f>
        <v>5.18144</v>
      </c>
      <c r="Y2" s="17" t="str">
        <f>IFERROR(__xludf.DUMMYFUNCTION("TEXTJOIN(UNICHAR(8232),TRUE,""Name — Expected Hours"",FILTER(B2:B1000&amp;"" — ""&amp;TEXT(X2:X1000,""0.00""),B2:B1000&lt;&gt;""""))&amp;UNICHAR(8232)&amp;UNICHAR(8232)&amp;""Labour % — ""&amp;TEXT($AB$47,""0%"")&amp;UNICHAR(8232)&amp;""Hourly Rate ($/hr) — ""&amp;TEXT($AB$48,""0.00"")"),"Name — Expected Hours living room — 5.18 foyer — 4.53 living room — 3.18 eating  — 2.65 dining  — 3.50 office — 2.65 laundry — 1.03 Bed 2 — 2.47 Bed 3 — 2.47 master bd — 5.52 bdrm 4 — 2.65 kitchen — 2.65 bathroom — 1.03 bathroomm — 1.06 bathroom — 2.65 ue"&amp;"y — 0.00 yru — 0.00 ed — 0.00 recreation room — 13.62  Labour % — 40% Hourly Rate ($/hr) — 37.50")</f>
        <v>Name — Expected Hours living room — 5.18 foyer — 4.53 living room — 3.18 eating  — 2.65 dining  — 3.50 office — 2.65 laundry — 1.03 Bed 2 — 2.47 Bed 3 — 2.47 master bd — 5.52 bdrm 4 — 2.65 kitchen — 2.65 bathroom — 1.03 bathroomm — 1.06 bathroom — 2.65 uey — 0.00 yru — 0.00 ed — 0.00 recreation room — 13.62  Labour % — 40% Hourly Rate ($/hr) — 37.50</v>
      </c>
      <c r="AA2" s="18" t="s">
        <v>28</v>
      </c>
      <c r="AB2" s="1">
        <v>1.15</v>
      </c>
      <c r="AC2" s="2" t="s">
        <v>26</v>
      </c>
    </row>
    <row r="3" ht="15.75" customHeight="1">
      <c r="B3" s="9" t="s">
        <v>29</v>
      </c>
      <c r="C3" s="10">
        <v>14.0</v>
      </c>
      <c r="D3" s="10">
        <v>22.0</v>
      </c>
      <c r="E3" s="10">
        <v>8.0</v>
      </c>
      <c r="F3" s="11"/>
      <c r="G3" s="11" t="b">
        <v>0</v>
      </c>
      <c r="H3" s="12" t="b">
        <v>1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0</v>
      </c>
      <c r="N3" s="13">
        <f t="shared" si="2"/>
        <v>308</v>
      </c>
      <c r="O3" s="13">
        <f t="shared" si="3"/>
        <v>72</v>
      </c>
      <c r="P3" s="14">
        <f t="shared" si="4"/>
        <v>0</v>
      </c>
      <c r="Q3" s="15">
        <f t="shared" si="5"/>
        <v>0</v>
      </c>
      <c r="R3" s="14">
        <f t="shared" si="6"/>
        <v>425.04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425.04</v>
      </c>
      <c r="X3" s="19">
        <f t="shared" si="12"/>
        <v>4.53376</v>
      </c>
      <c r="AA3" s="8" t="s">
        <v>30</v>
      </c>
      <c r="AB3" s="3">
        <v>1.265</v>
      </c>
      <c r="AC3" s="20" t="s">
        <v>26</v>
      </c>
    </row>
    <row r="4" ht="15.75" customHeight="1">
      <c r="B4" s="9" t="s">
        <v>27</v>
      </c>
      <c r="C4" s="10">
        <v>12.0</v>
      </c>
      <c r="D4" s="10">
        <v>18.0</v>
      </c>
      <c r="E4" s="10">
        <v>8.0</v>
      </c>
      <c r="F4" s="11"/>
      <c r="G4" s="11" t="b">
        <v>0</v>
      </c>
      <c r="H4" s="12" t="b">
        <v>1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216</v>
      </c>
      <c r="O4" s="13">
        <f t="shared" si="3"/>
        <v>60</v>
      </c>
      <c r="P4" s="14">
        <f t="shared" si="4"/>
        <v>0</v>
      </c>
      <c r="Q4" s="15">
        <f t="shared" si="5"/>
        <v>0</v>
      </c>
      <c r="R4" s="14">
        <f t="shared" si="6"/>
        <v>298.08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298.08</v>
      </c>
      <c r="X4" s="19">
        <f t="shared" si="12"/>
        <v>3.17952</v>
      </c>
      <c r="AA4" s="8" t="s">
        <v>31</v>
      </c>
      <c r="AB4" s="3">
        <v>1.38</v>
      </c>
      <c r="AC4" s="20" t="s">
        <v>26</v>
      </c>
    </row>
    <row r="5" ht="15.75" customHeight="1">
      <c r="B5" s="9" t="s">
        <v>32</v>
      </c>
      <c r="C5" s="10">
        <v>18.0</v>
      </c>
      <c r="D5" s="10">
        <v>10.0</v>
      </c>
      <c r="E5" s="10">
        <v>8.0</v>
      </c>
      <c r="F5" s="21"/>
      <c r="G5" s="11" t="b">
        <v>0</v>
      </c>
      <c r="H5" s="12" t="b">
        <v>1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180</v>
      </c>
      <c r="O5" s="13">
        <f t="shared" si="3"/>
        <v>56</v>
      </c>
      <c r="P5" s="14">
        <f t="shared" si="4"/>
        <v>0</v>
      </c>
      <c r="Q5" s="15">
        <f t="shared" si="5"/>
        <v>0</v>
      </c>
      <c r="R5" s="14">
        <f t="shared" si="6"/>
        <v>248.4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248.4</v>
      </c>
      <c r="X5" s="19">
        <f t="shared" si="12"/>
        <v>2.6496</v>
      </c>
      <c r="AA5" s="8" t="s">
        <v>26</v>
      </c>
      <c r="AB5" s="8" t="s">
        <v>26</v>
      </c>
      <c r="AC5" s="20" t="s">
        <v>26</v>
      </c>
    </row>
    <row r="6" ht="15.75" customHeight="1">
      <c r="B6" s="9" t="s">
        <v>33</v>
      </c>
      <c r="C6" s="10">
        <v>14.0</v>
      </c>
      <c r="D6" s="10">
        <v>17.0</v>
      </c>
      <c r="E6" s="10">
        <v>8.0</v>
      </c>
      <c r="F6" s="21"/>
      <c r="G6" s="11" t="b">
        <v>0</v>
      </c>
      <c r="H6" s="12" t="b">
        <v>1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238</v>
      </c>
      <c r="O6" s="13">
        <f t="shared" si="3"/>
        <v>62</v>
      </c>
      <c r="P6" s="14">
        <f t="shared" si="4"/>
        <v>0</v>
      </c>
      <c r="Q6" s="15">
        <f t="shared" si="5"/>
        <v>0</v>
      </c>
      <c r="R6" s="14">
        <f t="shared" si="6"/>
        <v>328.44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328.44</v>
      </c>
      <c r="X6" s="19">
        <f t="shared" si="12"/>
        <v>3.50336</v>
      </c>
      <c r="AA6" s="8" t="s">
        <v>34</v>
      </c>
      <c r="AB6" s="3" t="s">
        <v>31</v>
      </c>
      <c r="AC6" s="20" t="s">
        <v>26</v>
      </c>
    </row>
    <row r="7" ht="15.75" customHeight="1">
      <c r="B7" s="9" t="s">
        <v>35</v>
      </c>
      <c r="C7" s="11">
        <v>12.0</v>
      </c>
      <c r="D7" s="11">
        <v>15.0</v>
      </c>
      <c r="E7" s="11">
        <v>8.0</v>
      </c>
      <c r="F7" s="21"/>
      <c r="G7" s="11" t="b">
        <v>0</v>
      </c>
      <c r="H7" s="12" t="b">
        <v>1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180</v>
      </c>
      <c r="O7" s="13">
        <f t="shared" si="3"/>
        <v>54</v>
      </c>
      <c r="P7" s="14">
        <f t="shared" si="4"/>
        <v>0</v>
      </c>
      <c r="Q7" s="15">
        <f t="shared" si="5"/>
        <v>0</v>
      </c>
      <c r="R7" s="14">
        <f t="shared" si="6"/>
        <v>248.4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248.4</v>
      </c>
      <c r="X7" s="19">
        <f t="shared" si="12"/>
        <v>2.6496</v>
      </c>
      <c r="AA7" s="8" t="s">
        <v>36</v>
      </c>
      <c r="AB7" s="22">
        <f>IFERROR(VLOOKUP(AB6,AA2:AB4,2,FALSE),0)</f>
        <v>1.38</v>
      </c>
      <c r="AC7" s="20" t="s">
        <v>26</v>
      </c>
    </row>
    <row r="8" ht="15.75" customHeight="1">
      <c r="B8" s="9" t="s">
        <v>37</v>
      </c>
      <c r="C8" s="11">
        <v>7.0</v>
      </c>
      <c r="D8" s="11">
        <v>10.0</v>
      </c>
      <c r="E8" s="11">
        <v>8.0</v>
      </c>
      <c r="F8" s="21"/>
      <c r="G8" s="11" t="b">
        <v>0</v>
      </c>
      <c r="H8" s="12" t="b">
        <v>1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70</v>
      </c>
      <c r="O8" s="13">
        <f t="shared" si="3"/>
        <v>34</v>
      </c>
      <c r="P8" s="14">
        <f t="shared" si="4"/>
        <v>0</v>
      </c>
      <c r="Q8" s="15">
        <f t="shared" si="5"/>
        <v>0</v>
      </c>
      <c r="R8" s="14">
        <f t="shared" si="6"/>
        <v>96.6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96.6</v>
      </c>
      <c r="X8" s="19">
        <f t="shared" si="12"/>
        <v>1.0304</v>
      </c>
      <c r="AA8" s="8" t="s">
        <v>38</v>
      </c>
      <c r="AB8" s="3">
        <v>1.38</v>
      </c>
      <c r="AC8" s="20" t="s">
        <v>26</v>
      </c>
    </row>
    <row r="9" ht="15.75" customHeight="1">
      <c r="B9" s="23" t="s">
        <v>39</v>
      </c>
      <c r="C9" s="11">
        <v>12.0</v>
      </c>
      <c r="D9" s="11">
        <v>14.0</v>
      </c>
      <c r="E9" s="11">
        <v>8.0</v>
      </c>
      <c r="F9" s="21"/>
      <c r="G9" s="11" t="b">
        <v>0</v>
      </c>
      <c r="H9" s="12" t="b">
        <v>1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168</v>
      </c>
      <c r="O9" s="13">
        <f t="shared" si="3"/>
        <v>52</v>
      </c>
      <c r="P9" s="14">
        <f t="shared" si="4"/>
        <v>0</v>
      </c>
      <c r="Q9" s="15">
        <f t="shared" si="5"/>
        <v>0</v>
      </c>
      <c r="R9" s="14">
        <f t="shared" si="6"/>
        <v>231.84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231.84</v>
      </c>
      <c r="X9" s="19">
        <f t="shared" si="12"/>
        <v>2.47296</v>
      </c>
      <c r="AA9" s="8" t="s">
        <v>40</v>
      </c>
      <c r="AB9" s="3">
        <v>103.5</v>
      </c>
      <c r="AC9" s="24" t="s">
        <v>26</v>
      </c>
    </row>
    <row r="10" ht="15.75" customHeight="1">
      <c r="B10" s="23" t="s">
        <v>41</v>
      </c>
      <c r="C10" s="11">
        <v>12.0</v>
      </c>
      <c r="D10" s="11">
        <v>14.0</v>
      </c>
      <c r="E10" s="11">
        <v>8.0</v>
      </c>
      <c r="F10" s="21"/>
      <c r="G10" s="11" t="b">
        <v>0</v>
      </c>
      <c r="H10" s="12" t="b">
        <v>1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168</v>
      </c>
      <c r="O10" s="13">
        <f t="shared" si="3"/>
        <v>52</v>
      </c>
      <c r="P10" s="14">
        <f t="shared" si="4"/>
        <v>0</v>
      </c>
      <c r="Q10" s="15">
        <f t="shared" si="5"/>
        <v>0</v>
      </c>
      <c r="R10" s="14">
        <f t="shared" si="6"/>
        <v>231.84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231.84</v>
      </c>
      <c r="X10" s="19">
        <f t="shared" si="12"/>
        <v>2.47296</v>
      </c>
      <c r="AA10" s="8" t="s">
        <v>42</v>
      </c>
      <c r="AB10" s="8">
        <v>2.3</v>
      </c>
    </row>
    <row r="11" ht="15.75" customHeight="1">
      <c r="B11" s="9" t="s">
        <v>43</v>
      </c>
      <c r="C11" s="11">
        <v>15.0</v>
      </c>
      <c r="D11" s="11">
        <v>25.0</v>
      </c>
      <c r="E11" s="11">
        <v>8.0</v>
      </c>
      <c r="F11" s="21"/>
      <c r="G11" s="11" t="b">
        <v>0</v>
      </c>
      <c r="H11" s="12" t="b">
        <v>1</v>
      </c>
      <c r="I11" s="3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375</v>
      </c>
      <c r="O11" s="13">
        <f t="shared" si="3"/>
        <v>80</v>
      </c>
      <c r="P11" s="14">
        <f t="shared" si="4"/>
        <v>0</v>
      </c>
      <c r="Q11" s="15">
        <f t="shared" si="5"/>
        <v>0</v>
      </c>
      <c r="R11" s="14">
        <f t="shared" si="6"/>
        <v>517.5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517.5</v>
      </c>
      <c r="X11" s="19">
        <f t="shared" si="12"/>
        <v>5.52</v>
      </c>
      <c r="AA11" s="8" t="s">
        <v>44</v>
      </c>
      <c r="AB11" s="3">
        <v>1.265</v>
      </c>
    </row>
    <row r="12" ht="15.75" customHeight="1">
      <c r="B12" s="9" t="s">
        <v>45</v>
      </c>
      <c r="C12" s="11">
        <v>15.0</v>
      </c>
      <c r="D12" s="11">
        <v>12.0</v>
      </c>
      <c r="E12" s="11">
        <v>8.0</v>
      </c>
      <c r="F12" s="21"/>
      <c r="G12" s="11" t="b">
        <v>0</v>
      </c>
      <c r="H12" s="12" t="b">
        <v>1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180</v>
      </c>
      <c r="O12" s="13">
        <f t="shared" si="3"/>
        <v>54</v>
      </c>
      <c r="P12" s="14">
        <f t="shared" si="4"/>
        <v>0</v>
      </c>
      <c r="Q12" s="15">
        <f t="shared" si="5"/>
        <v>0</v>
      </c>
      <c r="R12" s="14">
        <f t="shared" si="6"/>
        <v>248.4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248.4</v>
      </c>
      <c r="X12" s="19">
        <f t="shared" si="12"/>
        <v>2.6496</v>
      </c>
      <c r="AA12" s="8" t="s">
        <v>46</v>
      </c>
      <c r="AB12" s="3">
        <v>8.625</v>
      </c>
    </row>
    <row r="13" ht="21.0" customHeight="1">
      <c r="B13" s="9" t="s">
        <v>47</v>
      </c>
      <c r="C13" s="11">
        <v>15.0</v>
      </c>
      <c r="D13" s="11">
        <v>12.0</v>
      </c>
      <c r="E13" s="11">
        <v>8.0</v>
      </c>
      <c r="F13" s="21"/>
      <c r="G13" s="11" t="b">
        <v>0</v>
      </c>
      <c r="H13" s="12" t="b">
        <v>1</v>
      </c>
      <c r="I13" s="3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180</v>
      </c>
      <c r="O13" s="13">
        <f t="shared" si="3"/>
        <v>54</v>
      </c>
      <c r="P13" s="14">
        <f t="shared" si="4"/>
        <v>0</v>
      </c>
      <c r="Q13" s="15">
        <f t="shared" si="5"/>
        <v>0</v>
      </c>
      <c r="R13" s="14">
        <f t="shared" si="6"/>
        <v>248.4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248.4</v>
      </c>
      <c r="X13" s="19">
        <f t="shared" si="12"/>
        <v>2.6496</v>
      </c>
      <c r="AA13" s="3" t="s">
        <v>48</v>
      </c>
      <c r="AB13" s="3">
        <v>212.75</v>
      </c>
    </row>
    <row r="14" ht="15.75" customHeight="1">
      <c r="B14" s="9" t="s">
        <v>49</v>
      </c>
      <c r="C14" s="11">
        <v>7.0</v>
      </c>
      <c r="D14" s="11">
        <v>10.0</v>
      </c>
      <c r="E14" s="11">
        <v>8.0</v>
      </c>
      <c r="F14" s="21"/>
      <c r="G14" s="11" t="b">
        <v>0</v>
      </c>
      <c r="H14" s="12" t="b">
        <v>1</v>
      </c>
      <c r="I14" s="3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70</v>
      </c>
      <c r="O14" s="13">
        <f t="shared" si="3"/>
        <v>34</v>
      </c>
      <c r="P14" s="14">
        <f t="shared" si="4"/>
        <v>0</v>
      </c>
      <c r="Q14" s="15">
        <f t="shared" si="5"/>
        <v>0</v>
      </c>
      <c r="R14" s="14">
        <f t="shared" si="6"/>
        <v>96.6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96.6</v>
      </c>
      <c r="X14" s="19">
        <f t="shared" si="12"/>
        <v>1.0304</v>
      </c>
    </row>
    <row r="15" ht="15.75" customHeight="1">
      <c r="B15" s="9" t="s">
        <v>50</v>
      </c>
      <c r="C15" s="11">
        <v>9.0</v>
      </c>
      <c r="D15" s="11">
        <v>8.0</v>
      </c>
      <c r="E15" s="11">
        <v>8.0</v>
      </c>
      <c r="F15" s="21"/>
      <c r="G15" s="11" t="b">
        <v>0</v>
      </c>
      <c r="H15" s="12" t="b">
        <v>1</v>
      </c>
      <c r="I15" s="3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72</v>
      </c>
      <c r="O15" s="13">
        <f t="shared" si="3"/>
        <v>34</v>
      </c>
      <c r="P15" s="14">
        <f t="shared" si="4"/>
        <v>0</v>
      </c>
      <c r="Q15" s="15">
        <f t="shared" si="5"/>
        <v>0</v>
      </c>
      <c r="R15" s="14">
        <f t="shared" si="6"/>
        <v>99.36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99.36</v>
      </c>
      <c r="X15" s="19">
        <f t="shared" si="12"/>
        <v>1.05984</v>
      </c>
      <c r="AA15" s="25" t="s">
        <v>51</v>
      </c>
      <c r="AB15" s="26"/>
    </row>
    <row r="16" ht="15.75" customHeight="1">
      <c r="A16" s="27"/>
      <c r="B16" s="9" t="s">
        <v>49</v>
      </c>
      <c r="C16" s="11">
        <v>15.0</v>
      </c>
      <c r="D16" s="11">
        <v>12.0</v>
      </c>
      <c r="E16" s="11">
        <v>8.0</v>
      </c>
      <c r="F16" s="21"/>
      <c r="G16" s="11" t="b">
        <v>0</v>
      </c>
      <c r="H16" s="12" t="b">
        <v>1</v>
      </c>
      <c r="I16" s="3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180</v>
      </c>
      <c r="O16" s="13">
        <f t="shared" si="3"/>
        <v>54</v>
      </c>
      <c r="P16" s="14">
        <f t="shared" si="4"/>
        <v>0</v>
      </c>
      <c r="Q16" s="15">
        <f t="shared" si="5"/>
        <v>0</v>
      </c>
      <c r="R16" s="14">
        <f t="shared" si="6"/>
        <v>248.4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248.4</v>
      </c>
      <c r="X16" s="19">
        <f t="shared" si="12"/>
        <v>2.6496</v>
      </c>
      <c r="AA16" s="28" t="s">
        <v>52</v>
      </c>
      <c r="AB16" s="29">
        <f>SUM(M2:M1000)</f>
        <v>0</v>
      </c>
    </row>
    <row r="17" ht="15.75" customHeight="1">
      <c r="A17" s="21">
        <v>16.0</v>
      </c>
      <c r="B17" s="11" t="s">
        <v>53</v>
      </c>
      <c r="C17" s="11">
        <v>10.0</v>
      </c>
      <c r="D17" s="11">
        <v>10.0</v>
      </c>
      <c r="E17" s="11">
        <v>8.0</v>
      </c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40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3862</v>
      </c>
    </row>
    <row r="18" ht="15.75" customHeight="1">
      <c r="A18" s="21">
        <v>17.0</v>
      </c>
      <c r="B18" s="11" t="s">
        <v>55</v>
      </c>
      <c r="C18" s="11">
        <v>19.0</v>
      </c>
      <c r="D18" s="11">
        <v>23.0</v>
      </c>
      <c r="E18" s="11">
        <v>8.0</v>
      </c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84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11" t="s">
        <v>57</v>
      </c>
      <c r="C19" s="11">
        <v>8.0</v>
      </c>
      <c r="D19" s="11">
        <v>9.0</v>
      </c>
      <c r="E19" s="11">
        <v>8.0</v>
      </c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34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11" t="s">
        <v>59</v>
      </c>
      <c r="C20" s="11">
        <v>37.0</v>
      </c>
      <c r="D20" s="11">
        <v>25.0</v>
      </c>
      <c r="E20" s="11">
        <v>8.0</v>
      </c>
      <c r="F20" s="21"/>
      <c r="G20" s="11" t="b">
        <v>0</v>
      </c>
      <c r="H20" s="12" t="b">
        <v>1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925</v>
      </c>
      <c r="O20" s="13">
        <f t="shared" si="3"/>
        <v>124</v>
      </c>
      <c r="P20" s="14">
        <f t="shared" si="4"/>
        <v>0</v>
      </c>
      <c r="Q20" s="15">
        <f t="shared" si="5"/>
        <v>0</v>
      </c>
      <c r="R20" s="14">
        <f t="shared" si="6"/>
        <v>1276.5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1276.5</v>
      </c>
      <c r="X20" s="19">
        <f t="shared" si="12"/>
        <v>13.616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11.03428571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14.53428571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0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5329.56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0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0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56.84864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9" t="s">
        <v>86</v>
      </c>
      <c r="C2" s="10">
        <v>15.0</v>
      </c>
      <c r="D2" s="10">
        <v>11.0</v>
      </c>
      <c r="E2" s="10">
        <v>8.0</v>
      </c>
      <c r="F2" s="11"/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416</v>
      </c>
      <c r="N2" s="13">
        <f t="shared" ref="N2:N49" si="2">IF(H2,C2*D2,0)</f>
        <v>165</v>
      </c>
      <c r="O2" s="13">
        <f t="shared" ref="O2:O49" si="3">(C2+D2)*2</f>
        <v>52</v>
      </c>
      <c r="P2" s="14">
        <f t="shared" ref="P2:P49" si="4">M2*$AB$7</f>
        <v>499.2</v>
      </c>
      <c r="Q2" s="15">
        <f t="shared" ref="Q2:Q1000" si="5">IFERROR(P2*0.35,0)</f>
        <v>174.72</v>
      </c>
      <c r="R2" s="14">
        <f t="shared" ref="R2:R49" si="6">N2*$AB$8</f>
        <v>198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104</v>
      </c>
      <c r="V2" s="14">
        <f t="shared" ref="V2:V49" si="10">IF(J2,O2*$AB$11,0)</f>
        <v>0</v>
      </c>
      <c r="W2" s="14">
        <f t="shared" ref="W2:W1000" si="11">SUM(P2,R2:V2)</f>
        <v>801.2</v>
      </c>
      <c r="X2" s="16">
        <f t="shared" ref="X2:X1000" si="12">IFERROR((W2*$AB$47)/$AB$48,0)</f>
        <v>8.546133333</v>
      </c>
      <c r="AA2" s="18" t="s">
        <v>28</v>
      </c>
      <c r="AB2" s="1">
        <v>1.0</v>
      </c>
      <c r="AC2" s="2" t="s">
        <v>26</v>
      </c>
    </row>
    <row r="3" ht="15.75" customHeight="1">
      <c r="B3" s="9" t="s">
        <v>87</v>
      </c>
      <c r="C3" s="10">
        <v>12.0</v>
      </c>
      <c r="D3" s="10">
        <v>9.0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336</v>
      </c>
      <c r="N3" s="13">
        <f t="shared" si="2"/>
        <v>108</v>
      </c>
      <c r="O3" s="13">
        <f t="shared" si="3"/>
        <v>42</v>
      </c>
      <c r="P3" s="14">
        <f t="shared" si="4"/>
        <v>403.2</v>
      </c>
      <c r="Q3" s="15">
        <f t="shared" si="5"/>
        <v>141.12</v>
      </c>
      <c r="R3" s="14">
        <f t="shared" si="6"/>
        <v>129.6</v>
      </c>
      <c r="S3" s="14">
        <f t="shared" si="7"/>
        <v>0</v>
      </c>
      <c r="T3" s="14">
        <f t="shared" si="8"/>
        <v>0</v>
      </c>
      <c r="U3" s="14">
        <f t="shared" si="9"/>
        <v>84</v>
      </c>
      <c r="V3" s="14">
        <f t="shared" si="10"/>
        <v>0</v>
      </c>
      <c r="W3" s="14">
        <f t="shared" si="11"/>
        <v>616.8</v>
      </c>
      <c r="X3" s="19">
        <f t="shared" si="12"/>
        <v>6.5792</v>
      </c>
      <c r="AA3" s="8" t="s">
        <v>30</v>
      </c>
      <c r="AB3" s="3">
        <v>1.1</v>
      </c>
      <c r="AC3" s="20" t="s">
        <v>26</v>
      </c>
    </row>
    <row r="4" ht="15.75" customHeight="1">
      <c r="B4" s="9" t="s">
        <v>88</v>
      </c>
      <c r="C4" s="10">
        <v>18.0</v>
      </c>
      <c r="D4" s="10">
        <v>13.0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496</v>
      </c>
      <c r="N4" s="13">
        <f t="shared" si="2"/>
        <v>234</v>
      </c>
      <c r="O4" s="13">
        <f t="shared" si="3"/>
        <v>62</v>
      </c>
      <c r="P4" s="14">
        <f t="shared" si="4"/>
        <v>595.2</v>
      </c>
      <c r="Q4" s="15">
        <f t="shared" si="5"/>
        <v>208.32</v>
      </c>
      <c r="R4" s="14">
        <f t="shared" si="6"/>
        <v>280.8</v>
      </c>
      <c r="S4" s="14">
        <f t="shared" si="7"/>
        <v>0</v>
      </c>
      <c r="T4" s="14">
        <f t="shared" si="8"/>
        <v>0</v>
      </c>
      <c r="U4" s="14">
        <f t="shared" si="9"/>
        <v>124</v>
      </c>
      <c r="V4" s="14">
        <f t="shared" si="10"/>
        <v>0</v>
      </c>
      <c r="W4" s="14">
        <f t="shared" si="11"/>
        <v>1000</v>
      </c>
      <c r="X4" s="19">
        <f t="shared" si="12"/>
        <v>10.66666667</v>
      </c>
      <c r="AA4" s="8" t="s">
        <v>31</v>
      </c>
      <c r="AB4" s="3">
        <v>1.2</v>
      </c>
      <c r="AC4" s="20" t="s">
        <v>26</v>
      </c>
    </row>
    <row r="5" ht="15.75" customHeight="1">
      <c r="B5" s="9" t="s">
        <v>89</v>
      </c>
      <c r="C5" s="10">
        <v>11.0</v>
      </c>
      <c r="D5" s="10">
        <v>5.0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256</v>
      </c>
      <c r="N5" s="13">
        <f t="shared" si="2"/>
        <v>0</v>
      </c>
      <c r="O5" s="13">
        <f t="shared" si="3"/>
        <v>32</v>
      </c>
      <c r="P5" s="14">
        <f t="shared" si="4"/>
        <v>307.2</v>
      </c>
      <c r="Q5" s="15">
        <f t="shared" si="5"/>
        <v>107.52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64</v>
      </c>
      <c r="V5" s="14">
        <f t="shared" si="10"/>
        <v>0</v>
      </c>
      <c r="W5" s="14">
        <f t="shared" si="11"/>
        <v>371.2</v>
      </c>
      <c r="X5" s="19">
        <f t="shared" si="12"/>
        <v>3.959466667</v>
      </c>
      <c r="AA5" s="8" t="s">
        <v>26</v>
      </c>
      <c r="AB5" s="8" t="s">
        <v>26</v>
      </c>
      <c r="AC5" s="20" t="s">
        <v>26</v>
      </c>
    </row>
    <row r="6" ht="15.75" customHeight="1">
      <c r="B6" s="9" t="s">
        <v>90</v>
      </c>
      <c r="C6" s="10">
        <v>11.0</v>
      </c>
      <c r="D6" s="10">
        <v>8.0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304</v>
      </c>
      <c r="N6" s="13">
        <f t="shared" si="2"/>
        <v>0</v>
      </c>
      <c r="O6" s="13">
        <f t="shared" si="3"/>
        <v>38</v>
      </c>
      <c r="P6" s="14">
        <f t="shared" si="4"/>
        <v>364.8</v>
      </c>
      <c r="Q6" s="15">
        <f t="shared" si="5"/>
        <v>127.68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76</v>
      </c>
      <c r="V6" s="14">
        <f t="shared" si="10"/>
        <v>0</v>
      </c>
      <c r="W6" s="14">
        <f t="shared" si="11"/>
        <v>440.8</v>
      </c>
      <c r="X6" s="19">
        <f t="shared" si="12"/>
        <v>4.701866667</v>
      </c>
      <c r="AA6" s="8" t="s">
        <v>34</v>
      </c>
      <c r="AB6" s="3" t="s">
        <v>31</v>
      </c>
      <c r="AC6" s="20" t="s">
        <v>26</v>
      </c>
    </row>
    <row r="7" ht="15.75" customHeight="1">
      <c r="B7" s="9" t="s">
        <v>91</v>
      </c>
      <c r="C7" s="11">
        <v>12.0</v>
      </c>
      <c r="D7" s="11">
        <v>9.0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336</v>
      </c>
      <c r="N7" s="13">
        <f t="shared" si="2"/>
        <v>0</v>
      </c>
      <c r="O7" s="13">
        <f t="shared" si="3"/>
        <v>42</v>
      </c>
      <c r="P7" s="14">
        <f t="shared" si="4"/>
        <v>403.2</v>
      </c>
      <c r="Q7" s="15">
        <f t="shared" si="5"/>
        <v>141.12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84</v>
      </c>
      <c r="V7" s="14">
        <f t="shared" si="10"/>
        <v>0</v>
      </c>
      <c r="W7" s="14">
        <f t="shared" si="11"/>
        <v>487.2</v>
      </c>
      <c r="X7" s="19">
        <f t="shared" si="12"/>
        <v>5.1968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B8" s="9" t="s">
        <v>92</v>
      </c>
      <c r="C8" s="11">
        <v>15.0</v>
      </c>
      <c r="D8" s="11">
        <v>11.0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416</v>
      </c>
      <c r="N8" s="13">
        <f t="shared" si="2"/>
        <v>0</v>
      </c>
      <c r="O8" s="13">
        <f t="shared" si="3"/>
        <v>52</v>
      </c>
      <c r="P8" s="14">
        <f t="shared" si="4"/>
        <v>499.2</v>
      </c>
      <c r="Q8" s="15">
        <f t="shared" si="5"/>
        <v>174.72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104</v>
      </c>
      <c r="V8" s="14">
        <f t="shared" si="10"/>
        <v>0</v>
      </c>
      <c r="W8" s="14">
        <f t="shared" si="11"/>
        <v>603.2</v>
      </c>
      <c r="X8" s="19">
        <f t="shared" si="12"/>
        <v>6.434133333</v>
      </c>
      <c r="AA8" s="8" t="s">
        <v>38</v>
      </c>
      <c r="AB8" s="3">
        <v>1.2</v>
      </c>
      <c r="AC8" s="20" t="s">
        <v>26</v>
      </c>
    </row>
    <row r="9" ht="15.75" customHeight="1">
      <c r="B9" s="9" t="s">
        <v>93</v>
      </c>
      <c r="C9" s="11">
        <v>5.0</v>
      </c>
      <c r="D9" s="11">
        <v>6.0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176</v>
      </c>
      <c r="N9" s="13">
        <f t="shared" si="2"/>
        <v>0</v>
      </c>
      <c r="O9" s="13">
        <f t="shared" si="3"/>
        <v>22</v>
      </c>
      <c r="P9" s="14">
        <f t="shared" si="4"/>
        <v>211.2</v>
      </c>
      <c r="Q9" s="15">
        <f t="shared" si="5"/>
        <v>73.92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44</v>
      </c>
      <c r="V9" s="14">
        <f t="shared" si="10"/>
        <v>0</v>
      </c>
      <c r="W9" s="14">
        <f t="shared" si="11"/>
        <v>255.2</v>
      </c>
      <c r="X9" s="19">
        <f t="shared" si="12"/>
        <v>2.722133333</v>
      </c>
      <c r="AA9" s="8" t="s">
        <v>40</v>
      </c>
      <c r="AB9" s="3">
        <v>90.0</v>
      </c>
      <c r="AC9" s="24" t="s">
        <v>26</v>
      </c>
    </row>
    <row r="10" ht="15.75" customHeight="1">
      <c r="B10" s="9" t="s">
        <v>94</v>
      </c>
      <c r="C10" s="11">
        <v>13.0</v>
      </c>
      <c r="D10" s="11">
        <v>11.0</v>
      </c>
      <c r="E10" s="11">
        <v>17.0</v>
      </c>
      <c r="F10" s="21"/>
      <c r="G10" s="1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816</v>
      </c>
      <c r="N10" s="13">
        <f t="shared" si="2"/>
        <v>0</v>
      </c>
      <c r="O10" s="13">
        <f t="shared" si="3"/>
        <v>48</v>
      </c>
      <c r="P10" s="14">
        <f t="shared" si="4"/>
        <v>979.2</v>
      </c>
      <c r="Q10" s="15">
        <f t="shared" si="5"/>
        <v>342.72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96</v>
      </c>
      <c r="V10" s="14">
        <f t="shared" si="10"/>
        <v>0</v>
      </c>
      <c r="W10" s="14">
        <f t="shared" si="11"/>
        <v>1075.2</v>
      </c>
      <c r="X10" s="19">
        <f t="shared" si="12"/>
        <v>11.4688</v>
      </c>
      <c r="AA10" s="8" t="s">
        <v>42</v>
      </c>
      <c r="AB10" s="8">
        <v>2.0</v>
      </c>
    </row>
    <row r="11" ht="15.75" customHeight="1">
      <c r="B11" s="9" t="s">
        <v>95</v>
      </c>
      <c r="C11" s="11">
        <v>6.0</v>
      </c>
      <c r="D11" s="11">
        <v>3.0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144</v>
      </c>
      <c r="N11" s="13">
        <f t="shared" si="2"/>
        <v>0</v>
      </c>
      <c r="O11" s="13">
        <f t="shared" si="3"/>
        <v>18</v>
      </c>
      <c r="P11" s="14">
        <f t="shared" si="4"/>
        <v>172.8</v>
      </c>
      <c r="Q11" s="15">
        <f t="shared" si="5"/>
        <v>60.48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36</v>
      </c>
      <c r="V11" s="14">
        <f t="shared" si="10"/>
        <v>0</v>
      </c>
      <c r="W11" s="14">
        <f t="shared" si="11"/>
        <v>208.8</v>
      </c>
      <c r="X11" s="19">
        <f t="shared" si="12"/>
        <v>2.2272</v>
      </c>
      <c r="AA11" s="8" t="s">
        <v>44</v>
      </c>
      <c r="AB11" s="3">
        <v>1.1</v>
      </c>
    </row>
    <row r="12" ht="15.75" customHeight="1">
      <c r="B12" s="9" t="s">
        <v>95</v>
      </c>
      <c r="C12" s="11">
        <v>8.0</v>
      </c>
      <c r="D12" s="11">
        <v>3.0</v>
      </c>
      <c r="E12" s="11">
        <v>8.0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176</v>
      </c>
      <c r="N12" s="13">
        <f t="shared" si="2"/>
        <v>0</v>
      </c>
      <c r="O12" s="13">
        <f t="shared" si="3"/>
        <v>22</v>
      </c>
      <c r="P12" s="14">
        <f t="shared" si="4"/>
        <v>211.2</v>
      </c>
      <c r="Q12" s="15">
        <f t="shared" si="5"/>
        <v>73.92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44</v>
      </c>
      <c r="V12" s="14">
        <f t="shared" si="10"/>
        <v>0</v>
      </c>
      <c r="W12" s="14">
        <f t="shared" si="11"/>
        <v>255.2</v>
      </c>
      <c r="X12" s="19">
        <f t="shared" si="12"/>
        <v>2.722133333</v>
      </c>
      <c r="AA12" s="8" t="s">
        <v>46</v>
      </c>
      <c r="AB12" s="3">
        <v>8.0</v>
      </c>
    </row>
    <row r="13" ht="21.0" customHeight="1">
      <c r="B13" s="9" t="s">
        <v>95</v>
      </c>
      <c r="C13" s="11">
        <v>8.0</v>
      </c>
      <c r="D13" s="11">
        <v>3.0</v>
      </c>
      <c r="E13" s="11">
        <v>8.0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176</v>
      </c>
      <c r="N13" s="13">
        <f t="shared" si="2"/>
        <v>0</v>
      </c>
      <c r="O13" s="13">
        <f t="shared" si="3"/>
        <v>22</v>
      </c>
      <c r="P13" s="14">
        <f t="shared" si="4"/>
        <v>211.2</v>
      </c>
      <c r="Q13" s="15">
        <f t="shared" si="5"/>
        <v>73.92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44</v>
      </c>
      <c r="V13" s="14">
        <f t="shared" si="10"/>
        <v>0</v>
      </c>
      <c r="W13" s="14">
        <f t="shared" si="11"/>
        <v>255.2</v>
      </c>
      <c r="X13" s="19">
        <f t="shared" si="12"/>
        <v>2.722133333</v>
      </c>
      <c r="AA13" s="3" t="s">
        <v>48</v>
      </c>
      <c r="AB13" s="3">
        <v>185.0</v>
      </c>
    </row>
    <row r="14" ht="15.75" customHeight="1">
      <c r="B14" s="9" t="s">
        <v>96</v>
      </c>
      <c r="C14" s="11">
        <v>20.0</v>
      </c>
      <c r="D14" s="11">
        <v>11.0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496</v>
      </c>
      <c r="N14" s="13">
        <f t="shared" si="2"/>
        <v>0</v>
      </c>
      <c r="O14" s="13">
        <f t="shared" si="3"/>
        <v>62</v>
      </c>
      <c r="P14" s="14">
        <f t="shared" si="4"/>
        <v>595.2</v>
      </c>
      <c r="Q14" s="15">
        <f t="shared" si="5"/>
        <v>208.32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124</v>
      </c>
      <c r="V14" s="14">
        <f t="shared" si="10"/>
        <v>0</v>
      </c>
      <c r="W14" s="14">
        <f t="shared" si="11"/>
        <v>719.2</v>
      </c>
      <c r="X14" s="19">
        <f t="shared" si="12"/>
        <v>7.671466667</v>
      </c>
    </row>
    <row r="15" ht="15.75" customHeight="1">
      <c r="B15" s="9" t="s">
        <v>97</v>
      </c>
      <c r="C15" s="11">
        <v>18.0</v>
      </c>
      <c r="D15" s="11">
        <v>5.0</v>
      </c>
      <c r="E15" s="11">
        <v>8.0</v>
      </c>
      <c r="F15" s="21"/>
      <c r="G15" s="11" t="b">
        <v>1</v>
      </c>
      <c r="H15" s="12" t="b">
        <v>0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368</v>
      </c>
      <c r="N15" s="13">
        <f t="shared" si="2"/>
        <v>0</v>
      </c>
      <c r="O15" s="13">
        <f t="shared" si="3"/>
        <v>46</v>
      </c>
      <c r="P15" s="14">
        <f t="shared" si="4"/>
        <v>441.6</v>
      </c>
      <c r="Q15" s="15">
        <f t="shared" si="5"/>
        <v>154.56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92</v>
      </c>
      <c r="V15" s="14">
        <f t="shared" si="10"/>
        <v>0</v>
      </c>
      <c r="W15" s="14">
        <f t="shared" si="11"/>
        <v>533.6</v>
      </c>
      <c r="X15" s="19">
        <f t="shared" si="12"/>
        <v>5.691733333</v>
      </c>
      <c r="AA15" s="25" t="s">
        <v>51</v>
      </c>
      <c r="AB15" s="26"/>
    </row>
    <row r="16" ht="15.75" customHeight="1">
      <c r="A16" s="27"/>
      <c r="B16" s="9" t="s">
        <v>98</v>
      </c>
      <c r="C16" s="11">
        <v>5.0</v>
      </c>
      <c r="D16" s="11">
        <v>5.0</v>
      </c>
      <c r="E16" s="11">
        <v>8.0</v>
      </c>
      <c r="F16" s="21"/>
      <c r="G16" s="11" t="b">
        <v>1</v>
      </c>
      <c r="H16" s="12" t="b">
        <v>0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160</v>
      </c>
      <c r="N16" s="13">
        <f t="shared" si="2"/>
        <v>0</v>
      </c>
      <c r="O16" s="13">
        <f t="shared" si="3"/>
        <v>20</v>
      </c>
      <c r="P16" s="14">
        <f t="shared" si="4"/>
        <v>192</v>
      </c>
      <c r="Q16" s="15">
        <f t="shared" si="5"/>
        <v>67.2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40</v>
      </c>
      <c r="V16" s="14">
        <f t="shared" si="10"/>
        <v>0</v>
      </c>
      <c r="W16" s="14">
        <f t="shared" si="11"/>
        <v>232</v>
      </c>
      <c r="X16" s="19">
        <f t="shared" si="12"/>
        <v>2.474666667</v>
      </c>
      <c r="AA16" s="28" t="s">
        <v>52</v>
      </c>
      <c r="AB16" s="29">
        <f>SUM(M2:M1000)</f>
        <v>5808</v>
      </c>
    </row>
    <row r="17" ht="15.75" customHeight="1">
      <c r="A17" s="21">
        <v>16.0</v>
      </c>
      <c r="B17" s="11" t="s">
        <v>99</v>
      </c>
      <c r="C17" s="11">
        <v>8.0</v>
      </c>
      <c r="D17" s="11">
        <v>8.0</v>
      </c>
      <c r="E17" s="11">
        <v>8.0</v>
      </c>
      <c r="F17" s="21"/>
      <c r="G17" s="11" t="b">
        <v>1</v>
      </c>
      <c r="H17" s="12" t="b">
        <v>0</v>
      </c>
      <c r="I17" s="3" t="b">
        <v>0</v>
      </c>
      <c r="J17" s="3" t="b">
        <v>0</v>
      </c>
      <c r="K17" s="3" t="b">
        <v>1</v>
      </c>
      <c r="L17" s="8">
        <v>1.0</v>
      </c>
      <c r="M17" s="13">
        <f t="shared" si="1"/>
        <v>256</v>
      </c>
      <c r="N17" s="13">
        <f t="shared" si="2"/>
        <v>0</v>
      </c>
      <c r="O17" s="13">
        <f t="shared" si="3"/>
        <v>32</v>
      </c>
      <c r="P17" s="14">
        <f t="shared" si="4"/>
        <v>307.2</v>
      </c>
      <c r="Q17" s="15">
        <f t="shared" si="5"/>
        <v>107.52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64</v>
      </c>
      <c r="V17" s="14">
        <f t="shared" si="10"/>
        <v>0</v>
      </c>
      <c r="W17" s="14">
        <f t="shared" si="11"/>
        <v>371.2</v>
      </c>
      <c r="X17" s="19">
        <f t="shared" si="12"/>
        <v>3.959466667</v>
      </c>
      <c r="AA17" s="28" t="s">
        <v>54</v>
      </c>
      <c r="AB17" s="29">
        <f>SUM(N2:N1000)</f>
        <v>507</v>
      </c>
    </row>
    <row r="18" ht="15.75" customHeight="1">
      <c r="A18" s="21">
        <v>17.0</v>
      </c>
      <c r="B18" s="11" t="s">
        <v>100</v>
      </c>
      <c r="C18" s="11">
        <v>18.0</v>
      </c>
      <c r="D18" s="11">
        <v>12.0</v>
      </c>
      <c r="E18" s="11">
        <v>8.0</v>
      </c>
      <c r="F18" s="21"/>
      <c r="G18" s="11" t="b">
        <v>1</v>
      </c>
      <c r="H18" s="12" t="b">
        <v>0</v>
      </c>
      <c r="I18" s="3" t="b">
        <v>0</v>
      </c>
      <c r="J18" s="3" t="b">
        <v>0</v>
      </c>
      <c r="K18" s="3" t="b">
        <v>1</v>
      </c>
      <c r="L18" s="8">
        <v>1.0</v>
      </c>
      <c r="M18" s="13">
        <f t="shared" si="1"/>
        <v>480</v>
      </c>
      <c r="N18" s="13">
        <f t="shared" si="2"/>
        <v>0</v>
      </c>
      <c r="O18" s="13">
        <f t="shared" si="3"/>
        <v>60</v>
      </c>
      <c r="P18" s="14">
        <f t="shared" si="4"/>
        <v>576</v>
      </c>
      <c r="Q18" s="15">
        <f t="shared" si="5"/>
        <v>201.6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120</v>
      </c>
      <c r="V18" s="14">
        <f t="shared" si="10"/>
        <v>0</v>
      </c>
      <c r="W18" s="14">
        <f t="shared" si="11"/>
        <v>696</v>
      </c>
      <c r="X18" s="19">
        <f t="shared" si="12"/>
        <v>7.424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672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1.448571429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4.948571429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17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6969.6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608.4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1344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2439.36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74.3424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6.4896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14.336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23" t="s">
        <v>101</v>
      </c>
      <c r="C2" s="10">
        <v>4.0</v>
      </c>
      <c r="D2" s="10">
        <v>3.0</v>
      </c>
      <c r="E2" s="10">
        <v>8.0</v>
      </c>
      <c r="F2" s="11"/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3" si="1">IF(G2,(C2*E2*2)+(D2*E2*2),0)</f>
        <v>112</v>
      </c>
      <c r="N2" s="13">
        <f t="shared" ref="N2:N3" si="2">IF(H2,C2*D2,0)</f>
        <v>12</v>
      </c>
      <c r="O2" s="13">
        <f t="shared" ref="O2:O3" si="3">(C2+D2)*2</f>
        <v>14</v>
      </c>
      <c r="P2" s="14">
        <f t="shared" ref="P2:P3" si="4">M2*$AB$8</f>
        <v>134.4</v>
      </c>
      <c r="Q2" s="15">
        <f t="shared" ref="Q2:Q3" si="5">IFERROR(P2*0.35,0)</f>
        <v>47.04</v>
      </c>
      <c r="R2" s="14">
        <f t="shared" ref="R2:R50" si="6">N2*$AB$9</f>
        <v>14.4</v>
      </c>
      <c r="S2" s="14">
        <f t="shared" ref="S2:S3" si="7">IF(I2,C2*D2*$AB$13,0)</f>
        <v>0</v>
      </c>
      <c r="T2" s="14">
        <f t="shared" ref="T2:T3" si="8">F2*$AB$10</f>
        <v>0</v>
      </c>
      <c r="U2" s="14">
        <f t="shared" ref="U2:U3" si="9">IF(K2,IF(L2&gt;0,O2*$AB$11*L2,0),0)</f>
        <v>28</v>
      </c>
      <c r="V2" s="14">
        <f t="shared" ref="V2:V3" si="10">IF(J2,O2*$AB$12,0)</f>
        <v>0</v>
      </c>
      <c r="W2" s="14">
        <f t="shared" ref="W2:W3" si="11">SUM(P2,R2:V2)</f>
        <v>176.8</v>
      </c>
      <c r="X2" s="16">
        <f t="shared" ref="X2:X3" si="12">IFERROR((W2*$AB$48)/$AB$49,0)</f>
        <v>1.885866667</v>
      </c>
      <c r="AA2" s="18" t="s">
        <v>28</v>
      </c>
      <c r="AB2" s="1">
        <v>1.0</v>
      </c>
      <c r="AC2" s="2" t="s">
        <v>26</v>
      </c>
    </row>
    <row r="3" ht="15.75" customHeight="1">
      <c r="B3" s="23" t="s">
        <v>102</v>
      </c>
      <c r="C3" s="10">
        <v>12.0</v>
      </c>
      <c r="D3" s="10">
        <v>7.0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304</v>
      </c>
      <c r="N3" s="13">
        <f t="shared" si="2"/>
        <v>84</v>
      </c>
      <c r="O3" s="13">
        <f t="shared" si="3"/>
        <v>38</v>
      </c>
      <c r="P3" s="14">
        <f t="shared" si="4"/>
        <v>364.8</v>
      </c>
      <c r="Q3" s="15">
        <f t="shared" si="5"/>
        <v>127.68</v>
      </c>
      <c r="R3" s="14">
        <f t="shared" si="6"/>
        <v>100.8</v>
      </c>
      <c r="S3" s="14">
        <f t="shared" si="7"/>
        <v>0</v>
      </c>
      <c r="T3" s="14">
        <f t="shared" si="8"/>
        <v>0</v>
      </c>
      <c r="U3" s="14">
        <f t="shared" si="9"/>
        <v>76</v>
      </c>
      <c r="V3" s="14">
        <f t="shared" si="10"/>
        <v>0</v>
      </c>
      <c r="W3" s="14">
        <f t="shared" si="11"/>
        <v>541.6</v>
      </c>
      <c r="X3" s="19">
        <f t="shared" si="12"/>
        <v>5.777066667</v>
      </c>
      <c r="AA3" s="8" t="s">
        <v>30</v>
      </c>
      <c r="AB3" s="3">
        <v>1.1</v>
      </c>
      <c r="AC3" s="20" t="s">
        <v>26</v>
      </c>
    </row>
    <row r="4" ht="15.75" customHeight="1">
      <c r="B4" s="9" t="s">
        <v>103</v>
      </c>
      <c r="C4" s="10">
        <v>4.0</v>
      </c>
      <c r="D4" s="10">
        <v>3.0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3">
        <v>1.0</v>
      </c>
      <c r="M4" s="13">
        <f>IF(G4,(C4*E4*2)+(D4*E4*2),0)</f>
        <v>112</v>
      </c>
      <c r="N4" s="13">
        <f>N5</f>
        <v>57</v>
      </c>
      <c r="O4" s="13">
        <f>(C4+D4)*2</f>
        <v>14</v>
      </c>
      <c r="P4" s="14">
        <f t="shared" ref="P4:Q4" si="13">M4*O4</f>
        <v>1568</v>
      </c>
      <c r="Q4" s="15">
        <f t="shared" si="13"/>
        <v>89376</v>
      </c>
      <c r="R4" s="14">
        <f t="shared" si="6"/>
        <v>68.4</v>
      </c>
      <c r="S4" s="14">
        <f t="shared" ref="S4:T4" si="14">P4*R4</f>
        <v>107251.2</v>
      </c>
      <c r="T4" s="14">
        <f t="shared" si="14"/>
        <v>9585683251</v>
      </c>
      <c r="U4" s="14"/>
      <c r="V4" s="14"/>
      <c r="W4" s="14"/>
      <c r="X4" s="19"/>
      <c r="AA4" s="8"/>
      <c r="AB4" s="3"/>
      <c r="AC4" s="20"/>
    </row>
    <row r="5" ht="15.75" customHeight="1">
      <c r="B5" s="23" t="s">
        <v>104</v>
      </c>
      <c r="C5" s="10">
        <v>19.0</v>
      </c>
      <c r="D5" s="10">
        <v>3.0</v>
      </c>
      <c r="E5" s="10">
        <v>8.0</v>
      </c>
      <c r="F5" s="11"/>
      <c r="G5" s="11" t="b">
        <v>1</v>
      </c>
      <c r="H5" s="12" t="b">
        <v>1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ref="M5:M50" si="15">IF(G5,(C5*E5*2)+(D5*E5*2),0)</f>
        <v>352</v>
      </c>
      <c r="N5" s="13">
        <f t="shared" ref="N5:N50" si="16">IF(H5,C5*D5,0)</f>
        <v>57</v>
      </c>
      <c r="O5" s="13">
        <f t="shared" ref="O5:O50" si="17">(C5+D5)*2</f>
        <v>44</v>
      </c>
      <c r="P5" s="14">
        <f t="shared" ref="P5:P50" si="18">M5*$AB$8</f>
        <v>422.4</v>
      </c>
      <c r="Q5" s="15">
        <f t="shared" ref="Q5:Q1001" si="19">IFERROR(P5*0.35,0)</f>
        <v>147.84</v>
      </c>
      <c r="R5" s="14">
        <f t="shared" si="6"/>
        <v>68.4</v>
      </c>
      <c r="S5" s="14">
        <f t="shared" ref="S5:S50" si="20">IF(I5,C5*D5*$AB$13,0)</f>
        <v>0</v>
      </c>
      <c r="T5" s="14">
        <f t="shared" ref="T5:T50" si="21">F5*$AB$10</f>
        <v>0</v>
      </c>
      <c r="U5" s="14">
        <f t="shared" ref="U5:U50" si="22">IF(K5,IF(L5&gt;0,O5*$AB$11*L5,0),0)</f>
        <v>88</v>
      </c>
      <c r="V5" s="14">
        <f t="shared" ref="V5:V50" si="23">IF(J5,O5*$AB$12,0)</f>
        <v>0</v>
      </c>
      <c r="W5" s="14">
        <f t="shared" ref="W5:W1001" si="24">SUM(P5,R5:V5)</f>
        <v>578.8</v>
      </c>
      <c r="X5" s="19">
        <f t="shared" ref="X5:X1001" si="25">IFERROR((W5*$AB$48)/$AB$49,0)</f>
        <v>6.173866667</v>
      </c>
      <c r="AA5" s="8" t="s">
        <v>31</v>
      </c>
      <c r="AB5" s="3">
        <v>1.2</v>
      </c>
      <c r="AC5" s="20" t="s">
        <v>26</v>
      </c>
    </row>
    <row r="6" ht="15.75" customHeight="1">
      <c r="B6" s="23" t="s">
        <v>105</v>
      </c>
      <c r="C6" s="10">
        <v>8.0</v>
      </c>
      <c r="D6" s="10">
        <v>4.0</v>
      </c>
      <c r="E6" s="10">
        <v>8.0</v>
      </c>
      <c r="F6" s="21"/>
      <c r="G6" s="11" t="b">
        <v>1</v>
      </c>
      <c r="H6" s="12" t="b">
        <v>1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5"/>
        <v>192</v>
      </c>
      <c r="N6" s="13">
        <f t="shared" si="16"/>
        <v>32</v>
      </c>
      <c r="O6" s="13">
        <f t="shared" si="17"/>
        <v>24</v>
      </c>
      <c r="P6" s="14">
        <f t="shared" si="18"/>
        <v>230.4</v>
      </c>
      <c r="Q6" s="15">
        <f t="shared" si="19"/>
        <v>80.64</v>
      </c>
      <c r="R6" s="14">
        <f t="shared" si="6"/>
        <v>38.4</v>
      </c>
      <c r="S6" s="14">
        <f t="shared" si="20"/>
        <v>0</v>
      </c>
      <c r="T6" s="14">
        <f t="shared" si="21"/>
        <v>0</v>
      </c>
      <c r="U6" s="14">
        <f t="shared" si="22"/>
        <v>48</v>
      </c>
      <c r="V6" s="14">
        <f t="shared" si="23"/>
        <v>0</v>
      </c>
      <c r="W6" s="14">
        <f t="shared" si="24"/>
        <v>316.8</v>
      </c>
      <c r="X6" s="19">
        <f t="shared" si="25"/>
        <v>3.3792</v>
      </c>
      <c r="AA6" s="8" t="s">
        <v>26</v>
      </c>
      <c r="AB6" s="8" t="s">
        <v>26</v>
      </c>
      <c r="AC6" s="20" t="s">
        <v>26</v>
      </c>
    </row>
    <row r="7" ht="15.75" customHeight="1">
      <c r="B7" s="23" t="s">
        <v>106</v>
      </c>
      <c r="C7" s="10">
        <v>10.0</v>
      </c>
      <c r="D7" s="10">
        <v>11.0</v>
      </c>
      <c r="E7" s="10">
        <v>8.0</v>
      </c>
      <c r="F7" s="21"/>
      <c r="G7" s="11" t="b">
        <v>1</v>
      </c>
      <c r="H7" s="12" t="b">
        <v>1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5"/>
        <v>336</v>
      </c>
      <c r="N7" s="13">
        <f t="shared" si="16"/>
        <v>110</v>
      </c>
      <c r="O7" s="13">
        <f t="shared" si="17"/>
        <v>42</v>
      </c>
      <c r="P7" s="14">
        <f t="shared" si="18"/>
        <v>403.2</v>
      </c>
      <c r="Q7" s="15">
        <f t="shared" si="19"/>
        <v>141.12</v>
      </c>
      <c r="R7" s="14">
        <f t="shared" si="6"/>
        <v>132</v>
      </c>
      <c r="S7" s="14">
        <f t="shared" si="20"/>
        <v>0</v>
      </c>
      <c r="T7" s="14">
        <f t="shared" si="21"/>
        <v>0</v>
      </c>
      <c r="U7" s="14">
        <f t="shared" si="22"/>
        <v>84</v>
      </c>
      <c r="V7" s="14">
        <f t="shared" si="23"/>
        <v>0</v>
      </c>
      <c r="W7" s="14">
        <f t="shared" si="24"/>
        <v>619.2</v>
      </c>
      <c r="X7" s="19">
        <f t="shared" si="25"/>
        <v>6.6048</v>
      </c>
      <c r="AA7" s="8" t="s">
        <v>34</v>
      </c>
      <c r="AB7" s="3" t="s">
        <v>31</v>
      </c>
      <c r="AC7" s="20" t="s">
        <v>26</v>
      </c>
    </row>
    <row r="8" ht="15.75" customHeight="1">
      <c r="B8" s="23" t="s">
        <v>107</v>
      </c>
      <c r="C8" s="11">
        <v>14.0</v>
      </c>
      <c r="D8" s="11">
        <v>10.0</v>
      </c>
      <c r="E8" s="11">
        <v>8.0</v>
      </c>
      <c r="F8" s="21"/>
      <c r="G8" s="11" t="b">
        <v>1</v>
      </c>
      <c r="H8" s="12" t="b">
        <v>1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5"/>
        <v>384</v>
      </c>
      <c r="N8" s="13">
        <f t="shared" si="16"/>
        <v>140</v>
      </c>
      <c r="O8" s="13">
        <f t="shared" si="17"/>
        <v>48</v>
      </c>
      <c r="P8" s="14">
        <f t="shared" si="18"/>
        <v>460.8</v>
      </c>
      <c r="Q8" s="15">
        <f t="shared" si="19"/>
        <v>161.28</v>
      </c>
      <c r="R8" s="14">
        <f t="shared" si="6"/>
        <v>168</v>
      </c>
      <c r="S8" s="14">
        <f t="shared" si="20"/>
        <v>0</v>
      </c>
      <c r="T8" s="14">
        <f t="shared" si="21"/>
        <v>0</v>
      </c>
      <c r="U8" s="14">
        <f t="shared" si="22"/>
        <v>96</v>
      </c>
      <c r="V8" s="14">
        <f t="shared" si="23"/>
        <v>0</v>
      </c>
      <c r="W8" s="14">
        <f t="shared" si="24"/>
        <v>724.8</v>
      </c>
      <c r="X8" s="19">
        <f t="shared" si="25"/>
        <v>7.7312</v>
      </c>
      <c r="AA8" s="8" t="s">
        <v>36</v>
      </c>
      <c r="AB8" s="22">
        <f>IFERROR(VLOOKUP(AB7,AA2:AB5,2,FALSE),0)</f>
        <v>1.2</v>
      </c>
      <c r="AC8" s="20" t="s">
        <v>26</v>
      </c>
    </row>
    <row r="9" ht="15.75" customHeight="1">
      <c r="B9" s="23" t="s">
        <v>108</v>
      </c>
      <c r="C9" s="11">
        <v>12.0</v>
      </c>
      <c r="D9" s="11">
        <v>11.0</v>
      </c>
      <c r="E9" s="11">
        <v>8.0</v>
      </c>
      <c r="F9" s="21"/>
      <c r="G9" s="11" t="b">
        <v>1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5"/>
        <v>368</v>
      </c>
      <c r="N9" s="13">
        <f t="shared" si="16"/>
        <v>132</v>
      </c>
      <c r="O9" s="13">
        <f t="shared" si="17"/>
        <v>46</v>
      </c>
      <c r="P9" s="14">
        <f t="shared" si="18"/>
        <v>441.6</v>
      </c>
      <c r="Q9" s="15">
        <f t="shared" si="19"/>
        <v>154.56</v>
      </c>
      <c r="R9" s="14">
        <f t="shared" si="6"/>
        <v>158.4</v>
      </c>
      <c r="S9" s="14">
        <f t="shared" si="20"/>
        <v>0</v>
      </c>
      <c r="T9" s="14">
        <f t="shared" si="21"/>
        <v>0</v>
      </c>
      <c r="U9" s="14">
        <f t="shared" si="22"/>
        <v>92</v>
      </c>
      <c r="V9" s="14">
        <f t="shared" si="23"/>
        <v>0</v>
      </c>
      <c r="W9" s="14">
        <f t="shared" si="24"/>
        <v>692</v>
      </c>
      <c r="X9" s="19">
        <f t="shared" si="25"/>
        <v>7.381333333</v>
      </c>
      <c r="AA9" s="8" t="s">
        <v>38</v>
      </c>
      <c r="AB9" s="3">
        <v>1.2</v>
      </c>
      <c r="AC9" s="20" t="s">
        <v>26</v>
      </c>
    </row>
    <row r="10" ht="15.75" customHeight="1">
      <c r="B10" s="59"/>
      <c r="C10" s="11"/>
      <c r="D10" s="11"/>
      <c r="E10" s="11"/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5"/>
        <v>0</v>
      </c>
      <c r="N10" s="13">
        <f t="shared" si="16"/>
        <v>0</v>
      </c>
      <c r="O10" s="13">
        <f t="shared" si="17"/>
        <v>0</v>
      </c>
      <c r="P10" s="14">
        <f t="shared" si="18"/>
        <v>0</v>
      </c>
      <c r="Q10" s="15">
        <f t="shared" si="19"/>
        <v>0</v>
      </c>
      <c r="R10" s="14">
        <f t="shared" si="6"/>
        <v>0</v>
      </c>
      <c r="S10" s="14">
        <f t="shared" si="20"/>
        <v>0</v>
      </c>
      <c r="T10" s="14">
        <f t="shared" si="21"/>
        <v>0</v>
      </c>
      <c r="U10" s="14">
        <f t="shared" si="22"/>
        <v>0</v>
      </c>
      <c r="V10" s="14">
        <f t="shared" si="23"/>
        <v>0</v>
      </c>
      <c r="W10" s="14">
        <f t="shared" si="24"/>
        <v>0</v>
      </c>
      <c r="X10" s="19">
        <f t="shared" si="25"/>
        <v>0</v>
      </c>
      <c r="AA10" s="8" t="s">
        <v>40</v>
      </c>
      <c r="AB10" s="3">
        <v>90.0</v>
      </c>
      <c r="AC10" s="24" t="s">
        <v>26</v>
      </c>
    </row>
    <row r="11" ht="15.75" customHeight="1">
      <c r="B11" s="59"/>
      <c r="C11" s="11"/>
      <c r="D11" s="11"/>
      <c r="E11" s="11"/>
      <c r="F11" s="21"/>
      <c r="G11" s="11" t="b">
        <v>0</v>
      </c>
      <c r="H11" s="12" t="b">
        <v>0</v>
      </c>
      <c r="I11" s="3" t="b">
        <v>0</v>
      </c>
      <c r="J11" s="3" t="b">
        <v>0</v>
      </c>
      <c r="K11" s="3" t="b">
        <v>0</v>
      </c>
      <c r="L11" s="8">
        <v>1.0</v>
      </c>
      <c r="M11" s="13">
        <f t="shared" si="15"/>
        <v>0</v>
      </c>
      <c r="N11" s="13">
        <f t="shared" si="16"/>
        <v>0</v>
      </c>
      <c r="O11" s="13">
        <f t="shared" si="17"/>
        <v>0</v>
      </c>
      <c r="P11" s="14">
        <f t="shared" si="18"/>
        <v>0</v>
      </c>
      <c r="Q11" s="15">
        <f t="shared" si="19"/>
        <v>0</v>
      </c>
      <c r="R11" s="14">
        <f t="shared" si="6"/>
        <v>0</v>
      </c>
      <c r="S11" s="14">
        <f t="shared" si="20"/>
        <v>0</v>
      </c>
      <c r="T11" s="14">
        <f t="shared" si="21"/>
        <v>0</v>
      </c>
      <c r="U11" s="14">
        <f t="shared" si="22"/>
        <v>0</v>
      </c>
      <c r="V11" s="14">
        <f t="shared" si="23"/>
        <v>0</v>
      </c>
      <c r="W11" s="14">
        <f t="shared" si="24"/>
        <v>0</v>
      </c>
      <c r="X11" s="19">
        <f t="shared" si="25"/>
        <v>0</v>
      </c>
      <c r="AA11" s="8" t="s">
        <v>42</v>
      </c>
      <c r="AB11" s="8">
        <v>2.0</v>
      </c>
    </row>
    <row r="12" ht="15.75" customHeight="1">
      <c r="B12" s="60"/>
      <c r="C12" s="11"/>
      <c r="D12" s="11"/>
      <c r="E12" s="11"/>
      <c r="F12" s="21"/>
      <c r="G12" s="11" t="b">
        <v>0</v>
      </c>
      <c r="H12" s="12" t="b">
        <v>0</v>
      </c>
      <c r="I12" s="8" t="b">
        <v>0</v>
      </c>
      <c r="J12" s="3" t="b">
        <v>0</v>
      </c>
      <c r="K12" s="3" t="b">
        <v>0</v>
      </c>
      <c r="L12" s="8">
        <v>1.0</v>
      </c>
      <c r="M12" s="13">
        <f t="shared" si="15"/>
        <v>0</v>
      </c>
      <c r="N12" s="13">
        <f t="shared" si="16"/>
        <v>0</v>
      </c>
      <c r="O12" s="13">
        <f t="shared" si="17"/>
        <v>0</v>
      </c>
      <c r="P12" s="14">
        <f t="shared" si="18"/>
        <v>0</v>
      </c>
      <c r="Q12" s="15">
        <f t="shared" si="19"/>
        <v>0</v>
      </c>
      <c r="R12" s="14">
        <f t="shared" si="6"/>
        <v>0</v>
      </c>
      <c r="S12" s="14">
        <f t="shared" si="20"/>
        <v>0</v>
      </c>
      <c r="T12" s="14">
        <f t="shared" si="21"/>
        <v>0</v>
      </c>
      <c r="U12" s="14">
        <f t="shared" si="22"/>
        <v>0</v>
      </c>
      <c r="V12" s="14">
        <f t="shared" si="23"/>
        <v>0</v>
      </c>
      <c r="W12" s="14">
        <f t="shared" si="24"/>
        <v>0</v>
      </c>
      <c r="X12" s="19">
        <f t="shared" si="25"/>
        <v>0</v>
      </c>
      <c r="AA12" s="8" t="s">
        <v>44</v>
      </c>
      <c r="AB12" s="3">
        <v>1.1</v>
      </c>
    </row>
    <row r="13" ht="15.75" customHeight="1">
      <c r="B13" s="61"/>
      <c r="C13" s="11"/>
      <c r="D13" s="11"/>
      <c r="E13" s="11"/>
      <c r="F13" s="21"/>
      <c r="G13" s="11" t="b">
        <v>0</v>
      </c>
      <c r="H13" s="12" t="b">
        <v>0</v>
      </c>
      <c r="I13" s="3" t="b">
        <v>0</v>
      </c>
      <c r="J13" s="3" t="b">
        <v>0</v>
      </c>
      <c r="K13" s="3" t="b">
        <v>0</v>
      </c>
      <c r="L13" s="8">
        <v>1.0</v>
      </c>
      <c r="M13" s="13">
        <f t="shared" si="15"/>
        <v>0</v>
      </c>
      <c r="N13" s="13">
        <f t="shared" si="16"/>
        <v>0</v>
      </c>
      <c r="O13" s="13">
        <f t="shared" si="17"/>
        <v>0</v>
      </c>
      <c r="P13" s="14">
        <f t="shared" si="18"/>
        <v>0</v>
      </c>
      <c r="Q13" s="15">
        <f t="shared" si="19"/>
        <v>0</v>
      </c>
      <c r="R13" s="14">
        <f t="shared" si="6"/>
        <v>0</v>
      </c>
      <c r="S13" s="14">
        <f t="shared" si="20"/>
        <v>0</v>
      </c>
      <c r="T13" s="14">
        <f t="shared" si="21"/>
        <v>0</v>
      </c>
      <c r="U13" s="14">
        <f t="shared" si="22"/>
        <v>0</v>
      </c>
      <c r="V13" s="14">
        <f t="shared" si="23"/>
        <v>0</v>
      </c>
      <c r="W13" s="14">
        <f t="shared" si="24"/>
        <v>0</v>
      </c>
      <c r="X13" s="19">
        <f t="shared" si="25"/>
        <v>0</v>
      </c>
      <c r="AA13" s="8" t="s">
        <v>46</v>
      </c>
      <c r="AB13" s="3">
        <v>8.0</v>
      </c>
    </row>
    <row r="14" ht="21.0" customHeight="1">
      <c r="B14" s="60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5"/>
        <v>0</v>
      </c>
      <c r="N14" s="13">
        <f t="shared" si="16"/>
        <v>0</v>
      </c>
      <c r="O14" s="13">
        <f t="shared" si="17"/>
        <v>0</v>
      </c>
      <c r="P14" s="14">
        <f t="shared" si="18"/>
        <v>0</v>
      </c>
      <c r="Q14" s="15">
        <f t="shared" si="19"/>
        <v>0</v>
      </c>
      <c r="R14" s="14">
        <f t="shared" si="6"/>
        <v>0</v>
      </c>
      <c r="S14" s="14">
        <f t="shared" si="20"/>
        <v>0</v>
      </c>
      <c r="T14" s="14">
        <f t="shared" si="21"/>
        <v>0</v>
      </c>
      <c r="U14" s="14">
        <f t="shared" si="22"/>
        <v>0</v>
      </c>
      <c r="V14" s="14">
        <f t="shared" si="23"/>
        <v>0</v>
      </c>
      <c r="W14" s="14">
        <f t="shared" si="24"/>
        <v>0</v>
      </c>
      <c r="X14" s="19">
        <f t="shared" si="25"/>
        <v>0</v>
      </c>
      <c r="AA14" s="3" t="s">
        <v>48</v>
      </c>
      <c r="AB14" s="3">
        <v>185.0</v>
      </c>
    </row>
    <row r="15" ht="15.75" customHeight="1">
      <c r="B15" s="6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5"/>
        <v>0</v>
      </c>
      <c r="N15" s="13">
        <f t="shared" si="16"/>
        <v>0</v>
      </c>
      <c r="O15" s="13">
        <f t="shared" si="17"/>
        <v>0</v>
      </c>
      <c r="P15" s="14">
        <f t="shared" si="18"/>
        <v>0</v>
      </c>
      <c r="Q15" s="15">
        <f t="shared" si="19"/>
        <v>0</v>
      </c>
      <c r="R15" s="14">
        <f t="shared" si="6"/>
        <v>0</v>
      </c>
      <c r="S15" s="14">
        <f t="shared" si="20"/>
        <v>0</v>
      </c>
      <c r="T15" s="14">
        <f t="shared" si="21"/>
        <v>0</v>
      </c>
      <c r="U15" s="14">
        <f t="shared" si="22"/>
        <v>0</v>
      </c>
      <c r="V15" s="14">
        <f t="shared" si="23"/>
        <v>0</v>
      </c>
      <c r="W15" s="14">
        <f t="shared" si="24"/>
        <v>0</v>
      </c>
      <c r="X15" s="19">
        <f t="shared" si="25"/>
        <v>0</v>
      </c>
    </row>
    <row r="16" ht="15.75" customHeight="1">
      <c r="B16" s="60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5"/>
        <v>0</v>
      </c>
      <c r="N16" s="13">
        <f t="shared" si="16"/>
        <v>0</v>
      </c>
      <c r="O16" s="13">
        <f t="shared" si="17"/>
        <v>0</v>
      </c>
      <c r="P16" s="14">
        <f t="shared" si="18"/>
        <v>0</v>
      </c>
      <c r="Q16" s="15">
        <f t="shared" si="19"/>
        <v>0</v>
      </c>
      <c r="R16" s="14">
        <f t="shared" si="6"/>
        <v>0</v>
      </c>
      <c r="S16" s="14">
        <f t="shared" si="20"/>
        <v>0</v>
      </c>
      <c r="T16" s="14">
        <f t="shared" si="21"/>
        <v>0</v>
      </c>
      <c r="U16" s="14">
        <f t="shared" si="22"/>
        <v>0</v>
      </c>
      <c r="V16" s="14">
        <f t="shared" si="23"/>
        <v>0</v>
      </c>
      <c r="W16" s="14">
        <f t="shared" si="24"/>
        <v>0</v>
      </c>
      <c r="X16" s="19">
        <f t="shared" si="25"/>
        <v>0</v>
      </c>
      <c r="AA16" s="25" t="s">
        <v>51</v>
      </c>
      <c r="AB16" s="26"/>
    </row>
    <row r="17" ht="15.75" customHeight="1">
      <c r="A17" s="27"/>
      <c r="B17" s="61"/>
      <c r="C17" s="11"/>
      <c r="D17" s="11"/>
      <c r="E17" s="11"/>
      <c r="F17" s="21"/>
      <c r="G17" s="11" t="b">
        <v>0</v>
      </c>
      <c r="H17" s="12" t="b">
        <v>0</v>
      </c>
      <c r="I17" s="8" t="b">
        <v>0</v>
      </c>
      <c r="J17" s="3" t="b">
        <v>0</v>
      </c>
      <c r="K17" s="3" t="b">
        <v>0</v>
      </c>
      <c r="L17" s="8">
        <v>1.0</v>
      </c>
      <c r="M17" s="13">
        <f t="shared" si="15"/>
        <v>0</v>
      </c>
      <c r="N17" s="13">
        <f t="shared" si="16"/>
        <v>0</v>
      </c>
      <c r="O17" s="13">
        <f t="shared" si="17"/>
        <v>0</v>
      </c>
      <c r="P17" s="14">
        <f t="shared" si="18"/>
        <v>0</v>
      </c>
      <c r="Q17" s="15">
        <f t="shared" si="19"/>
        <v>0</v>
      </c>
      <c r="R17" s="14">
        <f t="shared" si="6"/>
        <v>0</v>
      </c>
      <c r="S17" s="14">
        <f t="shared" si="20"/>
        <v>0</v>
      </c>
      <c r="T17" s="14">
        <f t="shared" si="21"/>
        <v>0</v>
      </c>
      <c r="U17" s="14">
        <f t="shared" si="22"/>
        <v>0</v>
      </c>
      <c r="V17" s="14">
        <f t="shared" si="23"/>
        <v>0</v>
      </c>
      <c r="W17" s="14">
        <f t="shared" si="24"/>
        <v>0</v>
      </c>
      <c r="X17" s="19">
        <f t="shared" si="25"/>
        <v>0</v>
      </c>
      <c r="AA17" s="28" t="s">
        <v>52</v>
      </c>
      <c r="AB17" s="29">
        <f>SUM(M2:M1001)</f>
        <v>2160</v>
      </c>
    </row>
    <row r="18" ht="15.75" customHeight="1">
      <c r="A18" s="21">
        <v>16.0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5"/>
        <v>0</v>
      </c>
      <c r="N18" s="13">
        <f t="shared" si="16"/>
        <v>0</v>
      </c>
      <c r="O18" s="13">
        <f t="shared" si="17"/>
        <v>0</v>
      </c>
      <c r="P18" s="14">
        <f t="shared" si="18"/>
        <v>0</v>
      </c>
      <c r="Q18" s="15">
        <f t="shared" si="19"/>
        <v>0</v>
      </c>
      <c r="R18" s="14">
        <f t="shared" si="6"/>
        <v>0</v>
      </c>
      <c r="S18" s="14">
        <f t="shared" si="20"/>
        <v>0</v>
      </c>
      <c r="T18" s="14">
        <f t="shared" si="21"/>
        <v>0</v>
      </c>
      <c r="U18" s="14">
        <f t="shared" si="22"/>
        <v>0</v>
      </c>
      <c r="V18" s="14">
        <f t="shared" si="23"/>
        <v>0</v>
      </c>
      <c r="W18" s="14">
        <f t="shared" si="24"/>
        <v>0</v>
      </c>
      <c r="X18" s="19">
        <f t="shared" si="25"/>
        <v>0</v>
      </c>
      <c r="AA18" s="28" t="s">
        <v>54</v>
      </c>
      <c r="AB18" s="29">
        <f>SUM(N2:N1001)</f>
        <v>624</v>
      </c>
    </row>
    <row r="19" ht="15.75" customHeight="1">
      <c r="A19" s="21">
        <v>17.0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5"/>
        <v>0</v>
      </c>
      <c r="N19" s="13">
        <f t="shared" si="16"/>
        <v>0</v>
      </c>
      <c r="O19" s="13">
        <f t="shared" si="17"/>
        <v>0</v>
      </c>
      <c r="P19" s="14">
        <f t="shared" si="18"/>
        <v>0</v>
      </c>
      <c r="Q19" s="15">
        <f t="shared" si="19"/>
        <v>0</v>
      </c>
      <c r="R19" s="14">
        <f t="shared" si="6"/>
        <v>0</v>
      </c>
      <c r="S19" s="14">
        <f t="shared" si="20"/>
        <v>0</v>
      </c>
      <c r="T19" s="14">
        <f t="shared" si="21"/>
        <v>0</v>
      </c>
      <c r="U19" s="14">
        <f t="shared" si="22"/>
        <v>0</v>
      </c>
      <c r="V19" s="14">
        <f t="shared" si="23"/>
        <v>0</v>
      </c>
      <c r="W19" s="14">
        <f t="shared" si="24"/>
        <v>0</v>
      </c>
      <c r="X19" s="19">
        <f t="shared" si="25"/>
        <v>0</v>
      </c>
      <c r="AA19" s="28" t="s">
        <v>56</v>
      </c>
      <c r="AB19" s="29">
        <f>SUM(F2:F1001)</f>
        <v>0</v>
      </c>
    </row>
    <row r="20" ht="18.0" customHeight="1">
      <c r="A20" s="21">
        <v>18.0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5"/>
        <v>0</v>
      </c>
      <c r="N20" s="13">
        <f t="shared" si="16"/>
        <v>0</v>
      </c>
      <c r="O20" s="13">
        <f t="shared" si="17"/>
        <v>0</v>
      </c>
      <c r="P20" s="14">
        <f t="shared" si="18"/>
        <v>0</v>
      </c>
      <c r="Q20" s="15">
        <f t="shared" si="19"/>
        <v>0</v>
      </c>
      <c r="R20" s="14">
        <f t="shared" si="6"/>
        <v>0</v>
      </c>
      <c r="S20" s="14">
        <f t="shared" si="20"/>
        <v>0</v>
      </c>
      <c r="T20" s="14">
        <f t="shared" si="21"/>
        <v>0</v>
      </c>
      <c r="U20" s="14">
        <f t="shared" si="22"/>
        <v>0</v>
      </c>
      <c r="V20" s="14">
        <f t="shared" si="23"/>
        <v>0</v>
      </c>
      <c r="W20" s="14">
        <f t="shared" si="24"/>
        <v>0</v>
      </c>
      <c r="X20" s="19">
        <f t="shared" si="25"/>
        <v>0</v>
      </c>
      <c r="AA20" s="28" t="s">
        <v>58</v>
      </c>
      <c r="AB20" s="30">
        <f>SUMPRODUCT((K2:K1001=TRUE)*(L2:L1001&gt;0)*O2:O1001)</f>
        <v>270</v>
      </c>
    </row>
    <row r="21" ht="21.0" customHeight="1">
      <c r="A21" s="31">
        <v>19.0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5"/>
        <v>0</v>
      </c>
      <c r="N21" s="13">
        <f t="shared" si="16"/>
        <v>0</v>
      </c>
      <c r="O21" s="13">
        <f t="shared" si="17"/>
        <v>0</v>
      </c>
      <c r="P21" s="14">
        <f t="shared" si="18"/>
        <v>0</v>
      </c>
      <c r="Q21" s="15">
        <f t="shared" si="19"/>
        <v>0</v>
      </c>
      <c r="R21" s="14">
        <f t="shared" si="6"/>
        <v>0</v>
      </c>
      <c r="S21" s="14">
        <f t="shared" si="20"/>
        <v>0</v>
      </c>
      <c r="T21" s="14">
        <f t="shared" si="21"/>
        <v>0</v>
      </c>
      <c r="U21" s="14">
        <f t="shared" si="22"/>
        <v>0</v>
      </c>
      <c r="V21" s="14">
        <f t="shared" si="23"/>
        <v>0</v>
      </c>
      <c r="W21" s="14">
        <f t="shared" si="24"/>
        <v>0</v>
      </c>
      <c r="X21" s="19">
        <f t="shared" si="25"/>
        <v>0</v>
      </c>
      <c r="AA21" s="32" t="s">
        <v>60</v>
      </c>
      <c r="AB21" s="33">
        <f>SUMPRODUCT((J2:J1001=TRUE)*O2:O1001)</f>
        <v>0</v>
      </c>
    </row>
    <row r="22" ht="15.75" customHeight="1">
      <c r="A22" s="31">
        <v>20.0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5"/>
        <v>0</v>
      </c>
      <c r="N22" s="13">
        <f t="shared" si="16"/>
        <v>0</v>
      </c>
      <c r="O22" s="13">
        <f t="shared" si="17"/>
        <v>0</v>
      </c>
      <c r="P22" s="14">
        <f t="shared" si="18"/>
        <v>0</v>
      </c>
      <c r="Q22" s="15">
        <f t="shared" si="19"/>
        <v>0</v>
      </c>
      <c r="R22" s="14">
        <f t="shared" si="6"/>
        <v>0</v>
      </c>
      <c r="S22" s="14">
        <f t="shared" si="20"/>
        <v>0</v>
      </c>
      <c r="T22" s="14">
        <f t="shared" si="21"/>
        <v>0</v>
      </c>
      <c r="U22" s="14">
        <f t="shared" si="22"/>
        <v>0</v>
      </c>
      <c r="V22" s="14">
        <f t="shared" si="23"/>
        <v>0</v>
      </c>
      <c r="W22" s="14">
        <f t="shared" si="24"/>
        <v>0</v>
      </c>
      <c r="X22" s="19">
        <f t="shared" si="25"/>
        <v>0</v>
      </c>
      <c r="AA22" s="34" t="s">
        <v>26</v>
      </c>
      <c r="AB22" s="34" t="s">
        <v>26</v>
      </c>
    </row>
    <row r="23" ht="15.75" customHeight="1">
      <c r="A23" s="31">
        <v>21.0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5"/>
        <v>0</v>
      </c>
      <c r="N23" s="13">
        <f t="shared" si="16"/>
        <v>0</v>
      </c>
      <c r="O23" s="13">
        <f t="shared" si="17"/>
        <v>0</v>
      </c>
      <c r="P23" s="14">
        <f t="shared" si="18"/>
        <v>0</v>
      </c>
      <c r="Q23" s="15">
        <f t="shared" si="19"/>
        <v>0</v>
      </c>
      <c r="R23" s="14">
        <f t="shared" si="6"/>
        <v>0</v>
      </c>
      <c r="S23" s="14">
        <f t="shared" si="20"/>
        <v>0</v>
      </c>
      <c r="T23" s="14">
        <f t="shared" si="21"/>
        <v>0</v>
      </c>
      <c r="U23" s="14">
        <f t="shared" si="22"/>
        <v>0</v>
      </c>
      <c r="V23" s="14">
        <f t="shared" si="23"/>
        <v>0</v>
      </c>
      <c r="W23" s="14">
        <f t="shared" si="24"/>
        <v>0</v>
      </c>
      <c r="X23" s="19">
        <f t="shared" si="25"/>
        <v>0</v>
      </c>
      <c r="AA23" s="25" t="s">
        <v>61</v>
      </c>
      <c r="AB23" s="26"/>
    </row>
    <row r="24" ht="15.75" customHeight="1">
      <c r="A24" s="31">
        <v>22.0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5"/>
        <v>0</v>
      </c>
      <c r="N24" s="13">
        <f t="shared" si="16"/>
        <v>0</v>
      </c>
      <c r="O24" s="13">
        <f t="shared" si="17"/>
        <v>0</v>
      </c>
      <c r="P24" s="14">
        <f t="shared" si="18"/>
        <v>0</v>
      </c>
      <c r="Q24" s="15">
        <f t="shared" si="19"/>
        <v>0</v>
      </c>
      <c r="R24" s="14">
        <f t="shared" si="6"/>
        <v>0</v>
      </c>
      <c r="S24" s="14">
        <f t="shared" si="20"/>
        <v>0</v>
      </c>
      <c r="T24" s="14">
        <f t="shared" si="21"/>
        <v>0</v>
      </c>
      <c r="U24" s="14">
        <f t="shared" si="22"/>
        <v>0</v>
      </c>
      <c r="V24" s="14">
        <f t="shared" si="23"/>
        <v>0</v>
      </c>
      <c r="W24" s="14">
        <f t="shared" si="24"/>
        <v>0</v>
      </c>
      <c r="X24" s="19">
        <f t="shared" si="25"/>
        <v>0</v>
      </c>
      <c r="AA24" s="28" t="s">
        <v>62</v>
      </c>
      <c r="AB24" s="35">
        <v>350.0</v>
      </c>
    </row>
    <row r="25" ht="15.75" customHeight="1">
      <c r="A25" s="11">
        <v>23.0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5"/>
        <v>0</v>
      </c>
      <c r="N25" s="13">
        <f t="shared" si="16"/>
        <v>0</v>
      </c>
      <c r="O25" s="13">
        <f t="shared" si="17"/>
        <v>0</v>
      </c>
      <c r="P25" s="14">
        <f t="shared" si="18"/>
        <v>0</v>
      </c>
      <c r="Q25" s="15">
        <f t="shared" si="19"/>
        <v>0</v>
      </c>
      <c r="R25" s="14">
        <f t="shared" si="6"/>
        <v>0</v>
      </c>
      <c r="S25" s="14">
        <f t="shared" si="20"/>
        <v>0</v>
      </c>
      <c r="T25" s="14">
        <f t="shared" si="21"/>
        <v>0</v>
      </c>
      <c r="U25" s="14">
        <f t="shared" si="22"/>
        <v>0</v>
      </c>
      <c r="V25" s="14">
        <f t="shared" si="23"/>
        <v>0</v>
      </c>
      <c r="W25" s="14">
        <f t="shared" si="24"/>
        <v>0</v>
      </c>
      <c r="X25" s="19">
        <f t="shared" si="25"/>
        <v>0</v>
      </c>
      <c r="AA25" s="28" t="s">
        <v>63</v>
      </c>
      <c r="AB25" s="35">
        <v>40.0</v>
      </c>
    </row>
    <row r="26" ht="12.75" customHeight="1">
      <c r="A26" s="11">
        <v>24.0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5"/>
        <v>0</v>
      </c>
      <c r="N26" s="13">
        <f t="shared" si="16"/>
        <v>0</v>
      </c>
      <c r="O26" s="13">
        <f t="shared" si="17"/>
        <v>0</v>
      </c>
      <c r="P26" s="14">
        <f t="shared" si="18"/>
        <v>0</v>
      </c>
      <c r="Q26" s="15">
        <f t="shared" si="19"/>
        <v>0</v>
      </c>
      <c r="R26" s="14">
        <f t="shared" si="6"/>
        <v>0</v>
      </c>
      <c r="S26" s="14">
        <f t="shared" si="20"/>
        <v>0</v>
      </c>
      <c r="T26" s="14">
        <f t="shared" si="21"/>
        <v>0</v>
      </c>
      <c r="U26" s="14">
        <f t="shared" si="22"/>
        <v>0</v>
      </c>
      <c r="V26" s="14">
        <f t="shared" si="23"/>
        <v>0</v>
      </c>
      <c r="W26" s="14">
        <f t="shared" si="24"/>
        <v>0</v>
      </c>
      <c r="X26" s="19">
        <f t="shared" si="25"/>
        <v>0</v>
      </c>
      <c r="AA26" s="28" t="s">
        <v>64</v>
      </c>
      <c r="AB26" s="35">
        <v>5.0</v>
      </c>
    </row>
    <row r="27" ht="21.0" customHeight="1">
      <c r="A27" s="31">
        <v>25.0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5"/>
        <v>0</v>
      </c>
      <c r="N27" s="13">
        <f t="shared" si="16"/>
        <v>0</v>
      </c>
      <c r="O27" s="13">
        <f t="shared" si="17"/>
        <v>0</v>
      </c>
      <c r="P27" s="14">
        <f t="shared" si="18"/>
        <v>0</v>
      </c>
      <c r="Q27" s="15">
        <f t="shared" si="19"/>
        <v>0</v>
      </c>
      <c r="R27" s="14">
        <f t="shared" si="6"/>
        <v>0</v>
      </c>
      <c r="S27" s="14">
        <f t="shared" si="20"/>
        <v>0</v>
      </c>
      <c r="T27" s="14">
        <f t="shared" si="21"/>
        <v>0</v>
      </c>
      <c r="U27" s="14">
        <f t="shared" si="22"/>
        <v>0</v>
      </c>
      <c r="V27" s="14">
        <f t="shared" si="23"/>
        <v>0</v>
      </c>
      <c r="W27" s="14">
        <f t="shared" si="24"/>
        <v>0</v>
      </c>
      <c r="X27" s="19">
        <f t="shared" si="25"/>
        <v>0</v>
      </c>
      <c r="AA27" s="32" t="s">
        <v>65</v>
      </c>
      <c r="AB27" s="36">
        <v>4.0</v>
      </c>
    </row>
    <row r="28" ht="15.75" customHeight="1">
      <c r="A28" s="31">
        <v>26.0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5"/>
        <v>0</v>
      </c>
      <c r="N28" s="13">
        <f t="shared" si="16"/>
        <v>0</v>
      </c>
      <c r="O28" s="13">
        <f t="shared" si="17"/>
        <v>0</v>
      </c>
      <c r="P28" s="14">
        <f t="shared" si="18"/>
        <v>0</v>
      </c>
      <c r="Q28" s="15">
        <f t="shared" si="19"/>
        <v>0</v>
      </c>
      <c r="R28" s="14">
        <f t="shared" si="6"/>
        <v>0</v>
      </c>
      <c r="S28" s="14">
        <f t="shared" si="20"/>
        <v>0</v>
      </c>
      <c r="T28" s="14">
        <f t="shared" si="21"/>
        <v>0</v>
      </c>
      <c r="U28" s="14">
        <f t="shared" si="22"/>
        <v>0</v>
      </c>
      <c r="V28" s="14">
        <f t="shared" si="23"/>
        <v>0</v>
      </c>
      <c r="W28" s="14">
        <f t="shared" si="24"/>
        <v>0</v>
      </c>
      <c r="X28" s="19">
        <f t="shared" si="25"/>
        <v>0</v>
      </c>
      <c r="AA28" s="34" t="s">
        <v>26</v>
      </c>
      <c r="AB28" s="34" t="s">
        <v>26</v>
      </c>
    </row>
    <row r="29" ht="15.75" customHeight="1">
      <c r="A29" s="31">
        <v>27.0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5"/>
        <v>0</v>
      </c>
      <c r="N29" s="13">
        <f t="shared" si="16"/>
        <v>0</v>
      </c>
      <c r="O29" s="13">
        <f t="shared" si="17"/>
        <v>0</v>
      </c>
      <c r="P29" s="14">
        <f t="shared" si="18"/>
        <v>0</v>
      </c>
      <c r="Q29" s="15">
        <f t="shared" si="19"/>
        <v>0</v>
      </c>
      <c r="R29" s="14">
        <f t="shared" si="6"/>
        <v>0</v>
      </c>
      <c r="S29" s="14">
        <f t="shared" si="20"/>
        <v>0</v>
      </c>
      <c r="T29" s="14">
        <f t="shared" si="21"/>
        <v>0</v>
      </c>
      <c r="U29" s="14">
        <f t="shared" si="22"/>
        <v>0</v>
      </c>
      <c r="V29" s="14">
        <f t="shared" si="23"/>
        <v>0</v>
      </c>
      <c r="W29" s="14">
        <f t="shared" si="24"/>
        <v>0</v>
      </c>
      <c r="X29" s="19">
        <f t="shared" si="25"/>
        <v>0</v>
      </c>
      <c r="AA29" s="25" t="s">
        <v>66</v>
      </c>
      <c r="AB29" s="26"/>
    </row>
    <row r="30" ht="15.75" customHeight="1">
      <c r="A30" s="31">
        <v>28.0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5"/>
        <v>0</v>
      </c>
      <c r="N30" s="13">
        <f t="shared" si="16"/>
        <v>0</v>
      </c>
      <c r="O30" s="13">
        <f t="shared" si="17"/>
        <v>0</v>
      </c>
      <c r="P30" s="14">
        <f t="shared" si="18"/>
        <v>0</v>
      </c>
      <c r="Q30" s="15">
        <f t="shared" si="19"/>
        <v>0</v>
      </c>
      <c r="R30" s="14">
        <f t="shared" si="6"/>
        <v>0</v>
      </c>
      <c r="S30" s="14">
        <f t="shared" si="20"/>
        <v>0</v>
      </c>
      <c r="T30" s="14">
        <f t="shared" si="21"/>
        <v>0</v>
      </c>
      <c r="U30" s="14">
        <f t="shared" si="22"/>
        <v>0</v>
      </c>
      <c r="V30" s="14">
        <f t="shared" si="23"/>
        <v>0</v>
      </c>
      <c r="W30" s="14">
        <f t="shared" si="24"/>
        <v>0</v>
      </c>
      <c r="X30" s="19">
        <f t="shared" si="25"/>
        <v>0</v>
      </c>
      <c r="AA30" s="37" t="s">
        <v>67</v>
      </c>
      <c r="AB30" s="30">
        <v>2.0</v>
      </c>
    </row>
    <row r="31" ht="15.75" customHeight="1">
      <c r="A31" s="31">
        <v>29.0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5"/>
        <v>0</v>
      </c>
      <c r="N31" s="13">
        <f t="shared" si="16"/>
        <v>0</v>
      </c>
      <c r="O31" s="13">
        <f t="shared" si="17"/>
        <v>0</v>
      </c>
      <c r="P31" s="14">
        <f t="shared" si="18"/>
        <v>0</v>
      </c>
      <c r="Q31" s="15">
        <f t="shared" si="19"/>
        <v>0</v>
      </c>
      <c r="R31" s="14">
        <f t="shared" si="6"/>
        <v>0</v>
      </c>
      <c r="S31" s="14">
        <f t="shared" si="20"/>
        <v>0</v>
      </c>
      <c r="T31" s="14">
        <f t="shared" si="21"/>
        <v>0</v>
      </c>
      <c r="U31" s="14">
        <f t="shared" si="22"/>
        <v>0</v>
      </c>
      <c r="V31" s="14">
        <f t="shared" si="23"/>
        <v>0</v>
      </c>
      <c r="W31" s="14">
        <f t="shared" si="24"/>
        <v>0</v>
      </c>
      <c r="X31" s="19">
        <f t="shared" si="25"/>
        <v>0</v>
      </c>
      <c r="AA31" s="37" t="s">
        <v>68</v>
      </c>
      <c r="AB31" s="30">
        <f>IFERROR(AB18/AB24,0)</f>
        <v>1.782857143</v>
      </c>
    </row>
    <row r="32" ht="15.75" customHeight="1">
      <c r="A32" s="31">
        <v>30.0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5"/>
        <v>0</v>
      </c>
      <c r="N32" s="13">
        <f t="shared" si="16"/>
        <v>0</v>
      </c>
      <c r="O32" s="13">
        <f t="shared" si="17"/>
        <v>0</v>
      </c>
      <c r="P32" s="14">
        <f t="shared" si="18"/>
        <v>0</v>
      </c>
      <c r="Q32" s="15">
        <f t="shared" si="19"/>
        <v>0</v>
      </c>
      <c r="R32" s="14">
        <f t="shared" si="6"/>
        <v>0</v>
      </c>
      <c r="S32" s="14">
        <f t="shared" si="20"/>
        <v>0</v>
      </c>
      <c r="T32" s="14">
        <f t="shared" si="21"/>
        <v>0</v>
      </c>
      <c r="U32" s="14">
        <f t="shared" si="22"/>
        <v>0</v>
      </c>
      <c r="V32" s="14">
        <f t="shared" si="23"/>
        <v>0</v>
      </c>
      <c r="W32" s="14">
        <f t="shared" si="24"/>
        <v>0</v>
      </c>
      <c r="X32" s="19">
        <f t="shared" si="25"/>
        <v>0</v>
      </c>
      <c r="AA32" s="37" t="s">
        <v>69</v>
      </c>
      <c r="AB32" s="29">
        <f>IFERROR((AB19*AB25)/AB24,0)</f>
        <v>0</v>
      </c>
    </row>
    <row r="33">
      <c r="A33" s="31">
        <v>31.0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5"/>
        <v>0</v>
      </c>
      <c r="N33" s="13">
        <f t="shared" si="16"/>
        <v>0</v>
      </c>
      <c r="O33" s="13">
        <f t="shared" si="17"/>
        <v>0</v>
      </c>
      <c r="P33" s="14">
        <f t="shared" si="18"/>
        <v>0</v>
      </c>
      <c r="Q33" s="15">
        <f t="shared" si="19"/>
        <v>0</v>
      </c>
      <c r="R33" s="14">
        <f t="shared" si="6"/>
        <v>0</v>
      </c>
      <c r="S33" s="14">
        <f t="shared" si="20"/>
        <v>0</v>
      </c>
      <c r="T33" s="14">
        <f t="shared" si="21"/>
        <v>0</v>
      </c>
      <c r="U33" s="14">
        <f t="shared" si="22"/>
        <v>0</v>
      </c>
      <c r="V33" s="14">
        <f t="shared" si="23"/>
        <v>0</v>
      </c>
      <c r="W33" s="14">
        <f t="shared" si="24"/>
        <v>0</v>
      </c>
      <c r="X33" s="19">
        <f t="shared" si="25"/>
        <v>0</v>
      </c>
      <c r="AA33" s="37" t="s">
        <v>70</v>
      </c>
      <c r="AB33" s="30">
        <v>1.5</v>
      </c>
    </row>
    <row r="34">
      <c r="A34" s="31">
        <v>32.0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5"/>
        <v>0</v>
      </c>
      <c r="N34" s="13">
        <f t="shared" si="16"/>
        <v>0</v>
      </c>
      <c r="O34" s="13">
        <f t="shared" si="17"/>
        <v>0</v>
      </c>
      <c r="P34" s="14">
        <f t="shared" si="18"/>
        <v>0</v>
      </c>
      <c r="Q34" s="15">
        <f t="shared" si="19"/>
        <v>0</v>
      </c>
      <c r="R34" s="14">
        <f t="shared" si="6"/>
        <v>0</v>
      </c>
      <c r="S34" s="14">
        <f t="shared" si="20"/>
        <v>0</v>
      </c>
      <c r="T34" s="14">
        <f t="shared" si="21"/>
        <v>0</v>
      </c>
      <c r="U34" s="14">
        <f t="shared" si="22"/>
        <v>0</v>
      </c>
      <c r="V34" s="14">
        <f t="shared" si="23"/>
        <v>0</v>
      </c>
      <c r="W34" s="14">
        <f t="shared" si="24"/>
        <v>0</v>
      </c>
      <c r="X34" s="19">
        <f t="shared" si="25"/>
        <v>0</v>
      </c>
      <c r="AA34" s="32" t="s">
        <v>71</v>
      </c>
      <c r="AB34" s="33">
        <f>IFERROR((AB21*(AB27/12))/AB24,0)</f>
        <v>0</v>
      </c>
    </row>
    <row r="35" ht="15.75" customHeight="1">
      <c r="A35" s="31">
        <v>33.0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5"/>
        <v>0</v>
      </c>
      <c r="N35" s="13">
        <f t="shared" si="16"/>
        <v>0</v>
      </c>
      <c r="O35" s="13">
        <f t="shared" si="17"/>
        <v>0</v>
      </c>
      <c r="P35" s="14">
        <f t="shared" si="18"/>
        <v>0</v>
      </c>
      <c r="Q35" s="15">
        <f t="shared" si="19"/>
        <v>0</v>
      </c>
      <c r="R35" s="14">
        <f t="shared" si="6"/>
        <v>0</v>
      </c>
      <c r="S35" s="14">
        <f t="shared" si="20"/>
        <v>0</v>
      </c>
      <c r="T35" s="14">
        <f t="shared" si="21"/>
        <v>0</v>
      </c>
      <c r="U35" s="14">
        <f t="shared" si="22"/>
        <v>0</v>
      </c>
      <c r="V35" s="14">
        <f t="shared" si="23"/>
        <v>0</v>
      </c>
      <c r="W35" s="14">
        <f t="shared" si="24"/>
        <v>0</v>
      </c>
      <c r="X35" s="19">
        <f t="shared" si="25"/>
        <v>0</v>
      </c>
      <c r="AA35" s="38" t="s">
        <v>21</v>
      </c>
      <c r="AB35" s="39">
        <f>SUM(AB30:AB34)</f>
        <v>5.282857143</v>
      </c>
    </row>
    <row r="36" ht="15.75" customHeight="1">
      <c r="A36" s="31">
        <v>34.0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5"/>
        <v>0</v>
      </c>
      <c r="N36" s="13">
        <f t="shared" si="16"/>
        <v>0</v>
      </c>
      <c r="O36" s="13">
        <f t="shared" si="17"/>
        <v>0</v>
      </c>
      <c r="P36" s="14">
        <f t="shared" si="18"/>
        <v>0</v>
      </c>
      <c r="Q36" s="15">
        <f t="shared" si="19"/>
        <v>0</v>
      </c>
      <c r="R36" s="14">
        <f t="shared" si="6"/>
        <v>0</v>
      </c>
      <c r="S36" s="14">
        <f t="shared" si="20"/>
        <v>0</v>
      </c>
      <c r="T36" s="14">
        <f t="shared" si="21"/>
        <v>0</v>
      </c>
      <c r="U36" s="14">
        <f t="shared" si="22"/>
        <v>0</v>
      </c>
      <c r="V36" s="14">
        <f t="shared" si="23"/>
        <v>0</v>
      </c>
      <c r="W36" s="14">
        <f t="shared" si="24"/>
        <v>0</v>
      </c>
      <c r="X36" s="19">
        <f t="shared" si="25"/>
        <v>0</v>
      </c>
    </row>
    <row r="37" ht="15.75" customHeight="1">
      <c r="A37" s="31">
        <v>35.0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5"/>
        <v>0</v>
      </c>
      <c r="N37" s="13">
        <f t="shared" si="16"/>
        <v>0</v>
      </c>
      <c r="O37" s="13">
        <f t="shared" si="17"/>
        <v>0</v>
      </c>
      <c r="P37" s="14">
        <f t="shared" si="18"/>
        <v>0</v>
      </c>
      <c r="Q37" s="15">
        <f t="shared" si="19"/>
        <v>0</v>
      </c>
      <c r="R37" s="14">
        <f t="shared" si="6"/>
        <v>0</v>
      </c>
      <c r="S37" s="14">
        <f t="shared" si="20"/>
        <v>0</v>
      </c>
      <c r="T37" s="14">
        <f t="shared" si="21"/>
        <v>0</v>
      </c>
      <c r="U37" s="14">
        <f t="shared" si="22"/>
        <v>0</v>
      </c>
      <c r="V37" s="14">
        <f t="shared" si="23"/>
        <v>0</v>
      </c>
      <c r="W37" s="14">
        <f t="shared" si="24"/>
        <v>0</v>
      </c>
      <c r="X37" s="19">
        <f t="shared" si="25"/>
        <v>0</v>
      </c>
      <c r="AA37" s="25" t="s">
        <v>72</v>
      </c>
      <c r="AB37" s="26"/>
    </row>
    <row r="38" ht="15.75" customHeight="1">
      <c r="A38" s="31">
        <v>36.0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5"/>
        <v>0</v>
      </c>
      <c r="N38" s="13">
        <f t="shared" si="16"/>
        <v>0</v>
      </c>
      <c r="O38" s="13">
        <f t="shared" si="17"/>
        <v>0</v>
      </c>
      <c r="P38" s="14">
        <f t="shared" si="18"/>
        <v>0</v>
      </c>
      <c r="Q38" s="15">
        <f t="shared" si="19"/>
        <v>0</v>
      </c>
      <c r="R38" s="14">
        <f t="shared" si="6"/>
        <v>0</v>
      </c>
      <c r="S38" s="14">
        <f t="shared" si="20"/>
        <v>0</v>
      </c>
      <c r="T38" s="14">
        <f t="shared" si="21"/>
        <v>0</v>
      </c>
      <c r="U38" s="14">
        <f t="shared" si="22"/>
        <v>0</v>
      </c>
      <c r="V38" s="14">
        <f t="shared" si="23"/>
        <v>0</v>
      </c>
      <c r="W38" s="14">
        <f t="shared" si="24"/>
        <v>0</v>
      </c>
      <c r="X38" s="19">
        <f t="shared" si="25"/>
        <v>0</v>
      </c>
      <c r="AA38" s="37" t="s">
        <v>73</v>
      </c>
      <c r="AB38" s="40">
        <f>COUNTIF(C2:C1001,"&gt;0")</f>
        <v>8</v>
      </c>
    </row>
    <row r="39" ht="15.75" customHeight="1">
      <c r="A39" s="31">
        <v>37.0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5"/>
        <v>0</v>
      </c>
      <c r="N39" s="13">
        <f t="shared" si="16"/>
        <v>0</v>
      </c>
      <c r="O39" s="13">
        <f t="shared" si="17"/>
        <v>0</v>
      </c>
      <c r="P39" s="14">
        <f t="shared" si="18"/>
        <v>0</v>
      </c>
      <c r="Q39" s="15">
        <f t="shared" si="19"/>
        <v>0</v>
      </c>
      <c r="R39" s="14">
        <f t="shared" si="6"/>
        <v>0</v>
      </c>
      <c r="S39" s="14">
        <f t="shared" si="20"/>
        <v>0</v>
      </c>
      <c r="T39" s="14">
        <f t="shared" si="21"/>
        <v>0</v>
      </c>
      <c r="U39" s="14">
        <f t="shared" si="22"/>
        <v>0</v>
      </c>
      <c r="V39" s="14">
        <f t="shared" si="23"/>
        <v>0</v>
      </c>
      <c r="W39" s="14">
        <f t="shared" si="24"/>
        <v>0</v>
      </c>
      <c r="X39" s="19">
        <f t="shared" si="25"/>
        <v>0</v>
      </c>
      <c r="AA39" s="37" t="s">
        <v>74</v>
      </c>
      <c r="AB39" s="41">
        <f>SUM(P2:P1001)</f>
        <v>4025.6</v>
      </c>
    </row>
    <row r="40" ht="15.75" customHeight="1">
      <c r="A40" s="31">
        <v>38.0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5"/>
        <v>0</v>
      </c>
      <c r="N40" s="13">
        <f t="shared" si="16"/>
        <v>0</v>
      </c>
      <c r="O40" s="13">
        <f t="shared" si="17"/>
        <v>0</v>
      </c>
      <c r="P40" s="14">
        <f t="shared" si="18"/>
        <v>0</v>
      </c>
      <c r="Q40" s="15">
        <f t="shared" si="19"/>
        <v>0</v>
      </c>
      <c r="R40" s="14">
        <f t="shared" si="6"/>
        <v>0</v>
      </c>
      <c r="S40" s="14">
        <f t="shared" si="20"/>
        <v>0</v>
      </c>
      <c r="T40" s="14">
        <f t="shared" si="21"/>
        <v>0</v>
      </c>
      <c r="U40" s="14">
        <f t="shared" si="22"/>
        <v>0</v>
      </c>
      <c r="V40" s="14">
        <f t="shared" si="23"/>
        <v>0</v>
      </c>
      <c r="W40" s="14">
        <f t="shared" si="24"/>
        <v>0</v>
      </c>
      <c r="X40" s="19">
        <f t="shared" si="25"/>
        <v>0</v>
      </c>
      <c r="AA40" s="37" t="s">
        <v>75</v>
      </c>
      <c r="AB40" s="41">
        <f>SUM(R2:R1001)</f>
        <v>748.8</v>
      </c>
    </row>
    <row r="41" ht="15.75" customHeight="1">
      <c r="A41" s="31">
        <v>39.0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5"/>
        <v>0</v>
      </c>
      <c r="N41" s="13">
        <f t="shared" si="16"/>
        <v>0</v>
      </c>
      <c r="O41" s="13">
        <f t="shared" si="17"/>
        <v>0</v>
      </c>
      <c r="P41" s="14">
        <f t="shared" si="18"/>
        <v>0</v>
      </c>
      <c r="Q41" s="15">
        <f t="shared" si="19"/>
        <v>0</v>
      </c>
      <c r="R41" s="14">
        <f t="shared" si="6"/>
        <v>0</v>
      </c>
      <c r="S41" s="14">
        <f t="shared" si="20"/>
        <v>0</v>
      </c>
      <c r="T41" s="14">
        <f t="shared" si="21"/>
        <v>0</v>
      </c>
      <c r="U41" s="14">
        <f t="shared" si="22"/>
        <v>0</v>
      </c>
      <c r="V41" s="14">
        <f t="shared" si="23"/>
        <v>0</v>
      </c>
      <c r="W41" s="14">
        <f t="shared" si="24"/>
        <v>0</v>
      </c>
      <c r="X41" s="19">
        <f t="shared" si="25"/>
        <v>0</v>
      </c>
      <c r="AA41" s="37" t="s">
        <v>76</v>
      </c>
      <c r="AB41" s="41">
        <f>SUM(S2:S1001)</f>
        <v>107251.2</v>
      </c>
    </row>
    <row r="42" ht="15.75" customHeight="1">
      <c r="A42" s="31">
        <v>40.0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5"/>
        <v>0</v>
      </c>
      <c r="N42" s="13">
        <f t="shared" si="16"/>
        <v>0</v>
      </c>
      <c r="O42" s="13">
        <f t="shared" si="17"/>
        <v>0</v>
      </c>
      <c r="P42" s="14">
        <f t="shared" si="18"/>
        <v>0</v>
      </c>
      <c r="Q42" s="15">
        <f t="shared" si="19"/>
        <v>0</v>
      </c>
      <c r="R42" s="14">
        <f t="shared" si="6"/>
        <v>0</v>
      </c>
      <c r="S42" s="14">
        <f t="shared" si="20"/>
        <v>0</v>
      </c>
      <c r="T42" s="14">
        <f t="shared" si="21"/>
        <v>0</v>
      </c>
      <c r="U42" s="14">
        <f t="shared" si="22"/>
        <v>0</v>
      </c>
      <c r="V42" s="14">
        <f t="shared" si="23"/>
        <v>0</v>
      </c>
      <c r="W42" s="14">
        <f t="shared" si="24"/>
        <v>0</v>
      </c>
      <c r="X42" s="19">
        <f t="shared" si="25"/>
        <v>0</v>
      </c>
      <c r="AA42" s="37" t="s">
        <v>4</v>
      </c>
      <c r="AB42" s="41">
        <f>SUM(T2:T1001)</f>
        <v>9585683251</v>
      </c>
    </row>
    <row r="43" ht="15.75" customHeight="1">
      <c r="A43" s="31">
        <v>41.0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5"/>
        <v>0</v>
      </c>
      <c r="N43" s="13">
        <f t="shared" si="16"/>
        <v>0</v>
      </c>
      <c r="O43" s="13">
        <f t="shared" si="17"/>
        <v>0</v>
      </c>
      <c r="P43" s="14">
        <f t="shared" si="18"/>
        <v>0</v>
      </c>
      <c r="Q43" s="15">
        <f t="shared" si="19"/>
        <v>0</v>
      </c>
      <c r="R43" s="14">
        <f t="shared" si="6"/>
        <v>0</v>
      </c>
      <c r="S43" s="14">
        <f t="shared" si="20"/>
        <v>0</v>
      </c>
      <c r="T43" s="14">
        <f t="shared" si="21"/>
        <v>0</v>
      </c>
      <c r="U43" s="14">
        <f t="shared" si="22"/>
        <v>0</v>
      </c>
      <c r="V43" s="14">
        <f t="shared" si="23"/>
        <v>0</v>
      </c>
      <c r="W43" s="14">
        <f t="shared" si="24"/>
        <v>0</v>
      </c>
      <c r="X43" s="19">
        <f t="shared" si="25"/>
        <v>0</v>
      </c>
      <c r="AA43" s="37" t="s">
        <v>77</v>
      </c>
      <c r="AB43" s="41">
        <f>SUM(U2:U1001)</f>
        <v>512</v>
      </c>
    </row>
    <row r="44" ht="21.0" customHeight="1">
      <c r="A44" s="31">
        <v>42.0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5"/>
        <v>0</v>
      </c>
      <c r="N44" s="13">
        <f t="shared" si="16"/>
        <v>0</v>
      </c>
      <c r="O44" s="13">
        <f t="shared" si="17"/>
        <v>0</v>
      </c>
      <c r="P44" s="14">
        <f t="shared" si="18"/>
        <v>0</v>
      </c>
      <c r="Q44" s="15">
        <f t="shared" si="19"/>
        <v>0</v>
      </c>
      <c r="R44" s="14">
        <f t="shared" si="6"/>
        <v>0</v>
      </c>
      <c r="S44" s="14">
        <f t="shared" si="20"/>
        <v>0</v>
      </c>
      <c r="T44" s="14">
        <f t="shared" si="21"/>
        <v>0</v>
      </c>
      <c r="U44" s="14">
        <f t="shared" si="22"/>
        <v>0</v>
      </c>
      <c r="V44" s="14">
        <f t="shared" si="23"/>
        <v>0</v>
      </c>
      <c r="W44" s="14">
        <f t="shared" si="24"/>
        <v>0</v>
      </c>
      <c r="X44" s="19">
        <f t="shared" si="25"/>
        <v>0</v>
      </c>
      <c r="AA44" s="37" t="s">
        <v>78</v>
      </c>
      <c r="AB44" s="41">
        <f>SUM(V2:V1001)</f>
        <v>0</v>
      </c>
    </row>
    <row r="45" ht="15.75" customHeight="1">
      <c r="A45" s="31">
        <v>43.0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5"/>
        <v>0</v>
      </c>
      <c r="N45" s="13">
        <f t="shared" si="16"/>
        <v>0</v>
      </c>
      <c r="O45" s="13">
        <f t="shared" si="17"/>
        <v>0</v>
      </c>
      <c r="P45" s="14">
        <f t="shared" si="18"/>
        <v>0</v>
      </c>
      <c r="Q45" s="15">
        <f t="shared" si="19"/>
        <v>0</v>
      </c>
      <c r="R45" s="14">
        <f t="shared" si="6"/>
        <v>0</v>
      </c>
      <c r="S45" s="14">
        <f t="shared" si="20"/>
        <v>0</v>
      </c>
      <c r="T45" s="14">
        <f t="shared" si="21"/>
        <v>0</v>
      </c>
      <c r="U45" s="14">
        <f t="shared" si="22"/>
        <v>0</v>
      </c>
      <c r="V45" s="14">
        <f t="shared" si="23"/>
        <v>0</v>
      </c>
      <c r="W45" s="14">
        <f t="shared" si="24"/>
        <v>0</v>
      </c>
      <c r="X45" s="19">
        <f t="shared" si="25"/>
        <v>0</v>
      </c>
      <c r="AA45" s="42" t="s">
        <v>79</v>
      </c>
      <c r="AB45" s="43"/>
    </row>
    <row r="46" ht="15.75" customHeight="1">
      <c r="A46" s="31">
        <v>44.0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5"/>
        <v>0</v>
      </c>
      <c r="N46" s="13">
        <f t="shared" si="16"/>
        <v>0</v>
      </c>
      <c r="O46" s="13">
        <f t="shared" si="17"/>
        <v>0</v>
      </c>
      <c r="P46" s="14">
        <f t="shared" si="18"/>
        <v>0</v>
      </c>
      <c r="Q46" s="15">
        <f t="shared" si="19"/>
        <v>0</v>
      </c>
      <c r="R46" s="14">
        <f t="shared" si="6"/>
        <v>0</v>
      </c>
      <c r="S46" s="14">
        <f t="shared" si="20"/>
        <v>0</v>
      </c>
      <c r="T46" s="14">
        <f t="shared" si="21"/>
        <v>0</v>
      </c>
      <c r="U46" s="14">
        <f t="shared" si="22"/>
        <v>0</v>
      </c>
      <c r="V46" s="14">
        <f t="shared" si="23"/>
        <v>0</v>
      </c>
      <c r="W46" s="14">
        <f t="shared" si="24"/>
        <v>0</v>
      </c>
      <c r="X46" s="19">
        <f t="shared" si="25"/>
        <v>0</v>
      </c>
      <c r="AA46" s="44" t="s">
        <v>80</v>
      </c>
      <c r="AB46" s="45">
        <f>SUM(Q2:Q1001)</f>
        <v>90236.16</v>
      </c>
    </row>
    <row r="47" ht="15.75" customHeight="1">
      <c r="A47" s="31">
        <v>45.0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5"/>
        <v>0</v>
      </c>
      <c r="N47" s="13">
        <f t="shared" si="16"/>
        <v>0</v>
      </c>
      <c r="O47" s="13">
        <f t="shared" si="17"/>
        <v>0</v>
      </c>
      <c r="P47" s="14">
        <f t="shared" si="18"/>
        <v>0</v>
      </c>
      <c r="Q47" s="15">
        <f t="shared" si="19"/>
        <v>0</v>
      </c>
      <c r="R47" s="14">
        <f t="shared" si="6"/>
        <v>0</v>
      </c>
      <c r="S47" s="14">
        <f t="shared" si="20"/>
        <v>0</v>
      </c>
      <c r="T47" s="14">
        <f t="shared" si="21"/>
        <v>0</v>
      </c>
      <c r="U47" s="14">
        <f t="shared" si="22"/>
        <v>0</v>
      </c>
      <c r="V47" s="14">
        <f t="shared" si="23"/>
        <v>0</v>
      </c>
      <c r="W47" s="14">
        <f t="shared" si="24"/>
        <v>0</v>
      </c>
      <c r="X47" s="19">
        <f t="shared" si="25"/>
        <v>0</v>
      </c>
      <c r="AA47" s="46" t="s">
        <v>81</v>
      </c>
      <c r="AB47" s="26"/>
    </row>
    <row r="48" ht="15.75" customHeight="1">
      <c r="A48" s="31">
        <v>46.0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5"/>
        <v>0</v>
      </c>
      <c r="N48" s="13">
        <f t="shared" si="16"/>
        <v>0</v>
      </c>
      <c r="O48" s="13">
        <f t="shared" si="17"/>
        <v>0</v>
      </c>
      <c r="P48" s="14">
        <f t="shared" si="18"/>
        <v>0</v>
      </c>
      <c r="Q48" s="15">
        <f t="shared" si="19"/>
        <v>0</v>
      </c>
      <c r="R48" s="14">
        <f t="shared" si="6"/>
        <v>0</v>
      </c>
      <c r="S48" s="14">
        <f t="shared" si="20"/>
        <v>0</v>
      </c>
      <c r="T48" s="14">
        <f t="shared" si="21"/>
        <v>0</v>
      </c>
      <c r="U48" s="14">
        <f t="shared" si="22"/>
        <v>0</v>
      </c>
      <c r="V48" s="14">
        <f t="shared" si="23"/>
        <v>0</v>
      </c>
      <c r="W48" s="14">
        <f t="shared" si="24"/>
        <v>0</v>
      </c>
      <c r="X48" s="19">
        <f t="shared" si="25"/>
        <v>0</v>
      </c>
      <c r="AA48" s="47" t="s">
        <v>82</v>
      </c>
      <c r="AB48" s="48">
        <v>0.4</v>
      </c>
    </row>
    <row r="49" ht="15.75" customHeight="1">
      <c r="A49" s="31">
        <v>47.0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5"/>
        <v>0</v>
      </c>
      <c r="N49" s="13">
        <f t="shared" si="16"/>
        <v>0</v>
      </c>
      <c r="O49" s="13">
        <f t="shared" si="17"/>
        <v>0</v>
      </c>
      <c r="P49" s="14">
        <f t="shared" si="18"/>
        <v>0</v>
      </c>
      <c r="Q49" s="15">
        <f t="shared" si="19"/>
        <v>0</v>
      </c>
      <c r="R49" s="14">
        <f t="shared" si="6"/>
        <v>0</v>
      </c>
      <c r="S49" s="14">
        <f t="shared" si="20"/>
        <v>0</v>
      </c>
      <c r="T49" s="14">
        <f t="shared" si="21"/>
        <v>0</v>
      </c>
      <c r="U49" s="14">
        <f t="shared" si="22"/>
        <v>0</v>
      </c>
      <c r="V49" s="14">
        <f t="shared" si="23"/>
        <v>0</v>
      </c>
      <c r="W49" s="14">
        <f t="shared" si="24"/>
        <v>0</v>
      </c>
      <c r="X49" s="19">
        <f t="shared" si="25"/>
        <v>0</v>
      </c>
      <c r="AA49" s="47" t="s">
        <v>83</v>
      </c>
      <c r="AB49" s="49">
        <v>37.5</v>
      </c>
    </row>
    <row r="50" ht="15.75" customHeight="1">
      <c r="A50" s="31">
        <v>48.0</v>
      </c>
      <c r="B50" s="21"/>
      <c r="C50" s="21"/>
      <c r="D50" s="21"/>
      <c r="E50" s="21"/>
      <c r="F50" s="21"/>
      <c r="G50" s="31" t="b">
        <v>1</v>
      </c>
      <c r="H50" s="12" t="b">
        <v>0</v>
      </c>
      <c r="I50" s="3" t="b">
        <v>0</v>
      </c>
      <c r="J50" s="3" t="b">
        <v>0</v>
      </c>
      <c r="K50" s="3" t="b">
        <v>0</v>
      </c>
      <c r="L50" s="8">
        <v>1.0</v>
      </c>
      <c r="M50" s="13">
        <f t="shared" si="15"/>
        <v>0</v>
      </c>
      <c r="N50" s="13">
        <f t="shared" si="16"/>
        <v>0</v>
      </c>
      <c r="O50" s="13">
        <f t="shared" si="17"/>
        <v>0</v>
      </c>
      <c r="P50" s="14">
        <f t="shared" si="18"/>
        <v>0</v>
      </c>
      <c r="Q50" s="15">
        <f t="shared" si="19"/>
        <v>0</v>
      </c>
      <c r="R50" s="14">
        <f t="shared" si="6"/>
        <v>0</v>
      </c>
      <c r="S50" s="14">
        <f t="shared" si="20"/>
        <v>0</v>
      </c>
      <c r="T50" s="14">
        <f t="shared" si="21"/>
        <v>0</v>
      </c>
      <c r="U50" s="14">
        <f t="shared" si="22"/>
        <v>0</v>
      </c>
      <c r="V50" s="14">
        <f t="shared" si="23"/>
        <v>0</v>
      </c>
      <c r="W50" s="14">
        <f t="shared" si="24"/>
        <v>0</v>
      </c>
      <c r="X50" s="19">
        <f t="shared" si="25"/>
        <v>0</v>
      </c>
      <c r="AA50" s="47" t="s">
        <v>74</v>
      </c>
      <c r="AB50" s="50">
        <f t="shared" ref="AB50:AB56" si="26">IFERROR((AB39*$AB$48)/$AB$49,0)</f>
        <v>42.93973333</v>
      </c>
    </row>
    <row r="51" ht="15.75" customHeight="1">
      <c r="A51" s="31"/>
      <c r="B51" s="21"/>
      <c r="C51" s="21"/>
      <c r="D51" s="21"/>
      <c r="E51" s="21"/>
      <c r="F51" s="21"/>
      <c r="G51" s="31"/>
      <c r="H51" s="12"/>
      <c r="M51" s="13"/>
      <c r="N51" s="13"/>
      <c r="O51" s="13"/>
      <c r="P51" s="14"/>
      <c r="Q51" s="15">
        <f t="shared" si="19"/>
        <v>0</v>
      </c>
      <c r="R51" s="14"/>
      <c r="S51" s="14"/>
      <c r="T51" s="14"/>
      <c r="U51" s="14"/>
      <c r="V51" s="14"/>
      <c r="W51" s="14">
        <f t="shared" si="24"/>
        <v>0</v>
      </c>
      <c r="X51" s="19">
        <f t="shared" si="25"/>
        <v>0</v>
      </c>
      <c r="AA51" s="47" t="s">
        <v>75</v>
      </c>
      <c r="AB51" s="50">
        <f t="shared" si="26"/>
        <v>7.9872</v>
      </c>
    </row>
    <row r="52" ht="15.75" customHeight="1">
      <c r="A52" s="31" t="s">
        <v>26</v>
      </c>
      <c r="B52" s="31" t="s">
        <v>26</v>
      </c>
      <c r="C52" s="31" t="s">
        <v>26</v>
      </c>
      <c r="D52" s="31" t="s">
        <v>26</v>
      </c>
      <c r="E52" s="31" t="s">
        <v>26</v>
      </c>
      <c r="F52" s="31" t="s">
        <v>26</v>
      </c>
      <c r="G52" s="31" t="s">
        <v>26</v>
      </c>
      <c r="H52" s="31" t="s">
        <v>26</v>
      </c>
      <c r="I52" s="8" t="s">
        <v>26</v>
      </c>
      <c r="J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20" t="s">
        <v>26</v>
      </c>
      <c r="Q52" s="51">
        <f t="shared" si="19"/>
        <v>0</v>
      </c>
      <c r="R52" s="52" t="s">
        <v>26</v>
      </c>
      <c r="S52" s="20" t="s">
        <v>26</v>
      </c>
      <c r="T52" s="20" t="s">
        <v>26</v>
      </c>
      <c r="U52" s="20" t="s">
        <v>26</v>
      </c>
      <c r="V52" s="20" t="s">
        <v>26</v>
      </c>
      <c r="W52" s="20">
        <f t="shared" si="24"/>
        <v>0</v>
      </c>
      <c r="X52" s="19">
        <f t="shared" si="25"/>
        <v>0</v>
      </c>
      <c r="AA52" s="47" t="s">
        <v>76</v>
      </c>
      <c r="AB52" s="50">
        <f t="shared" si="26"/>
        <v>1144.0128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19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24"/>
        <v>0</v>
      </c>
      <c r="X53" s="19">
        <f t="shared" si="25"/>
        <v>0</v>
      </c>
      <c r="AA53" s="47" t="s">
        <v>4</v>
      </c>
      <c r="AB53" s="50">
        <f t="shared" si="26"/>
        <v>102247288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19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24"/>
        <v>0</v>
      </c>
      <c r="X54" s="19">
        <f t="shared" si="25"/>
        <v>0</v>
      </c>
      <c r="AA54" s="47" t="s">
        <v>77</v>
      </c>
      <c r="AB54" s="50">
        <f t="shared" si="26"/>
        <v>5.461333333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19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24"/>
        <v>0</v>
      </c>
      <c r="X55" s="19">
        <f t="shared" si="25"/>
        <v>0</v>
      </c>
      <c r="AA55" s="53" t="s">
        <v>78</v>
      </c>
      <c r="AB55" s="54">
        <f t="shared" si="26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19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24"/>
        <v>0</v>
      </c>
      <c r="X56" s="19">
        <f t="shared" si="25"/>
        <v>0</v>
      </c>
      <c r="AA56" s="55" t="s">
        <v>84</v>
      </c>
      <c r="AB56" s="56">
        <f t="shared" si="26"/>
        <v>0</v>
      </c>
    </row>
    <row r="57" ht="15.75" customHeight="1">
      <c r="A57" s="8" t="s">
        <v>26</v>
      </c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19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24"/>
        <v>0</v>
      </c>
      <c r="X57" s="19">
        <f t="shared" si="25"/>
        <v>0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19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24"/>
        <v>0</v>
      </c>
      <c r="X58" s="19">
        <f t="shared" si="25"/>
        <v>0</v>
      </c>
      <c r="AA58" s="57"/>
      <c r="AB58" s="26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19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24"/>
        <v>0</v>
      </c>
      <c r="X59" s="19">
        <f t="shared" si="25"/>
        <v>0</v>
      </c>
      <c r="AA59" s="37"/>
      <c r="AB59" s="41"/>
    </row>
    <row r="60" ht="15.75" customHeight="1"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19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24"/>
        <v>0</v>
      </c>
      <c r="X60" s="19">
        <f t="shared" si="25"/>
        <v>0</v>
      </c>
      <c r="AA60" s="37"/>
      <c r="AB60" s="41"/>
    </row>
    <row r="61" ht="15.75" customHeight="1">
      <c r="A61" s="31"/>
      <c r="B61" s="8" t="s">
        <v>26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51">
        <f t="shared" si="19"/>
        <v>0</v>
      </c>
      <c r="R61" s="8" t="s">
        <v>26</v>
      </c>
      <c r="S61" s="8" t="s">
        <v>26</v>
      </c>
      <c r="T61" s="8" t="s">
        <v>26</v>
      </c>
      <c r="U61" s="8" t="s">
        <v>26</v>
      </c>
      <c r="V61" s="8" t="s">
        <v>26</v>
      </c>
      <c r="W61" s="8">
        <f t="shared" si="24"/>
        <v>0</v>
      </c>
      <c r="X61" s="19">
        <f t="shared" si="25"/>
        <v>0</v>
      </c>
      <c r="AA61" s="37"/>
      <c r="AB61" s="41"/>
    </row>
    <row r="62" ht="15.75" customHeight="1">
      <c r="Q62" s="15">
        <f t="shared" si="19"/>
        <v>0</v>
      </c>
      <c r="W62" s="22">
        <f t="shared" si="24"/>
        <v>0</v>
      </c>
      <c r="X62" s="19">
        <f t="shared" si="25"/>
        <v>0</v>
      </c>
      <c r="AA62" s="37"/>
      <c r="AB62" s="41"/>
    </row>
    <row r="63" ht="15.75" customHeight="1">
      <c r="A63" s="21"/>
      <c r="Q63" s="15">
        <f t="shared" si="19"/>
        <v>0</v>
      </c>
      <c r="W63" s="22">
        <f t="shared" si="24"/>
        <v>0</v>
      </c>
      <c r="X63" s="19">
        <f t="shared" si="25"/>
        <v>0</v>
      </c>
      <c r="AA63" s="37"/>
      <c r="AB63" s="41"/>
    </row>
    <row r="64" ht="15.75" customHeight="1">
      <c r="A64" s="21"/>
      <c r="Q64" s="15">
        <f t="shared" si="19"/>
        <v>0</v>
      </c>
      <c r="W64" s="22">
        <f t="shared" si="24"/>
        <v>0</v>
      </c>
      <c r="X64" s="19">
        <f t="shared" si="25"/>
        <v>0</v>
      </c>
      <c r="AA64" s="37"/>
      <c r="AB64" s="41"/>
    </row>
    <row r="65" ht="15.75" customHeight="1">
      <c r="Q65" s="15">
        <f t="shared" si="19"/>
        <v>0</v>
      </c>
      <c r="W65" s="22">
        <f t="shared" si="24"/>
        <v>0</v>
      </c>
      <c r="X65" s="19">
        <f t="shared" si="25"/>
        <v>0</v>
      </c>
      <c r="AA65" s="42"/>
      <c r="AB65" s="43"/>
    </row>
    <row r="66" ht="15.75" customHeight="1">
      <c r="Q66" s="15">
        <f t="shared" si="19"/>
        <v>0</v>
      </c>
      <c r="W66" s="22">
        <f t="shared" si="24"/>
        <v>0</v>
      </c>
      <c r="X66" s="19">
        <f t="shared" si="25"/>
        <v>0</v>
      </c>
      <c r="AA66" s="44"/>
      <c r="AB66" s="45"/>
    </row>
    <row r="67" ht="15.75" customHeight="1">
      <c r="Q67" s="15">
        <f t="shared" si="19"/>
        <v>0</v>
      </c>
      <c r="W67" s="22">
        <f t="shared" si="24"/>
        <v>0</v>
      </c>
      <c r="X67" s="19">
        <f t="shared" si="25"/>
        <v>0</v>
      </c>
    </row>
    <row r="68" ht="15.75" customHeight="1">
      <c r="Q68" s="15">
        <f t="shared" si="19"/>
        <v>0</v>
      </c>
      <c r="W68" s="22">
        <f t="shared" si="24"/>
        <v>0</v>
      </c>
      <c r="X68" s="19">
        <f t="shared" si="25"/>
        <v>0</v>
      </c>
    </row>
    <row r="69" ht="15.75" customHeight="1">
      <c r="Q69" s="15">
        <f t="shared" si="19"/>
        <v>0</v>
      </c>
      <c r="W69" s="22">
        <f t="shared" si="24"/>
        <v>0</v>
      </c>
      <c r="X69" s="19">
        <f t="shared" si="25"/>
        <v>0</v>
      </c>
    </row>
    <row r="70" ht="15.75" customHeight="1">
      <c r="Q70" s="15">
        <f t="shared" si="19"/>
        <v>0</v>
      </c>
      <c r="W70" s="22">
        <f t="shared" si="24"/>
        <v>0</v>
      </c>
      <c r="X70" s="19">
        <f t="shared" si="25"/>
        <v>0</v>
      </c>
    </row>
    <row r="71" ht="15.75" customHeight="1">
      <c r="Q71" s="15">
        <f t="shared" si="19"/>
        <v>0</v>
      </c>
      <c r="W71" s="22">
        <f t="shared" si="24"/>
        <v>0</v>
      </c>
      <c r="X71" s="19">
        <f t="shared" si="25"/>
        <v>0</v>
      </c>
    </row>
    <row r="72" ht="15.75" customHeight="1">
      <c r="Q72" s="15">
        <f t="shared" si="19"/>
        <v>0</v>
      </c>
      <c r="W72" s="22">
        <f t="shared" si="24"/>
        <v>0</v>
      </c>
      <c r="X72" s="19">
        <f t="shared" si="25"/>
        <v>0</v>
      </c>
    </row>
    <row r="73" ht="15.75" customHeight="1">
      <c r="Q73" s="15">
        <f t="shared" si="19"/>
        <v>0</v>
      </c>
      <c r="W73" s="22">
        <f t="shared" si="24"/>
        <v>0</v>
      </c>
      <c r="X73" s="19">
        <f t="shared" si="25"/>
        <v>0</v>
      </c>
    </row>
    <row r="74" ht="15.75" customHeight="1">
      <c r="Q74" s="15">
        <f t="shared" si="19"/>
        <v>0</v>
      </c>
      <c r="W74" s="22">
        <f t="shared" si="24"/>
        <v>0</v>
      </c>
      <c r="X74" s="19">
        <f t="shared" si="25"/>
        <v>0</v>
      </c>
    </row>
    <row r="75" ht="15.75" customHeight="1">
      <c r="Q75" s="15">
        <f t="shared" si="19"/>
        <v>0</v>
      </c>
      <c r="W75" s="22">
        <f t="shared" si="24"/>
        <v>0</v>
      </c>
      <c r="X75" s="19">
        <f t="shared" si="25"/>
        <v>0</v>
      </c>
    </row>
    <row r="76" ht="15.75" customHeight="1">
      <c r="Q76" s="15">
        <f t="shared" si="19"/>
        <v>0</v>
      </c>
      <c r="W76" s="22">
        <f t="shared" si="24"/>
        <v>0</v>
      </c>
      <c r="X76" s="19">
        <f t="shared" si="25"/>
        <v>0</v>
      </c>
    </row>
    <row r="77" ht="15.75" customHeight="1">
      <c r="Q77" s="15">
        <f t="shared" si="19"/>
        <v>0</v>
      </c>
      <c r="W77" s="22">
        <f t="shared" si="24"/>
        <v>0</v>
      </c>
      <c r="X77" s="19">
        <f t="shared" si="25"/>
        <v>0</v>
      </c>
    </row>
    <row r="78" ht="15.75" customHeight="1">
      <c r="Q78" s="15">
        <f t="shared" si="19"/>
        <v>0</v>
      </c>
      <c r="W78" s="22">
        <f t="shared" si="24"/>
        <v>0</v>
      </c>
      <c r="X78" s="19">
        <f t="shared" si="25"/>
        <v>0</v>
      </c>
    </row>
    <row r="79" ht="15.75" customHeight="1">
      <c r="Q79" s="15">
        <f t="shared" si="19"/>
        <v>0</v>
      </c>
      <c r="W79" s="22">
        <f t="shared" si="24"/>
        <v>0</v>
      </c>
      <c r="X79" s="19">
        <f t="shared" si="25"/>
        <v>0</v>
      </c>
    </row>
    <row r="80" ht="15.75" customHeight="1">
      <c r="Q80" s="15">
        <f t="shared" si="19"/>
        <v>0</v>
      </c>
      <c r="W80" s="22">
        <f t="shared" si="24"/>
        <v>0</v>
      </c>
      <c r="X80" s="19">
        <f t="shared" si="25"/>
        <v>0</v>
      </c>
    </row>
    <row r="81" ht="15.75" customHeight="1">
      <c r="Q81" s="15">
        <f t="shared" si="19"/>
        <v>0</v>
      </c>
      <c r="W81" s="22">
        <f t="shared" si="24"/>
        <v>0</v>
      </c>
      <c r="X81" s="19">
        <f t="shared" si="25"/>
        <v>0</v>
      </c>
    </row>
    <row r="82" ht="15.75" customHeight="1">
      <c r="Q82" s="15">
        <f t="shared" si="19"/>
        <v>0</v>
      </c>
      <c r="W82" s="22">
        <f t="shared" si="24"/>
        <v>0</v>
      </c>
      <c r="X82" s="19">
        <f t="shared" si="25"/>
        <v>0</v>
      </c>
    </row>
    <row r="83" ht="15.75" customHeight="1">
      <c r="Q83" s="15">
        <f t="shared" si="19"/>
        <v>0</v>
      </c>
      <c r="W83" s="22">
        <f t="shared" si="24"/>
        <v>0</v>
      </c>
      <c r="X83" s="19">
        <f t="shared" si="25"/>
        <v>0</v>
      </c>
    </row>
    <row r="84" ht="15.75" customHeight="1">
      <c r="Q84" s="15">
        <f t="shared" si="19"/>
        <v>0</v>
      </c>
      <c r="W84" s="22">
        <f t="shared" si="24"/>
        <v>0</v>
      </c>
      <c r="X84" s="19">
        <f t="shared" si="25"/>
        <v>0</v>
      </c>
    </row>
    <row r="85" ht="15.75" customHeight="1">
      <c r="Q85" s="15">
        <f t="shared" si="19"/>
        <v>0</v>
      </c>
      <c r="W85" s="22">
        <f t="shared" si="24"/>
        <v>0</v>
      </c>
      <c r="X85" s="19">
        <f t="shared" si="25"/>
        <v>0</v>
      </c>
    </row>
    <row r="86" ht="15.75" customHeight="1">
      <c r="Q86" s="15">
        <f t="shared" si="19"/>
        <v>0</v>
      </c>
      <c r="W86" s="22">
        <f t="shared" si="24"/>
        <v>0</v>
      </c>
      <c r="X86" s="19">
        <f t="shared" si="25"/>
        <v>0</v>
      </c>
    </row>
    <row r="87" ht="15.75" customHeight="1">
      <c r="Q87" s="15">
        <f t="shared" si="19"/>
        <v>0</v>
      </c>
      <c r="W87" s="22">
        <f t="shared" si="24"/>
        <v>0</v>
      </c>
      <c r="X87" s="19">
        <f t="shared" si="25"/>
        <v>0</v>
      </c>
    </row>
    <row r="88" ht="15.75" customHeight="1">
      <c r="Q88" s="15">
        <f t="shared" si="19"/>
        <v>0</v>
      </c>
      <c r="W88" s="22">
        <f t="shared" si="24"/>
        <v>0</v>
      </c>
      <c r="X88" s="19">
        <f t="shared" si="25"/>
        <v>0</v>
      </c>
    </row>
    <row r="89" ht="15.75" customHeight="1">
      <c r="Q89" s="15">
        <f t="shared" si="19"/>
        <v>0</v>
      </c>
      <c r="W89" s="22">
        <f t="shared" si="24"/>
        <v>0</v>
      </c>
      <c r="X89" s="19">
        <f t="shared" si="25"/>
        <v>0</v>
      </c>
    </row>
    <row r="90" ht="15.75" customHeight="1">
      <c r="Q90" s="15">
        <f t="shared" si="19"/>
        <v>0</v>
      </c>
      <c r="W90" s="22">
        <f t="shared" si="24"/>
        <v>0</v>
      </c>
      <c r="X90" s="19">
        <f t="shared" si="25"/>
        <v>0</v>
      </c>
    </row>
    <row r="91" ht="15.75" customHeight="1">
      <c r="Q91" s="15">
        <f t="shared" si="19"/>
        <v>0</v>
      </c>
      <c r="W91" s="22">
        <f t="shared" si="24"/>
        <v>0</v>
      </c>
      <c r="X91" s="19">
        <f t="shared" si="25"/>
        <v>0</v>
      </c>
    </row>
    <row r="92" ht="15.75" customHeight="1">
      <c r="Q92" s="15">
        <f t="shared" si="19"/>
        <v>0</v>
      </c>
      <c r="W92" s="22">
        <f t="shared" si="24"/>
        <v>0</v>
      </c>
      <c r="X92" s="19">
        <f t="shared" si="25"/>
        <v>0</v>
      </c>
    </row>
    <row r="93" ht="15.75" customHeight="1">
      <c r="Q93" s="15">
        <f t="shared" si="19"/>
        <v>0</v>
      </c>
      <c r="W93" s="22">
        <f t="shared" si="24"/>
        <v>0</v>
      </c>
      <c r="X93" s="19">
        <f t="shared" si="25"/>
        <v>0</v>
      </c>
    </row>
    <row r="94" ht="15.75" customHeight="1">
      <c r="Q94" s="15">
        <f t="shared" si="19"/>
        <v>0</v>
      </c>
      <c r="W94" s="22">
        <f t="shared" si="24"/>
        <v>0</v>
      </c>
      <c r="X94" s="19">
        <f t="shared" si="25"/>
        <v>0</v>
      </c>
    </row>
    <row r="95" ht="15.75" customHeight="1">
      <c r="Q95" s="15">
        <f t="shared" si="19"/>
        <v>0</v>
      </c>
      <c r="W95" s="22">
        <f t="shared" si="24"/>
        <v>0</v>
      </c>
      <c r="X95" s="19">
        <f t="shared" si="25"/>
        <v>0</v>
      </c>
    </row>
    <row r="96" ht="15.75" customHeight="1">
      <c r="Q96" s="15">
        <f t="shared" si="19"/>
        <v>0</v>
      </c>
      <c r="W96" s="22">
        <f t="shared" si="24"/>
        <v>0</v>
      </c>
      <c r="X96" s="19">
        <f t="shared" si="25"/>
        <v>0</v>
      </c>
    </row>
    <row r="97" ht="15.75" customHeight="1">
      <c r="Q97" s="15">
        <f t="shared" si="19"/>
        <v>0</v>
      </c>
      <c r="W97" s="22">
        <f t="shared" si="24"/>
        <v>0</v>
      </c>
      <c r="X97" s="19">
        <f t="shared" si="25"/>
        <v>0</v>
      </c>
    </row>
    <row r="98" ht="15.75" customHeight="1">
      <c r="Q98" s="15">
        <f t="shared" si="19"/>
        <v>0</v>
      </c>
      <c r="W98" s="22">
        <f t="shared" si="24"/>
        <v>0</v>
      </c>
      <c r="X98" s="19">
        <f t="shared" si="25"/>
        <v>0</v>
      </c>
    </row>
    <row r="99" ht="15.75" customHeight="1">
      <c r="Q99" s="15">
        <f t="shared" si="19"/>
        <v>0</v>
      </c>
      <c r="W99" s="22">
        <f t="shared" si="24"/>
        <v>0</v>
      </c>
      <c r="X99" s="19">
        <f t="shared" si="25"/>
        <v>0</v>
      </c>
    </row>
    <row r="100" ht="15.75" customHeight="1">
      <c r="Q100" s="15">
        <f t="shared" si="19"/>
        <v>0</v>
      </c>
      <c r="W100" s="22">
        <f t="shared" si="24"/>
        <v>0</v>
      </c>
      <c r="X100" s="19">
        <f t="shared" si="25"/>
        <v>0</v>
      </c>
    </row>
    <row r="101" ht="15.75" customHeight="1">
      <c r="Q101" s="15">
        <f t="shared" si="19"/>
        <v>0</v>
      </c>
      <c r="W101" s="22">
        <f t="shared" si="24"/>
        <v>0</v>
      </c>
      <c r="X101" s="19">
        <f t="shared" si="25"/>
        <v>0</v>
      </c>
    </row>
    <row r="102" ht="15.75" customHeight="1">
      <c r="Q102" s="15">
        <f t="shared" si="19"/>
        <v>0</v>
      </c>
      <c r="W102" s="22">
        <f t="shared" si="24"/>
        <v>0</v>
      </c>
      <c r="X102" s="19">
        <f t="shared" si="25"/>
        <v>0</v>
      </c>
    </row>
    <row r="103" ht="15.75" customHeight="1">
      <c r="Q103" s="15">
        <f t="shared" si="19"/>
        <v>0</v>
      </c>
      <c r="W103" s="22">
        <f t="shared" si="24"/>
        <v>0</v>
      </c>
      <c r="X103" s="19">
        <f t="shared" si="25"/>
        <v>0</v>
      </c>
    </row>
    <row r="104" ht="15.75" customHeight="1">
      <c r="Q104" s="15">
        <f t="shared" si="19"/>
        <v>0</v>
      </c>
      <c r="W104" s="22">
        <f t="shared" si="24"/>
        <v>0</v>
      </c>
      <c r="X104" s="19">
        <f t="shared" si="25"/>
        <v>0</v>
      </c>
    </row>
    <row r="105" ht="15.75" customHeight="1">
      <c r="Q105" s="15">
        <f t="shared" si="19"/>
        <v>0</v>
      </c>
      <c r="W105" s="22">
        <f t="shared" si="24"/>
        <v>0</v>
      </c>
      <c r="X105" s="19">
        <f t="shared" si="25"/>
        <v>0</v>
      </c>
    </row>
    <row r="106" ht="15.75" customHeight="1">
      <c r="Q106" s="15">
        <f t="shared" si="19"/>
        <v>0</v>
      </c>
      <c r="W106" s="22">
        <f t="shared" si="24"/>
        <v>0</v>
      </c>
      <c r="X106" s="19">
        <f t="shared" si="25"/>
        <v>0</v>
      </c>
    </row>
    <row r="107" ht="15.75" customHeight="1">
      <c r="Q107" s="15">
        <f t="shared" si="19"/>
        <v>0</v>
      </c>
      <c r="W107" s="22">
        <f t="shared" si="24"/>
        <v>0</v>
      </c>
      <c r="X107" s="19">
        <f t="shared" si="25"/>
        <v>0</v>
      </c>
    </row>
    <row r="108" ht="15.75" customHeight="1">
      <c r="Q108" s="15">
        <f t="shared" si="19"/>
        <v>0</v>
      </c>
      <c r="W108" s="22">
        <f t="shared" si="24"/>
        <v>0</v>
      </c>
      <c r="X108" s="19">
        <f t="shared" si="25"/>
        <v>0</v>
      </c>
    </row>
    <row r="109" ht="15.75" customHeight="1">
      <c r="Q109" s="15">
        <f t="shared" si="19"/>
        <v>0</v>
      </c>
      <c r="W109" s="22">
        <f t="shared" si="24"/>
        <v>0</v>
      </c>
      <c r="X109" s="19">
        <f t="shared" si="25"/>
        <v>0</v>
      </c>
    </row>
    <row r="110" ht="15.75" customHeight="1">
      <c r="Q110" s="15">
        <f t="shared" si="19"/>
        <v>0</v>
      </c>
      <c r="W110" s="22">
        <f t="shared" si="24"/>
        <v>0</v>
      </c>
      <c r="X110" s="19">
        <f t="shared" si="25"/>
        <v>0</v>
      </c>
    </row>
    <row r="111" ht="15.75" customHeight="1">
      <c r="Q111" s="15">
        <f t="shared" si="19"/>
        <v>0</v>
      </c>
      <c r="W111" s="22">
        <f t="shared" si="24"/>
        <v>0</v>
      </c>
      <c r="X111" s="19">
        <f t="shared" si="25"/>
        <v>0</v>
      </c>
    </row>
    <row r="112" ht="15.75" customHeight="1">
      <c r="Q112" s="15">
        <f t="shared" si="19"/>
        <v>0</v>
      </c>
      <c r="W112" s="22">
        <f t="shared" si="24"/>
        <v>0</v>
      </c>
      <c r="X112" s="19">
        <f t="shared" si="25"/>
        <v>0</v>
      </c>
    </row>
    <row r="113" ht="15.75" customHeight="1">
      <c r="Q113" s="15">
        <f t="shared" si="19"/>
        <v>0</v>
      </c>
      <c r="W113" s="22">
        <f t="shared" si="24"/>
        <v>0</v>
      </c>
      <c r="X113" s="19">
        <f t="shared" si="25"/>
        <v>0</v>
      </c>
    </row>
    <row r="114" ht="15.75" customHeight="1">
      <c r="Q114" s="15">
        <f t="shared" si="19"/>
        <v>0</v>
      </c>
      <c r="W114" s="22">
        <f t="shared" si="24"/>
        <v>0</v>
      </c>
      <c r="X114" s="19">
        <f t="shared" si="25"/>
        <v>0</v>
      </c>
    </row>
    <row r="115" ht="15.75" customHeight="1">
      <c r="Q115" s="15">
        <f t="shared" si="19"/>
        <v>0</v>
      </c>
      <c r="W115" s="22">
        <f t="shared" si="24"/>
        <v>0</v>
      </c>
      <c r="X115" s="19">
        <f t="shared" si="25"/>
        <v>0</v>
      </c>
    </row>
    <row r="116" ht="15.75" customHeight="1">
      <c r="Q116" s="15">
        <f t="shared" si="19"/>
        <v>0</v>
      </c>
      <c r="W116" s="22">
        <f t="shared" si="24"/>
        <v>0</v>
      </c>
      <c r="X116" s="19">
        <f t="shared" si="25"/>
        <v>0</v>
      </c>
    </row>
    <row r="117" ht="15.75" customHeight="1">
      <c r="Q117" s="15">
        <f t="shared" si="19"/>
        <v>0</v>
      </c>
      <c r="W117" s="22">
        <f t="shared" si="24"/>
        <v>0</v>
      </c>
      <c r="X117" s="19">
        <f t="shared" si="25"/>
        <v>0</v>
      </c>
    </row>
    <row r="118" ht="15.75" customHeight="1">
      <c r="Q118" s="15">
        <f t="shared" si="19"/>
        <v>0</v>
      </c>
      <c r="W118" s="22">
        <f t="shared" si="24"/>
        <v>0</v>
      </c>
      <c r="X118" s="19">
        <f t="shared" si="25"/>
        <v>0</v>
      </c>
    </row>
    <row r="119" ht="15.75" customHeight="1">
      <c r="Q119" s="15">
        <f t="shared" si="19"/>
        <v>0</v>
      </c>
      <c r="W119" s="22">
        <f t="shared" si="24"/>
        <v>0</v>
      </c>
      <c r="X119" s="19">
        <f t="shared" si="25"/>
        <v>0</v>
      </c>
    </row>
    <row r="120" ht="15.75" customHeight="1">
      <c r="Q120" s="15">
        <f t="shared" si="19"/>
        <v>0</v>
      </c>
      <c r="W120" s="22">
        <f t="shared" si="24"/>
        <v>0</v>
      </c>
      <c r="X120" s="19">
        <f t="shared" si="25"/>
        <v>0</v>
      </c>
    </row>
    <row r="121" ht="15.75" customHeight="1">
      <c r="Q121" s="15">
        <f t="shared" si="19"/>
        <v>0</v>
      </c>
      <c r="W121" s="22">
        <f t="shared" si="24"/>
        <v>0</v>
      </c>
      <c r="X121" s="19">
        <f t="shared" si="25"/>
        <v>0</v>
      </c>
    </row>
    <row r="122" ht="15.75" customHeight="1">
      <c r="Q122" s="15">
        <f t="shared" si="19"/>
        <v>0</v>
      </c>
      <c r="W122" s="22">
        <f t="shared" si="24"/>
        <v>0</v>
      </c>
      <c r="X122" s="19">
        <f t="shared" si="25"/>
        <v>0</v>
      </c>
    </row>
    <row r="123" ht="15.75" customHeight="1">
      <c r="Q123" s="15">
        <f t="shared" si="19"/>
        <v>0</v>
      </c>
      <c r="W123" s="22">
        <f t="shared" si="24"/>
        <v>0</v>
      </c>
      <c r="X123" s="19">
        <f t="shared" si="25"/>
        <v>0</v>
      </c>
    </row>
    <row r="124" ht="15.75" customHeight="1">
      <c r="Q124" s="15">
        <f t="shared" si="19"/>
        <v>0</v>
      </c>
      <c r="W124" s="22">
        <f t="shared" si="24"/>
        <v>0</v>
      </c>
      <c r="X124" s="19">
        <f t="shared" si="25"/>
        <v>0</v>
      </c>
    </row>
    <row r="125" ht="15.75" customHeight="1">
      <c r="Q125" s="15">
        <f t="shared" si="19"/>
        <v>0</v>
      </c>
      <c r="W125" s="22">
        <f t="shared" si="24"/>
        <v>0</v>
      </c>
      <c r="X125" s="19">
        <f t="shared" si="25"/>
        <v>0</v>
      </c>
    </row>
    <row r="126" ht="15.75" customHeight="1">
      <c r="Q126" s="15">
        <f t="shared" si="19"/>
        <v>0</v>
      </c>
      <c r="W126" s="22">
        <f t="shared" si="24"/>
        <v>0</v>
      </c>
      <c r="X126" s="19">
        <f t="shared" si="25"/>
        <v>0</v>
      </c>
    </row>
    <row r="127" ht="15.75" customHeight="1">
      <c r="Q127" s="15">
        <f t="shared" si="19"/>
        <v>0</v>
      </c>
      <c r="W127" s="22">
        <f t="shared" si="24"/>
        <v>0</v>
      </c>
      <c r="X127" s="19">
        <f t="shared" si="25"/>
        <v>0</v>
      </c>
    </row>
    <row r="128" ht="15.75" customHeight="1">
      <c r="Q128" s="15">
        <f t="shared" si="19"/>
        <v>0</v>
      </c>
      <c r="W128" s="22">
        <f t="shared" si="24"/>
        <v>0</v>
      </c>
      <c r="X128" s="19">
        <f t="shared" si="25"/>
        <v>0</v>
      </c>
    </row>
    <row r="129" ht="15.75" customHeight="1">
      <c r="Q129" s="15">
        <f t="shared" si="19"/>
        <v>0</v>
      </c>
      <c r="W129" s="22">
        <f t="shared" si="24"/>
        <v>0</v>
      </c>
      <c r="X129" s="19">
        <f t="shared" si="25"/>
        <v>0</v>
      </c>
    </row>
    <row r="130" ht="15.75" customHeight="1">
      <c r="Q130" s="15">
        <f t="shared" si="19"/>
        <v>0</v>
      </c>
      <c r="W130" s="22">
        <f t="shared" si="24"/>
        <v>0</v>
      </c>
      <c r="X130" s="19">
        <f t="shared" si="25"/>
        <v>0</v>
      </c>
    </row>
    <row r="131" ht="15.75" customHeight="1">
      <c r="Q131" s="15">
        <f t="shared" si="19"/>
        <v>0</v>
      </c>
      <c r="W131" s="22">
        <f t="shared" si="24"/>
        <v>0</v>
      </c>
      <c r="X131" s="19">
        <f t="shared" si="25"/>
        <v>0</v>
      </c>
    </row>
    <row r="132" ht="15.75" customHeight="1">
      <c r="Q132" s="15">
        <f t="shared" si="19"/>
        <v>0</v>
      </c>
      <c r="W132" s="22">
        <f t="shared" si="24"/>
        <v>0</v>
      </c>
      <c r="X132" s="19">
        <f t="shared" si="25"/>
        <v>0</v>
      </c>
    </row>
    <row r="133" ht="15.75" customHeight="1">
      <c r="Q133" s="15">
        <f t="shared" si="19"/>
        <v>0</v>
      </c>
      <c r="W133" s="22">
        <f t="shared" si="24"/>
        <v>0</v>
      </c>
      <c r="X133" s="19">
        <f t="shared" si="25"/>
        <v>0</v>
      </c>
    </row>
    <row r="134" ht="15.75" customHeight="1">
      <c r="Q134" s="15">
        <f t="shared" si="19"/>
        <v>0</v>
      </c>
      <c r="W134" s="22">
        <f t="shared" si="24"/>
        <v>0</v>
      </c>
      <c r="X134" s="19">
        <f t="shared" si="25"/>
        <v>0</v>
      </c>
    </row>
    <row r="135" ht="15.75" customHeight="1">
      <c r="Q135" s="15">
        <f t="shared" si="19"/>
        <v>0</v>
      </c>
      <c r="W135" s="22">
        <f t="shared" si="24"/>
        <v>0</v>
      </c>
      <c r="X135" s="19">
        <f t="shared" si="25"/>
        <v>0</v>
      </c>
    </row>
    <row r="136" ht="15.75" customHeight="1">
      <c r="Q136" s="15">
        <f t="shared" si="19"/>
        <v>0</v>
      </c>
      <c r="W136" s="22">
        <f t="shared" si="24"/>
        <v>0</v>
      </c>
      <c r="X136" s="19">
        <f t="shared" si="25"/>
        <v>0</v>
      </c>
    </row>
    <row r="137" ht="15.75" customHeight="1">
      <c r="Q137" s="15">
        <f t="shared" si="19"/>
        <v>0</v>
      </c>
      <c r="W137" s="22">
        <f t="shared" si="24"/>
        <v>0</v>
      </c>
      <c r="X137" s="19">
        <f t="shared" si="25"/>
        <v>0</v>
      </c>
    </row>
    <row r="138" ht="15.75" customHeight="1">
      <c r="Q138" s="15">
        <f t="shared" si="19"/>
        <v>0</v>
      </c>
      <c r="W138" s="22">
        <f t="shared" si="24"/>
        <v>0</v>
      </c>
      <c r="X138" s="19">
        <f t="shared" si="25"/>
        <v>0</v>
      </c>
    </row>
    <row r="139" ht="15.75" customHeight="1">
      <c r="Q139" s="15">
        <f t="shared" si="19"/>
        <v>0</v>
      </c>
      <c r="W139" s="22">
        <f t="shared" si="24"/>
        <v>0</v>
      </c>
      <c r="X139" s="19">
        <f t="shared" si="25"/>
        <v>0</v>
      </c>
    </row>
    <row r="140" ht="15.75" customHeight="1">
      <c r="Q140" s="15">
        <f t="shared" si="19"/>
        <v>0</v>
      </c>
      <c r="W140" s="22">
        <f t="shared" si="24"/>
        <v>0</v>
      </c>
      <c r="X140" s="19">
        <f t="shared" si="25"/>
        <v>0</v>
      </c>
    </row>
    <row r="141" ht="15.75" customHeight="1">
      <c r="Q141" s="15">
        <f t="shared" si="19"/>
        <v>0</v>
      </c>
      <c r="W141" s="22">
        <f t="shared" si="24"/>
        <v>0</v>
      </c>
      <c r="X141" s="19">
        <f t="shared" si="25"/>
        <v>0</v>
      </c>
    </row>
    <row r="142" ht="15.75" customHeight="1">
      <c r="Q142" s="15">
        <f t="shared" si="19"/>
        <v>0</v>
      </c>
      <c r="W142" s="22">
        <f t="shared" si="24"/>
        <v>0</v>
      </c>
      <c r="X142" s="19">
        <f t="shared" si="25"/>
        <v>0</v>
      </c>
    </row>
    <row r="143" ht="15.75" customHeight="1">
      <c r="Q143" s="15">
        <f t="shared" si="19"/>
        <v>0</v>
      </c>
      <c r="W143" s="22">
        <f t="shared" si="24"/>
        <v>0</v>
      </c>
      <c r="X143" s="19">
        <f t="shared" si="25"/>
        <v>0</v>
      </c>
    </row>
    <row r="144" ht="15.75" customHeight="1">
      <c r="Q144" s="15">
        <f t="shared" si="19"/>
        <v>0</v>
      </c>
      <c r="W144" s="22">
        <f t="shared" si="24"/>
        <v>0</v>
      </c>
      <c r="X144" s="19">
        <f t="shared" si="25"/>
        <v>0</v>
      </c>
    </row>
    <row r="145" ht="15.75" customHeight="1">
      <c r="Q145" s="15">
        <f t="shared" si="19"/>
        <v>0</v>
      </c>
      <c r="W145" s="22">
        <f t="shared" si="24"/>
        <v>0</v>
      </c>
      <c r="X145" s="19">
        <f t="shared" si="25"/>
        <v>0</v>
      </c>
    </row>
    <row r="146" ht="15.75" customHeight="1">
      <c r="Q146" s="15">
        <f t="shared" si="19"/>
        <v>0</v>
      </c>
      <c r="W146" s="22">
        <f t="shared" si="24"/>
        <v>0</v>
      </c>
      <c r="X146" s="19">
        <f t="shared" si="25"/>
        <v>0</v>
      </c>
    </row>
    <row r="147" ht="15.75" customHeight="1">
      <c r="Q147" s="15">
        <f t="shared" si="19"/>
        <v>0</v>
      </c>
      <c r="W147" s="22">
        <f t="shared" si="24"/>
        <v>0</v>
      </c>
      <c r="X147" s="19">
        <f t="shared" si="25"/>
        <v>0</v>
      </c>
    </row>
    <row r="148" ht="15.75" customHeight="1">
      <c r="Q148" s="15">
        <f t="shared" si="19"/>
        <v>0</v>
      </c>
      <c r="W148" s="22">
        <f t="shared" si="24"/>
        <v>0</v>
      </c>
      <c r="X148" s="19">
        <f t="shared" si="25"/>
        <v>0</v>
      </c>
    </row>
    <row r="149" ht="15.75" customHeight="1">
      <c r="Q149" s="15">
        <f t="shared" si="19"/>
        <v>0</v>
      </c>
      <c r="W149" s="22">
        <f t="shared" si="24"/>
        <v>0</v>
      </c>
      <c r="X149" s="19">
        <f t="shared" si="25"/>
        <v>0</v>
      </c>
    </row>
    <row r="150" ht="15.75" customHeight="1">
      <c r="Q150" s="15">
        <f t="shared" si="19"/>
        <v>0</v>
      </c>
      <c r="W150" s="22">
        <f t="shared" si="24"/>
        <v>0</v>
      </c>
      <c r="X150" s="19">
        <f t="shared" si="25"/>
        <v>0</v>
      </c>
    </row>
    <row r="151" ht="15.75" customHeight="1">
      <c r="Q151" s="15">
        <f t="shared" si="19"/>
        <v>0</v>
      </c>
      <c r="W151" s="22">
        <f t="shared" si="24"/>
        <v>0</v>
      </c>
      <c r="X151" s="19">
        <f t="shared" si="25"/>
        <v>0</v>
      </c>
    </row>
    <row r="152" ht="15.75" customHeight="1">
      <c r="Q152" s="15">
        <f t="shared" si="19"/>
        <v>0</v>
      </c>
      <c r="W152" s="22">
        <f t="shared" si="24"/>
        <v>0</v>
      </c>
      <c r="X152" s="19">
        <f t="shared" si="25"/>
        <v>0</v>
      </c>
    </row>
    <row r="153" ht="15.75" customHeight="1">
      <c r="Q153" s="15">
        <f t="shared" si="19"/>
        <v>0</v>
      </c>
      <c r="W153" s="22">
        <f t="shared" si="24"/>
        <v>0</v>
      </c>
      <c r="X153" s="19">
        <f t="shared" si="25"/>
        <v>0</v>
      </c>
    </row>
    <row r="154" ht="15.75" customHeight="1">
      <c r="Q154" s="15">
        <f t="shared" si="19"/>
        <v>0</v>
      </c>
      <c r="W154" s="22">
        <f t="shared" si="24"/>
        <v>0</v>
      </c>
      <c r="X154" s="19">
        <f t="shared" si="25"/>
        <v>0</v>
      </c>
    </row>
    <row r="155" ht="15.75" customHeight="1">
      <c r="Q155" s="15">
        <f t="shared" si="19"/>
        <v>0</v>
      </c>
      <c r="W155" s="22">
        <f t="shared" si="24"/>
        <v>0</v>
      </c>
      <c r="X155" s="19">
        <f t="shared" si="25"/>
        <v>0</v>
      </c>
    </row>
    <row r="156" ht="15.75" customHeight="1">
      <c r="Q156" s="15">
        <f t="shared" si="19"/>
        <v>0</v>
      </c>
      <c r="W156" s="22">
        <f t="shared" si="24"/>
        <v>0</v>
      </c>
      <c r="X156" s="19">
        <f t="shared" si="25"/>
        <v>0</v>
      </c>
    </row>
    <row r="157" ht="15.75" customHeight="1">
      <c r="Q157" s="15">
        <f t="shared" si="19"/>
        <v>0</v>
      </c>
      <c r="W157" s="22">
        <f t="shared" si="24"/>
        <v>0</v>
      </c>
      <c r="X157" s="19">
        <f t="shared" si="25"/>
        <v>0</v>
      </c>
    </row>
    <row r="158" ht="15.75" customHeight="1">
      <c r="Q158" s="15">
        <f t="shared" si="19"/>
        <v>0</v>
      </c>
      <c r="W158" s="22">
        <f t="shared" si="24"/>
        <v>0</v>
      </c>
      <c r="X158" s="19">
        <f t="shared" si="25"/>
        <v>0</v>
      </c>
    </row>
    <row r="159" ht="15.75" customHeight="1">
      <c r="Q159" s="15">
        <f t="shared" si="19"/>
        <v>0</v>
      </c>
      <c r="W159" s="22">
        <f t="shared" si="24"/>
        <v>0</v>
      </c>
      <c r="X159" s="19">
        <f t="shared" si="25"/>
        <v>0</v>
      </c>
    </row>
    <row r="160" ht="15.75" customHeight="1">
      <c r="Q160" s="15">
        <f t="shared" si="19"/>
        <v>0</v>
      </c>
      <c r="W160" s="22">
        <f t="shared" si="24"/>
        <v>0</v>
      </c>
      <c r="X160" s="19">
        <f t="shared" si="25"/>
        <v>0</v>
      </c>
    </row>
    <row r="161" ht="15.75" customHeight="1">
      <c r="Q161" s="15">
        <f t="shared" si="19"/>
        <v>0</v>
      </c>
      <c r="W161" s="22">
        <f t="shared" si="24"/>
        <v>0</v>
      </c>
      <c r="X161" s="19">
        <f t="shared" si="25"/>
        <v>0</v>
      </c>
    </row>
    <row r="162" ht="15.75" customHeight="1">
      <c r="Q162" s="15">
        <f t="shared" si="19"/>
        <v>0</v>
      </c>
      <c r="W162" s="22">
        <f t="shared" si="24"/>
        <v>0</v>
      </c>
      <c r="X162" s="19">
        <f t="shared" si="25"/>
        <v>0</v>
      </c>
    </row>
    <row r="163" ht="15.75" customHeight="1">
      <c r="Q163" s="15">
        <f t="shared" si="19"/>
        <v>0</v>
      </c>
      <c r="W163" s="22">
        <f t="shared" si="24"/>
        <v>0</v>
      </c>
      <c r="X163" s="19">
        <f t="shared" si="25"/>
        <v>0</v>
      </c>
    </row>
    <row r="164" ht="15.75" customHeight="1">
      <c r="Q164" s="15">
        <f t="shared" si="19"/>
        <v>0</v>
      </c>
      <c r="W164" s="22">
        <f t="shared" si="24"/>
        <v>0</v>
      </c>
      <c r="X164" s="19">
        <f t="shared" si="25"/>
        <v>0</v>
      </c>
    </row>
    <row r="165" ht="15.75" customHeight="1">
      <c r="Q165" s="15">
        <f t="shared" si="19"/>
        <v>0</v>
      </c>
      <c r="W165" s="22">
        <f t="shared" si="24"/>
        <v>0</v>
      </c>
      <c r="X165" s="19">
        <f t="shared" si="25"/>
        <v>0</v>
      </c>
    </row>
    <row r="166" ht="15.75" customHeight="1">
      <c r="Q166" s="15">
        <f t="shared" si="19"/>
        <v>0</v>
      </c>
      <c r="W166" s="22">
        <f t="shared" si="24"/>
        <v>0</v>
      </c>
      <c r="X166" s="19">
        <f t="shared" si="25"/>
        <v>0</v>
      </c>
    </row>
    <row r="167" ht="15.75" customHeight="1">
      <c r="Q167" s="15">
        <f t="shared" si="19"/>
        <v>0</v>
      </c>
      <c r="W167" s="22">
        <f t="shared" si="24"/>
        <v>0</v>
      </c>
      <c r="X167" s="19">
        <f t="shared" si="25"/>
        <v>0</v>
      </c>
    </row>
    <row r="168" ht="15.75" customHeight="1">
      <c r="Q168" s="15">
        <f t="shared" si="19"/>
        <v>0</v>
      </c>
      <c r="W168" s="22">
        <f t="shared" si="24"/>
        <v>0</v>
      </c>
      <c r="X168" s="19">
        <f t="shared" si="25"/>
        <v>0</v>
      </c>
    </row>
    <row r="169" ht="15.75" customHeight="1">
      <c r="Q169" s="15">
        <f t="shared" si="19"/>
        <v>0</v>
      </c>
      <c r="W169" s="22">
        <f t="shared" si="24"/>
        <v>0</v>
      </c>
      <c r="X169" s="19">
        <f t="shared" si="25"/>
        <v>0</v>
      </c>
    </row>
    <row r="170" ht="15.75" customHeight="1">
      <c r="Q170" s="15">
        <f t="shared" si="19"/>
        <v>0</v>
      </c>
      <c r="W170" s="22">
        <f t="shared" si="24"/>
        <v>0</v>
      </c>
      <c r="X170" s="19">
        <f t="shared" si="25"/>
        <v>0</v>
      </c>
    </row>
    <row r="171" ht="15.75" customHeight="1">
      <c r="Q171" s="15">
        <f t="shared" si="19"/>
        <v>0</v>
      </c>
      <c r="W171" s="22">
        <f t="shared" si="24"/>
        <v>0</v>
      </c>
      <c r="X171" s="19">
        <f t="shared" si="25"/>
        <v>0</v>
      </c>
    </row>
    <row r="172" ht="15.75" customHeight="1">
      <c r="Q172" s="15">
        <f t="shared" si="19"/>
        <v>0</v>
      </c>
      <c r="W172" s="22">
        <f t="shared" si="24"/>
        <v>0</v>
      </c>
      <c r="X172" s="19">
        <f t="shared" si="25"/>
        <v>0</v>
      </c>
    </row>
    <row r="173" ht="15.75" customHeight="1">
      <c r="Q173" s="15">
        <f t="shared" si="19"/>
        <v>0</v>
      </c>
      <c r="W173" s="22">
        <f t="shared" si="24"/>
        <v>0</v>
      </c>
      <c r="X173" s="19">
        <f t="shared" si="25"/>
        <v>0</v>
      </c>
    </row>
    <row r="174" ht="15.75" customHeight="1">
      <c r="Q174" s="15">
        <f t="shared" si="19"/>
        <v>0</v>
      </c>
      <c r="W174" s="22">
        <f t="shared" si="24"/>
        <v>0</v>
      </c>
      <c r="X174" s="19">
        <f t="shared" si="25"/>
        <v>0</v>
      </c>
    </row>
    <row r="175" ht="15.75" customHeight="1">
      <c r="Q175" s="15">
        <f t="shared" si="19"/>
        <v>0</v>
      </c>
      <c r="W175" s="22">
        <f t="shared" si="24"/>
        <v>0</v>
      </c>
      <c r="X175" s="19">
        <f t="shared" si="25"/>
        <v>0</v>
      </c>
    </row>
    <row r="176" ht="15.75" customHeight="1">
      <c r="Q176" s="15">
        <f t="shared" si="19"/>
        <v>0</v>
      </c>
      <c r="W176" s="22">
        <f t="shared" si="24"/>
        <v>0</v>
      </c>
      <c r="X176" s="19">
        <f t="shared" si="25"/>
        <v>0</v>
      </c>
    </row>
    <row r="177" ht="15.75" customHeight="1">
      <c r="Q177" s="15">
        <f t="shared" si="19"/>
        <v>0</v>
      </c>
      <c r="W177" s="22">
        <f t="shared" si="24"/>
        <v>0</v>
      </c>
      <c r="X177" s="19">
        <f t="shared" si="25"/>
        <v>0</v>
      </c>
    </row>
    <row r="178" ht="15.75" customHeight="1">
      <c r="Q178" s="15">
        <f t="shared" si="19"/>
        <v>0</v>
      </c>
      <c r="W178" s="22">
        <f t="shared" si="24"/>
        <v>0</v>
      </c>
      <c r="X178" s="19">
        <f t="shared" si="25"/>
        <v>0</v>
      </c>
    </row>
    <row r="179" ht="15.75" customHeight="1">
      <c r="Q179" s="15">
        <f t="shared" si="19"/>
        <v>0</v>
      </c>
      <c r="W179" s="22">
        <f t="shared" si="24"/>
        <v>0</v>
      </c>
      <c r="X179" s="19">
        <f t="shared" si="25"/>
        <v>0</v>
      </c>
    </row>
    <row r="180" ht="15.75" customHeight="1">
      <c r="Q180" s="15">
        <f t="shared" si="19"/>
        <v>0</v>
      </c>
      <c r="W180" s="22">
        <f t="shared" si="24"/>
        <v>0</v>
      </c>
      <c r="X180" s="19">
        <f t="shared" si="25"/>
        <v>0</v>
      </c>
    </row>
    <row r="181" ht="15.75" customHeight="1">
      <c r="Q181" s="15">
        <f t="shared" si="19"/>
        <v>0</v>
      </c>
      <c r="W181" s="22">
        <f t="shared" si="24"/>
        <v>0</v>
      </c>
      <c r="X181" s="19">
        <f t="shared" si="25"/>
        <v>0</v>
      </c>
    </row>
    <row r="182" ht="15.75" customHeight="1">
      <c r="Q182" s="15">
        <f t="shared" si="19"/>
        <v>0</v>
      </c>
      <c r="W182" s="22">
        <f t="shared" si="24"/>
        <v>0</v>
      </c>
      <c r="X182" s="19">
        <f t="shared" si="25"/>
        <v>0</v>
      </c>
    </row>
    <row r="183" ht="15.75" customHeight="1">
      <c r="Q183" s="15">
        <f t="shared" si="19"/>
        <v>0</v>
      </c>
      <c r="W183" s="22">
        <f t="shared" si="24"/>
        <v>0</v>
      </c>
      <c r="X183" s="19">
        <f t="shared" si="25"/>
        <v>0</v>
      </c>
    </row>
    <row r="184" ht="15.75" customHeight="1">
      <c r="Q184" s="15">
        <f t="shared" si="19"/>
        <v>0</v>
      </c>
      <c r="W184" s="22">
        <f t="shared" si="24"/>
        <v>0</v>
      </c>
      <c r="X184" s="19">
        <f t="shared" si="25"/>
        <v>0</v>
      </c>
    </row>
    <row r="185" ht="15.75" customHeight="1">
      <c r="Q185" s="15">
        <f t="shared" si="19"/>
        <v>0</v>
      </c>
      <c r="W185" s="22">
        <f t="shared" si="24"/>
        <v>0</v>
      </c>
      <c r="X185" s="19">
        <f t="shared" si="25"/>
        <v>0</v>
      </c>
    </row>
    <row r="186" ht="15.75" customHeight="1">
      <c r="Q186" s="15">
        <f t="shared" si="19"/>
        <v>0</v>
      </c>
      <c r="W186" s="22">
        <f t="shared" si="24"/>
        <v>0</v>
      </c>
      <c r="X186" s="19">
        <f t="shared" si="25"/>
        <v>0</v>
      </c>
    </row>
    <row r="187" ht="15.75" customHeight="1">
      <c r="Q187" s="15">
        <f t="shared" si="19"/>
        <v>0</v>
      </c>
      <c r="W187" s="22">
        <f t="shared" si="24"/>
        <v>0</v>
      </c>
      <c r="X187" s="19">
        <f t="shared" si="25"/>
        <v>0</v>
      </c>
    </row>
    <row r="188" ht="15.75" customHeight="1">
      <c r="Q188" s="15">
        <f t="shared" si="19"/>
        <v>0</v>
      </c>
      <c r="W188" s="22">
        <f t="shared" si="24"/>
        <v>0</v>
      </c>
      <c r="X188" s="19">
        <f t="shared" si="25"/>
        <v>0</v>
      </c>
    </row>
    <row r="189" ht="15.75" customHeight="1">
      <c r="Q189" s="15">
        <f t="shared" si="19"/>
        <v>0</v>
      </c>
      <c r="W189" s="22">
        <f t="shared" si="24"/>
        <v>0</v>
      </c>
      <c r="X189" s="19">
        <f t="shared" si="25"/>
        <v>0</v>
      </c>
    </row>
    <row r="190" ht="15.75" customHeight="1">
      <c r="Q190" s="15">
        <f t="shared" si="19"/>
        <v>0</v>
      </c>
      <c r="W190" s="22">
        <f t="shared" si="24"/>
        <v>0</v>
      </c>
      <c r="X190" s="19">
        <f t="shared" si="25"/>
        <v>0</v>
      </c>
    </row>
    <row r="191" ht="15.75" customHeight="1">
      <c r="Q191" s="15">
        <f t="shared" si="19"/>
        <v>0</v>
      </c>
      <c r="W191" s="22">
        <f t="shared" si="24"/>
        <v>0</v>
      </c>
      <c r="X191" s="19">
        <f t="shared" si="25"/>
        <v>0</v>
      </c>
    </row>
    <row r="192" ht="15.75" customHeight="1">
      <c r="Q192" s="15">
        <f t="shared" si="19"/>
        <v>0</v>
      </c>
      <c r="W192" s="22">
        <f t="shared" si="24"/>
        <v>0</v>
      </c>
      <c r="X192" s="19">
        <f t="shared" si="25"/>
        <v>0</v>
      </c>
    </row>
    <row r="193" ht="15.75" customHeight="1">
      <c r="Q193" s="15">
        <f t="shared" si="19"/>
        <v>0</v>
      </c>
      <c r="W193" s="22">
        <f t="shared" si="24"/>
        <v>0</v>
      </c>
      <c r="X193" s="19">
        <f t="shared" si="25"/>
        <v>0</v>
      </c>
    </row>
    <row r="194" ht="15.75" customHeight="1">
      <c r="Q194" s="15">
        <f t="shared" si="19"/>
        <v>0</v>
      </c>
      <c r="W194" s="22">
        <f t="shared" si="24"/>
        <v>0</v>
      </c>
      <c r="X194" s="19">
        <f t="shared" si="25"/>
        <v>0</v>
      </c>
    </row>
    <row r="195" ht="15.75" customHeight="1">
      <c r="Q195" s="15">
        <f t="shared" si="19"/>
        <v>0</v>
      </c>
      <c r="W195" s="22">
        <f t="shared" si="24"/>
        <v>0</v>
      </c>
      <c r="X195" s="19">
        <f t="shared" si="25"/>
        <v>0</v>
      </c>
    </row>
    <row r="196" ht="15.75" customHeight="1">
      <c r="Q196" s="15">
        <f t="shared" si="19"/>
        <v>0</v>
      </c>
      <c r="W196" s="22">
        <f t="shared" si="24"/>
        <v>0</v>
      </c>
      <c r="X196" s="19">
        <f t="shared" si="25"/>
        <v>0</v>
      </c>
    </row>
    <row r="197" ht="15.75" customHeight="1">
      <c r="Q197" s="15">
        <f t="shared" si="19"/>
        <v>0</v>
      </c>
      <c r="W197" s="22">
        <f t="shared" si="24"/>
        <v>0</v>
      </c>
      <c r="X197" s="19">
        <f t="shared" si="25"/>
        <v>0</v>
      </c>
    </row>
    <row r="198" ht="15.75" customHeight="1">
      <c r="Q198" s="15">
        <f t="shared" si="19"/>
        <v>0</v>
      </c>
      <c r="W198" s="22">
        <f t="shared" si="24"/>
        <v>0</v>
      </c>
      <c r="X198" s="19">
        <f t="shared" si="25"/>
        <v>0</v>
      </c>
    </row>
    <row r="199" ht="15.75" customHeight="1">
      <c r="Q199" s="15">
        <f t="shared" si="19"/>
        <v>0</v>
      </c>
      <c r="W199" s="22">
        <f t="shared" si="24"/>
        <v>0</v>
      </c>
      <c r="X199" s="19">
        <f t="shared" si="25"/>
        <v>0</v>
      </c>
    </row>
    <row r="200" ht="15.75" customHeight="1">
      <c r="Q200" s="15">
        <f t="shared" si="19"/>
        <v>0</v>
      </c>
      <c r="W200" s="22">
        <f t="shared" si="24"/>
        <v>0</v>
      </c>
      <c r="X200" s="19">
        <f t="shared" si="25"/>
        <v>0</v>
      </c>
    </row>
    <row r="201" ht="15.75" customHeight="1">
      <c r="Q201" s="15">
        <f t="shared" si="19"/>
        <v>0</v>
      </c>
      <c r="W201" s="22">
        <f t="shared" si="24"/>
        <v>0</v>
      </c>
      <c r="X201" s="19">
        <f t="shared" si="25"/>
        <v>0</v>
      </c>
    </row>
    <row r="202" ht="15.75" customHeight="1">
      <c r="Q202" s="15">
        <f t="shared" si="19"/>
        <v>0</v>
      </c>
      <c r="W202" s="22">
        <f t="shared" si="24"/>
        <v>0</v>
      </c>
      <c r="X202" s="19">
        <f t="shared" si="25"/>
        <v>0</v>
      </c>
    </row>
    <row r="203" ht="15.75" customHeight="1">
      <c r="Q203" s="15">
        <f t="shared" si="19"/>
        <v>0</v>
      </c>
      <c r="W203" s="22">
        <f t="shared" si="24"/>
        <v>0</v>
      </c>
      <c r="X203" s="19">
        <f t="shared" si="25"/>
        <v>0</v>
      </c>
    </row>
    <row r="204" ht="15.75" customHeight="1">
      <c r="Q204" s="15">
        <f t="shared" si="19"/>
        <v>0</v>
      </c>
      <c r="W204" s="22">
        <f t="shared" si="24"/>
        <v>0</v>
      </c>
      <c r="X204" s="19">
        <f t="shared" si="25"/>
        <v>0</v>
      </c>
    </row>
    <row r="205" ht="15.75" customHeight="1">
      <c r="Q205" s="15">
        <f t="shared" si="19"/>
        <v>0</v>
      </c>
      <c r="W205" s="22">
        <f t="shared" si="24"/>
        <v>0</v>
      </c>
      <c r="X205" s="19">
        <f t="shared" si="25"/>
        <v>0</v>
      </c>
    </row>
    <row r="206" ht="15.75" customHeight="1">
      <c r="Q206" s="15">
        <f t="shared" si="19"/>
        <v>0</v>
      </c>
      <c r="W206" s="22">
        <f t="shared" si="24"/>
        <v>0</v>
      </c>
      <c r="X206" s="19">
        <f t="shared" si="25"/>
        <v>0</v>
      </c>
    </row>
    <row r="207" ht="15.75" customHeight="1">
      <c r="Q207" s="15">
        <f t="shared" si="19"/>
        <v>0</v>
      </c>
      <c r="W207" s="22">
        <f t="shared" si="24"/>
        <v>0</v>
      </c>
      <c r="X207" s="19">
        <f t="shared" si="25"/>
        <v>0</v>
      </c>
    </row>
    <row r="208" ht="15.75" customHeight="1">
      <c r="Q208" s="15">
        <f t="shared" si="19"/>
        <v>0</v>
      </c>
      <c r="W208" s="22">
        <f t="shared" si="24"/>
        <v>0</v>
      </c>
      <c r="X208" s="19">
        <f t="shared" si="25"/>
        <v>0</v>
      </c>
    </row>
    <row r="209" ht="15.75" customHeight="1">
      <c r="Q209" s="15">
        <f t="shared" si="19"/>
        <v>0</v>
      </c>
      <c r="W209" s="22">
        <f t="shared" si="24"/>
        <v>0</v>
      </c>
      <c r="X209" s="19">
        <f t="shared" si="25"/>
        <v>0</v>
      </c>
    </row>
    <row r="210" ht="15.75" customHeight="1">
      <c r="Q210" s="15">
        <f t="shared" si="19"/>
        <v>0</v>
      </c>
      <c r="W210" s="22">
        <f t="shared" si="24"/>
        <v>0</v>
      </c>
      <c r="X210" s="19">
        <f t="shared" si="25"/>
        <v>0</v>
      </c>
    </row>
    <row r="211" ht="15.75" customHeight="1">
      <c r="Q211" s="15">
        <f t="shared" si="19"/>
        <v>0</v>
      </c>
      <c r="W211" s="22">
        <f t="shared" si="24"/>
        <v>0</v>
      </c>
      <c r="X211" s="19">
        <f t="shared" si="25"/>
        <v>0</v>
      </c>
    </row>
    <row r="212" ht="15.75" customHeight="1">
      <c r="Q212" s="15">
        <f t="shared" si="19"/>
        <v>0</v>
      </c>
      <c r="W212" s="22">
        <f t="shared" si="24"/>
        <v>0</v>
      </c>
      <c r="X212" s="19">
        <f t="shared" si="25"/>
        <v>0</v>
      </c>
    </row>
    <row r="213" ht="15.75" customHeight="1">
      <c r="Q213" s="15">
        <f t="shared" si="19"/>
        <v>0</v>
      </c>
      <c r="W213" s="22">
        <f t="shared" si="24"/>
        <v>0</v>
      </c>
      <c r="X213" s="19">
        <f t="shared" si="25"/>
        <v>0</v>
      </c>
    </row>
    <row r="214" ht="15.75" customHeight="1">
      <c r="Q214" s="15">
        <f t="shared" si="19"/>
        <v>0</v>
      </c>
      <c r="W214" s="22">
        <f t="shared" si="24"/>
        <v>0</v>
      </c>
      <c r="X214" s="19">
        <f t="shared" si="25"/>
        <v>0</v>
      </c>
    </row>
    <row r="215" ht="15.75" customHeight="1">
      <c r="Q215" s="15">
        <f t="shared" si="19"/>
        <v>0</v>
      </c>
      <c r="W215" s="22">
        <f t="shared" si="24"/>
        <v>0</v>
      </c>
      <c r="X215" s="19">
        <f t="shared" si="25"/>
        <v>0</v>
      </c>
    </row>
    <row r="216" ht="15.75" customHeight="1">
      <c r="Q216" s="15">
        <f t="shared" si="19"/>
        <v>0</v>
      </c>
      <c r="W216" s="22">
        <f t="shared" si="24"/>
        <v>0</v>
      </c>
      <c r="X216" s="19">
        <f t="shared" si="25"/>
        <v>0</v>
      </c>
    </row>
    <row r="217" ht="15.75" customHeight="1">
      <c r="Q217" s="15">
        <f t="shared" si="19"/>
        <v>0</v>
      </c>
      <c r="W217" s="22">
        <f t="shared" si="24"/>
        <v>0</v>
      </c>
      <c r="X217" s="19">
        <f t="shared" si="25"/>
        <v>0</v>
      </c>
    </row>
    <row r="218" ht="15.75" customHeight="1">
      <c r="Q218" s="15">
        <f t="shared" si="19"/>
        <v>0</v>
      </c>
      <c r="W218" s="22">
        <f t="shared" si="24"/>
        <v>0</v>
      </c>
      <c r="X218" s="19">
        <f t="shared" si="25"/>
        <v>0</v>
      </c>
    </row>
    <row r="219" ht="15.75" customHeight="1">
      <c r="Q219" s="15">
        <f t="shared" si="19"/>
        <v>0</v>
      </c>
      <c r="W219" s="22">
        <f t="shared" si="24"/>
        <v>0</v>
      </c>
      <c r="X219" s="19">
        <f t="shared" si="25"/>
        <v>0</v>
      </c>
    </row>
    <row r="220" ht="15.75" customHeight="1">
      <c r="Q220" s="15">
        <f t="shared" si="19"/>
        <v>0</v>
      </c>
      <c r="W220" s="22">
        <f t="shared" si="24"/>
        <v>0</v>
      </c>
      <c r="X220" s="19">
        <f t="shared" si="25"/>
        <v>0</v>
      </c>
    </row>
    <row r="221" ht="15.75" customHeight="1">
      <c r="Q221" s="15">
        <f t="shared" si="19"/>
        <v>0</v>
      </c>
      <c r="W221" s="22">
        <f t="shared" si="24"/>
        <v>0</v>
      </c>
      <c r="X221" s="19">
        <f t="shared" si="25"/>
        <v>0</v>
      </c>
    </row>
    <row r="222" ht="15.75" customHeight="1">
      <c r="Q222" s="15">
        <f t="shared" si="19"/>
        <v>0</v>
      </c>
      <c r="W222" s="22">
        <f t="shared" si="24"/>
        <v>0</v>
      </c>
      <c r="X222" s="19">
        <f t="shared" si="25"/>
        <v>0</v>
      </c>
    </row>
    <row r="223" ht="15.75" customHeight="1">
      <c r="Q223" s="15">
        <f t="shared" si="19"/>
        <v>0</v>
      </c>
      <c r="W223" s="22">
        <f t="shared" si="24"/>
        <v>0</v>
      </c>
      <c r="X223" s="19">
        <f t="shared" si="25"/>
        <v>0</v>
      </c>
    </row>
    <row r="224" ht="15.75" customHeight="1">
      <c r="Q224" s="15">
        <f t="shared" si="19"/>
        <v>0</v>
      </c>
      <c r="W224" s="22">
        <f t="shared" si="24"/>
        <v>0</v>
      </c>
      <c r="X224" s="19">
        <f t="shared" si="25"/>
        <v>0</v>
      </c>
    </row>
    <row r="225" ht="15.75" customHeight="1">
      <c r="Q225" s="15">
        <f t="shared" si="19"/>
        <v>0</v>
      </c>
      <c r="W225" s="22">
        <f t="shared" si="24"/>
        <v>0</v>
      </c>
      <c r="X225" s="19">
        <f t="shared" si="25"/>
        <v>0</v>
      </c>
    </row>
    <row r="226" ht="15.75" customHeight="1">
      <c r="Q226" s="15">
        <f t="shared" si="19"/>
        <v>0</v>
      </c>
      <c r="W226" s="22">
        <f t="shared" si="24"/>
        <v>0</v>
      </c>
      <c r="X226" s="19">
        <f t="shared" si="25"/>
        <v>0</v>
      </c>
    </row>
    <row r="227" ht="15.75" customHeight="1">
      <c r="Q227" s="15">
        <f t="shared" si="19"/>
        <v>0</v>
      </c>
      <c r="W227" s="22">
        <f t="shared" si="24"/>
        <v>0</v>
      </c>
      <c r="X227" s="19">
        <f t="shared" si="25"/>
        <v>0</v>
      </c>
    </row>
    <row r="228" ht="15.75" customHeight="1">
      <c r="Q228" s="15">
        <f t="shared" si="19"/>
        <v>0</v>
      </c>
      <c r="W228" s="22">
        <f t="shared" si="24"/>
        <v>0</v>
      </c>
      <c r="X228" s="19">
        <f t="shared" si="25"/>
        <v>0</v>
      </c>
    </row>
    <row r="229" ht="15.75" customHeight="1">
      <c r="Q229" s="15">
        <f t="shared" si="19"/>
        <v>0</v>
      </c>
      <c r="W229" s="22">
        <f t="shared" si="24"/>
        <v>0</v>
      </c>
      <c r="X229" s="19">
        <f t="shared" si="25"/>
        <v>0</v>
      </c>
    </row>
    <row r="230" ht="15.75" customHeight="1">
      <c r="Q230" s="15">
        <f t="shared" si="19"/>
        <v>0</v>
      </c>
      <c r="W230" s="22">
        <f t="shared" si="24"/>
        <v>0</v>
      </c>
      <c r="X230" s="19">
        <f t="shared" si="25"/>
        <v>0</v>
      </c>
    </row>
    <row r="231" ht="15.75" customHeight="1">
      <c r="Q231" s="15">
        <f t="shared" si="19"/>
        <v>0</v>
      </c>
      <c r="W231" s="22">
        <f t="shared" si="24"/>
        <v>0</v>
      </c>
      <c r="X231" s="19">
        <f t="shared" si="25"/>
        <v>0</v>
      </c>
    </row>
    <row r="232" ht="15.75" customHeight="1">
      <c r="Q232" s="15">
        <f t="shared" si="19"/>
        <v>0</v>
      </c>
      <c r="W232" s="22">
        <f t="shared" si="24"/>
        <v>0</v>
      </c>
      <c r="X232" s="19">
        <f t="shared" si="25"/>
        <v>0</v>
      </c>
    </row>
    <row r="233" ht="15.75" customHeight="1">
      <c r="Q233" s="15">
        <f t="shared" si="19"/>
        <v>0</v>
      </c>
      <c r="W233" s="22">
        <f t="shared" si="24"/>
        <v>0</v>
      </c>
      <c r="X233" s="19">
        <f t="shared" si="25"/>
        <v>0</v>
      </c>
    </row>
    <row r="234" ht="15.75" customHeight="1">
      <c r="Q234" s="15">
        <f t="shared" si="19"/>
        <v>0</v>
      </c>
      <c r="W234" s="22">
        <f t="shared" si="24"/>
        <v>0</v>
      </c>
      <c r="X234" s="19">
        <f t="shared" si="25"/>
        <v>0</v>
      </c>
    </row>
    <row r="235" ht="15.75" customHeight="1">
      <c r="Q235" s="15">
        <f t="shared" si="19"/>
        <v>0</v>
      </c>
      <c r="W235" s="22">
        <f t="shared" si="24"/>
        <v>0</v>
      </c>
      <c r="X235" s="19">
        <f t="shared" si="25"/>
        <v>0</v>
      </c>
    </row>
    <row r="236" ht="15.75" customHeight="1">
      <c r="Q236" s="15">
        <f t="shared" si="19"/>
        <v>0</v>
      </c>
      <c r="W236" s="22">
        <f t="shared" si="24"/>
        <v>0</v>
      </c>
      <c r="X236" s="19">
        <f t="shared" si="25"/>
        <v>0</v>
      </c>
    </row>
    <row r="237" ht="15.75" customHeight="1">
      <c r="Q237" s="15">
        <f t="shared" si="19"/>
        <v>0</v>
      </c>
      <c r="W237" s="22">
        <f t="shared" si="24"/>
        <v>0</v>
      </c>
      <c r="X237" s="19">
        <f t="shared" si="25"/>
        <v>0</v>
      </c>
    </row>
    <row r="238" ht="15.75" customHeight="1">
      <c r="Q238" s="15">
        <f t="shared" si="19"/>
        <v>0</v>
      </c>
      <c r="W238" s="22">
        <f t="shared" si="24"/>
        <v>0</v>
      </c>
      <c r="X238" s="19">
        <f t="shared" si="25"/>
        <v>0</v>
      </c>
    </row>
    <row r="239" ht="15.75" customHeight="1">
      <c r="Q239" s="15">
        <f t="shared" si="19"/>
        <v>0</v>
      </c>
      <c r="W239" s="22">
        <f t="shared" si="24"/>
        <v>0</v>
      </c>
      <c r="X239" s="19">
        <f t="shared" si="25"/>
        <v>0</v>
      </c>
    </row>
    <row r="240" ht="15.75" customHeight="1">
      <c r="Q240" s="15">
        <f t="shared" si="19"/>
        <v>0</v>
      </c>
      <c r="W240" s="22">
        <f t="shared" si="24"/>
        <v>0</v>
      </c>
      <c r="X240" s="19">
        <f t="shared" si="25"/>
        <v>0</v>
      </c>
    </row>
    <row r="241" ht="15.75" customHeight="1">
      <c r="Q241" s="15">
        <f t="shared" si="19"/>
        <v>0</v>
      </c>
      <c r="W241" s="22">
        <f t="shared" si="24"/>
        <v>0</v>
      </c>
      <c r="X241" s="19">
        <f t="shared" si="25"/>
        <v>0</v>
      </c>
    </row>
    <row r="242" ht="15.75" customHeight="1">
      <c r="Q242" s="15">
        <f t="shared" si="19"/>
        <v>0</v>
      </c>
      <c r="W242" s="22">
        <f t="shared" si="24"/>
        <v>0</v>
      </c>
      <c r="X242" s="19">
        <f t="shared" si="25"/>
        <v>0</v>
      </c>
    </row>
    <row r="243" ht="15.75" customHeight="1">
      <c r="Q243" s="15">
        <f t="shared" si="19"/>
        <v>0</v>
      </c>
      <c r="W243" s="22">
        <f t="shared" si="24"/>
        <v>0</v>
      </c>
      <c r="X243" s="19">
        <f t="shared" si="25"/>
        <v>0</v>
      </c>
    </row>
    <row r="244" ht="15.75" customHeight="1">
      <c r="Q244" s="15">
        <f t="shared" si="19"/>
        <v>0</v>
      </c>
      <c r="W244" s="22">
        <f t="shared" si="24"/>
        <v>0</v>
      </c>
      <c r="X244" s="19">
        <f t="shared" si="25"/>
        <v>0</v>
      </c>
    </row>
    <row r="245" ht="15.75" customHeight="1">
      <c r="Q245" s="15">
        <f t="shared" si="19"/>
        <v>0</v>
      </c>
      <c r="W245" s="22">
        <f t="shared" si="24"/>
        <v>0</v>
      </c>
      <c r="X245" s="19">
        <f t="shared" si="25"/>
        <v>0</v>
      </c>
    </row>
    <row r="246" ht="15.75" customHeight="1">
      <c r="Q246" s="15">
        <f t="shared" si="19"/>
        <v>0</v>
      </c>
      <c r="W246" s="22">
        <f t="shared" si="24"/>
        <v>0</v>
      </c>
      <c r="X246" s="19">
        <f t="shared" si="25"/>
        <v>0</v>
      </c>
    </row>
    <row r="247" ht="15.75" customHeight="1">
      <c r="Q247" s="15">
        <f t="shared" si="19"/>
        <v>0</v>
      </c>
      <c r="W247" s="22">
        <f t="shared" si="24"/>
        <v>0</v>
      </c>
      <c r="X247" s="19">
        <f t="shared" si="25"/>
        <v>0</v>
      </c>
    </row>
    <row r="248" ht="15.75" customHeight="1">
      <c r="Q248" s="15">
        <f t="shared" si="19"/>
        <v>0</v>
      </c>
      <c r="W248" s="22">
        <f t="shared" si="24"/>
        <v>0</v>
      </c>
      <c r="X248" s="19">
        <f t="shared" si="25"/>
        <v>0</v>
      </c>
    </row>
    <row r="249" ht="15.75" customHeight="1">
      <c r="Q249" s="15">
        <f t="shared" si="19"/>
        <v>0</v>
      </c>
      <c r="W249" s="22">
        <f t="shared" si="24"/>
        <v>0</v>
      </c>
      <c r="X249" s="19">
        <f t="shared" si="25"/>
        <v>0</v>
      </c>
    </row>
    <row r="250" ht="15.75" customHeight="1">
      <c r="Q250" s="15">
        <f t="shared" si="19"/>
        <v>0</v>
      </c>
      <c r="W250" s="22">
        <f t="shared" si="24"/>
        <v>0</v>
      </c>
      <c r="X250" s="19">
        <f t="shared" si="25"/>
        <v>0</v>
      </c>
    </row>
    <row r="251" ht="15.75" customHeight="1">
      <c r="Q251" s="15">
        <f t="shared" si="19"/>
        <v>0</v>
      </c>
      <c r="W251" s="22">
        <f t="shared" si="24"/>
        <v>0</v>
      </c>
      <c r="X251" s="19">
        <f t="shared" si="25"/>
        <v>0</v>
      </c>
    </row>
    <row r="252" ht="15.75" customHeight="1">
      <c r="Q252" s="15">
        <f t="shared" si="19"/>
        <v>0</v>
      </c>
      <c r="W252" s="22">
        <f t="shared" si="24"/>
        <v>0</v>
      </c>
      <c r="X252" s="19">
        <f t="shared" si="25"/>
        <v>0</v>
      </c>
    </row>
    <row r="253" ht="15.75" customHeight="1">
      <c r="Q253" s="15">
        <f t="shared" si="19"/>
        <v>0</v>
      </c>
      <c r="W253" s="22">
        <f t="shared" si="24"/>
        <v>0</v>
      </c>
      <c r="X253" s="19">
        <f t="shared" si="25"/>
        <v>0</v>
      </c>
    </row>
    <row r="254" ht="15.75" customHeight="1">
      <c r="Q254" s="15">
        <f t="shared" si="19"/>
        <v>0</v>
      </c>
      <c r="W254" s="22">
        <f t="shared" si="24"/>
        <v>0</v>
      </c>
      <c r="X254" s="19">
        <f t="shared" si="25"/>
        <v>0</v>
      </c>
    </row>
    <row r="255" ht="15.75" customHeight="1">
      <c r="Q255" s="15">
        <f t="shared" si="19"/>
        <v>0</v>
      </c>
      <c r="W255" s="22">
        <f t="shared" si="24"/>
        <v>0</v>
      </c>
      <c r="X255" s="19">
        <f t="shared" si="25"/>
        <v>0</v>
      </c>
    </row>
    <row r="256" ht="15.75" customHeight="1">
      <c r="Q256" s="15">
        <f t="shared" si="19"/>
        <v>0</v>
      </c>
      <c r="W256" s="22">
        <f t="shared" si="24"/>
        <v>0</v>
      </c>
      <c r="X256" s="19">
        <f t="shared" si="25"/>
        <v>0</v>
      </c>
    </row>
    <row r="257" ht="15.75" customHeight="1">
      <c r="Q257" s="15">
        <f t="shared" si="19"/>
        <v>0</v>
      </c>
      <c r="W257" s="22">
        <f t="shared" si="24"/>
        <v>0</v>
      </c>
      <c r="X257" s="19">
        <f t="shared" si="25"/>
        <v>0</v>
      </c>
    </row>
    <row r="258" ht="15.75" customHeight="1">
      <c r="Q258" s="15">
        <f t="shared" si="19"/>
        <v>0</v>
      </c>
      <c r="W258" s="22">
        <f t="shared" si="24"/>
        <v>0</v>
      </c>
      <c r="X258" s="19">
        <f t="shared" si="25"/>
        <v>0</v>
      </c>
    </row>
    <row r="259" ht="15.75" customHeight="1">
      <c r="Q259" s="15">
        <f t="shared" si="19"/>
        <v>0</v>
      </c>
      <c r="W259" s="22">
        <f t="shared" si="24"/>
        <v>0</v>
      </c>
      <c r="X259" s="19">
        <f t="shared" si="25"/>
        <v>0</v>
      </c>
    </row>
    <row r="260" ht="15.75" customHeight="1">
      <c r="Q260" s="15">
        <f t="shared" si="19"/>
        <v>0</v>
      </c>
      <c r="W260" s="22">
        <f t="shared" si="24"/>
        <v>0</v>
      </c>
      <c r="X260" s="19">
        <f t="shared" si="25"/>
        <v>0</v>
      </c>
    </row>
    <row r="261" ht="15.75" customHeight="1">
      <c r="Q261" s="15">
        <f t="shared" si="19"/>
        <v>0</v>
      </c>
      <c r="W261" s="22">
        <f t="shared" si="24"/>
        <v>0</v>
      </c>
      <c r="X261" s="19">
        <f t="shared" si="25"/>
        <v>0</v>
      </c>
    </row>
    <row r="262" ht="15.75" customHeight="1">
      <c r="Q262" s="15">
        <f t="shared" si="19"/>
        <v>0</v>
      </c>
      <c r="W262" s="22">
        <f t="shared" si="24"/>
        <v>0</v>
      </c>
      <c r="X262" s="19">
        <f t="shared" si="25"/>
        <v>0</v>
      </c>
    </row>
    <row r="263" ht="15.75" customHeight="1">
      <c r="Q263" s="15">
        <f t="shared" si="19"/>
        <v>0</v>
      </c>
      <c r="W263" s="22">
        <f t="shared" si="24"/>
        <v>0</v>
      </c>
      <c r="X263" s="19">
        <f t="shared" si="25"/>
        <v>0</v>
      </c>
    </row>
    <row r="264" ht="15.75" customHeight="1">
      <c r="Q264" s="15">
        <f t="shared" si="19"/>
        <v>0</v>
      </c>
      <c r="W264" s="22">
        <f t="shared" si="24"/>
        <v>0</v>
      </c>
      <c r="X264" s="19">
        <f t="shared" si="25"/>
        <v>0</v>
      </c>
    </row>
    <row r="265" ht="15.75" customHeight="1">
      <c r="Q265" s="15">
        <f t="shared" si="19"/>
        <v>0</v>
      </c>
      <c r="W265" s="22">
        <f t="shared" si="24"/>
        <v>0</v>
      </c>
      <c r="X265" s="19">
        <f t="shared" si="25"/>
        <v>0</v>
      </c>
    </row>
    <row r="266" ht="15.75" customHeight="1">
      <c r="Q266" s="15">
        <f t="shared" si="19"/>
        <v>0</v>
      </c>
      <c r="W266" s="22">
        <f t="shared" si="24"/>
        <v>0</v>
      </c>
      <c r="X266" s="19">
        <f t="shared" si="25"/>
        <v>0</v>
      </c>
    </row>
    <row r="267" ht="15.75" customHeight="1">
      <c r="Q267" s="15">
        <f t="shared" si="19"/>
        <v>0</v>
      </c>
      <c r="W267" s="22">
        <f t="shared" si="24"/>
        <v>0</v>
      </c>
      <c r="X267" s="19">
        <f t="shared" si="25"/>
        <v>0</v>
      </c>
    </row>
    <row r="268" ht="15.75" customHeight="1">
      <c r="Q268" s="15">
        <f t="shared" si="19"/>
        <v>0</v>
      </c>
      <c r="W268" s="22">
        <f t="shared" si="24"/>
        <v>0</v>
      </c>
      <c r="X268" s="19">
        <f t="shared" si="25"/>
        <v>0</v>
      </c>
    </row>
    <row r="269" ht="15.75" customHeight="1">
      <c r="Q269" s="15">
        <f t="shared" si="19"/>
        <v>0</v>
      </c>
      <c r="W269" s="22">
        <f t="shared" si="24"/>
        <v>0</v>
      </c>
      <c r="X269" s="19">
        <f t="shared" si="25"/>
        <v>0</v>
      </c>
    </row>
    <row r="270" ht="15.75" customHeight="1">
      <c r="Q270" s="15">
        <f t="shared" si="19"/>
        <v>0</v>
      </c>
      <c r="W270" s="22">
        <f t="shared" si="24"/>
        <v>0</v>
      </c>
      <c r="X270" s="19">
        <f t="shared" si="25"/>
        <v>0</v>
      </c>
    </row>
    <row r="271" ht="15.75" customHeight="1">
      <c r="Q271" s="15">
        <f t="shared" si="19"/>
        <v>0</v>
      </c>
      <c r="W271" s="22">
        <f t="shared" si="24"/>
        <v>0</v>
      </c>
      <c r="X271" s="19">
        <f t="shared" si="25"/>
        <v>0</v>
      </c>
    </row>
    <row r="272" ht="15.75" customHeight="1">
      <c r="Q272" s="15">
        <f t="shared" si="19"/>
        <v>0</v>
      </c>
      <c r="W272" s="22">
        <f t="shared" si="24"/>
        <v>0</v>
      </c>
      <c r="X272" s="19">
        <f t="shared" si="25"/>
        <v>0</v>
      </c>
    </row>
    <row r="273" ht="15.75" customHeight="1">
      <c r="Q273" s="15">
        <f t="shared" si="19"/>
        <v>0</v>
      </c>
      <c r="W273" s="22">
        <f t="shared" si="24"/>
        <v>0</v>
      </c>
      <c r="X273" s="19">
        <f t="shared" si="25"/>
        <v>0</v>
      </c>
    </row>
    <row r="274" ht="15.75" customHeight="1">
      <c r="Q274" s="15">
        <f t="shared" si="19"/>
        <v>0</v>
      </c>
      <c r="W274" s="22">
        <f t="shared" si="24"/>
        <v>0</v>
      </c>
      <c r="X274" s="19">
        <f t="shared" si="25"/>
        <v>0</v>
      </c>
    </row>
    <row r="275" ht="15.75" customHeight="1">
      <c r="Q275" s="15">
        <f t="shared" si="19"/>
        <v>0</v>
      </c>
      <c r="W275" s="22">
        <f t="shared" si="24"/>
        <v>0</v>
      </c>
      <c r="X275" s="19">
        <f t="shared" si="25"/>
        <v>0</v>
      </c>
    </row>
    <row r="276" ht="15.75" customHeight="1">
      <c r="Q276" s="15">
        <f t="shared" si="19"/>
        <v>0</v>
      </c>
      <c r="W276" s="22">
        <f t="shared" si="24"/>
        <v>0</v>
      </c>
      <c r="X276" s="19">
        <f t="shared" si="25"/>
        <v>0</v>
      </c>
    </row>
    <row r="277" ht="15.75" customHeight="1">
      <c r="Q277" s="15">
        <f t="shared" si="19"/>
        <v>0</v>
      </c>
      <c r="W277" s="22">
        <f t="shared" si="24"/>
        <v>0</v>
      </c>
      <c r="X277" s="19">
        <f t="shared" si="25"/>
        <v>0</v>
      </c>
    </row>
    <row r="278" ht="15.75" customHeight="1">
      <c r="Q278" s="15">
        <f t="shared" si="19"/>
        <v>0</v>
      </c>
      <c r="W278" s="22">
        <f t="shared" si="24"/>
        <v>0</v>
      </c>
      <c r="X278" s="19">
        <f t="shared" si="25"/>
        <v>0</v>
      </c>
    </row>
    <row r="279" ht="15.75" customHeight="1">
      <c r="Q279" s="15">
        <f t="shared" si="19"/>
        <v>0</v>
      </c>
      <c r="W279" s="22">
        <f t="shared" si="24"/>
        <v>0</v>
      </c>
      <c r="X279" s="19">
        <f t="shared" si="25"/>
        <v>0</v>
      </c>
    </row>
    <row r="280" ht="15.75" customHeight="1">
      <c r="Q280" s="15">
        <f t="shared" si="19"/>
        <v>0</v>
      </c>
      <c r="W280" s="22">
        <f t="shared" si="24"/>
        <v>0</v>
      </c>
      <c r="X280" s="19">
        <f t="shared" si="25"/>
        <v>0</v>
      </c>
    </row>
    <row r="281" ht="15.75" customHeight="1">
      <c r="Q281" s="15">
        <f t="shared" si="19"/>
        <v>0</v>
      </c>
      <c r="W281" s="22">
        <f t="shared" si="24"/>
        <v>0</v>
      </c>
      <c r="X281" s="19">
        <f t="shared" si="25"/>
        <v>0</v>
      </c>
    </row>
    <row r="282" ht="15.75" customHeight="1">
      <c r="Q282" s="15">
        <f t="shared" si="19"/>
        <v>0</v>
      </c>
      <c r="W282" s="22">
        <f t="shared" si="24"/>
        <v>0</v>
      </c>
      <c r="X282" s="19">
        <f t="shared" si="25"/>
        <v>0</v>
      </c>
    </row>
    <row r="283" ht="15.75" customHeight="1">
      <c r="Q283" s="15">
        <f t="shared" si="19"/>
        <v>0</v>
      </c>
      <c r="W283" s="22">
        <f t="shared" si="24"/>
        <v>0</v>
      </c>
      <c r="X283" s="19">
        <f t="shared" si="25"/>
        <v>0</v>
      </c>
    </row>
    <row r="284" ht="15.75" customHeight="1">
      <c r="Q284" s="15">
        <f t="shared" si="19"/>
        <v>0</v>
      </c>
      <c r="W284" s="22">
        <f t="shared" si="24"/>
        <v>0</v>
      </c>
      <c r="X284" s="19">
        <f t="shared" si="25"/>
        <v>0</v>
      </c>
    </row>
    <row r="285" ht="15.75" customHeight="1">
      <c r="Q285" s="15">
        <f t="shared" si="19"/>
        <v>0</v>
      </c>
      <c r="W285" s="22">
        <f t="shared" si="24"/>
        <v>0</v>
      </c>
      <c r="X285" s="19">
        <f t="shared" si="25"/>
        <v>0</v>
      </c>
    </row>
    <row r="286" ht="15.75" customHeight="1">
      <c r="Q286" s="15">
        <f t="shared" si="19"/>
        <v>0</v>
      </c>
      <c r="W286" s="22">
        <f t="shared" si="24"/>
        <v>0</v>
      </c>
      <c r="X286" s="19">
        <f t="shared" si="25"/>
        <v>0</v>
      </c>
    </row>
    <row r="287" ht="15.75" customHeight="1">
      <c r="Q287" s="15">
        <f t="shared" si="19"/>
        <v>0</v>
      </c>
      <c r="W287" s="22">
        <f t="shared" si="24"/>
        <v>0</v>
      </c>
      <c r="X287" s="19">
        <f t="shared" si="25"/>
        <v>0</v>
      </c>
    </row>
    <row r="288" ht="15.75" customHeight="1">
      <c r="Q288" s="15">
        <f t="shared" si="19"/>
        <v>0</v>
      </c>
      <c r="W288" s="22">
        <f t="shared" si="24"/>
        <v>0</v>
      </c>
      <c r="X288" s="19">
        <f t="shared" si="25"/>
        <v>0</v>
      </c>
    </row>
    <row r="289" ht="15.75" customHeight="1">
      <c r="Q289" s="15">
        <f t="shared" si="19"/>
        <v>0</v>
      </c>
      <c r="W289" s="22">
        <f t="shared" si="24"/>
        <v>0</v>
      </c>
      <c r="X289" s="19">
        <f t="shared" si="25"/>
        <v>0</v>
      </c>
    </row>
    <row r="290" ht="15.75" customHeight="1">
      <c r="Q290" s="15">
        <f t="shared" si="19"/>
        <v>0</v>
      </c>
      <c r="W290" s="22">
        <f t="shared" si="24"/>
        <v>0</v>
      </c>
      <c r="X290" s="19">
        <f t="shared" si="25"/>
        <v>0</v>
      </c>
    </row>
    <row r="291" ht="15.75" customHeight="1">
      <c r="Q291" s="15">
        <f t="shared" si="19"/>
        <v>0</v>
      </c>
      <c r="W291" s="22">
        <f t="shared" si="24"/>
        <v>0</v>
      </c>
      <c r="X291" s="19">
        <f t="shared" si="25"/>
        <v>0</v>
      </c>
    </row>
    <row r="292" ht="15.75" customHeight="1">
      <c r="Q292" s="15">
        <f t="shared" si="19"/>
        <v>0</v>
      </c>
      <c r="W292" s="22">
        <f t="shared" si="24"/>
        <v>0</v>
      </c>
      <c r="X292" s="19">
        <f t="shared" si="25"/>
        <v>0</v>
      </c>
    </row>
    <row r="293" ht="15.75" customHeight="1">
      <c r="Q293" s="15">
        <f t="shared" si="19"/>
        <v>0</v>
      </c>
      <c r="W293" s="22">
        <f t="shared" si="24"/>
        <v>0</v>
      </c>
      <c r="X293" s="19">
        <f t="shared" si="25"/>
        <v>0</v>
      </c>
    </row>
    <row r="294" ht="15.75" customHeight="1">
      <c r="Q294" s="15">
        <f t="shared" si="19"/>
        <v>0</v>
      </c>
      <c r="W294" s="22">
        <f t="shared" si="24"/>
        <v>0</v>
      </c>
      <c r="X294" s="19">
        <f t="shared" si="25"/>
        <v>0</v>
      </c>
    </row>
    <row r="295" ht="15.75" customHeight="1">
      <c r="Q295" s="15">
        <f t="shared" si="19"/>
        <v>0</v>
      </c>
      <c r="W295" s="22">
        <f t="shared" si="24"/>
        <v>0</v>
      </c>
      <c r="X295" s="19">
        <f t="shared" si="25"/>
        <v>0</v>
      </c>
    </row>
    <row r="296" ht="15.75" customHeight="1">
      <c r="Q296" s="15">
        <f t="shared" si="19"/>
        <v>0</v>
      </c>
      <c r="W296" s="22">
        <f t="shared" si="24"/>
        <v>0</v>
      </c>
      <c r="X296" s="19">
        <f t="shared" si="25"/>
        <v>0</v>
      </c>
    </row>
    <row r="297" ht="15.75" customHeight="1">
      <c r="Q297" s="15">
        <f t="shared" si="19"/>
        <v>0</v>
      </c>
      <c r="W297" s="22">
        <f t="shared" si="24"/>
        <v>0</v>
      </c>
      <c r="X297" s="19">
        <f t="shared" si="25"/>
        <v>0</v>
      </c>
    </row>
    <row r="298" ht="15.75" customHeight="1">
      <c r="Q298" s="15">
        <f t="shared" si="19"/>
        <v>0</v>
      </c>
      <c r="W298" s="22">
        <f t="shared" si="24"/>
        <v>0</v>
      </c>
      <c r="X298" s="19">
        <f t="shared" si="25"/>
        <v>0</v>
      </c>
    </row>
    <row r="299" ht="15.75" customHeight="1">
      <c r="Q299" s="15">
        <f t="shared" si="19"/>
        <v>0</v>
      </c>
      <c r="W299" s="22">
        <f t="shared" si="24"/>
        <v>0</v>
      </c>
      <c r="X299" s="19">
        <f t="shared" si="25"/>
        <v>0</v>
      </c>
    </row>
    <row r="300" ht="15.75" customHeight="1">
      <c r="Q300" s="15">
        <f t="shared" si="19"/>
        <v>0</v>
      </c>
      <c r="W300" s="22">
        <f t="shared" si="24"/>
        <v>0</v>
      </c>
      <c r="X300" s="19">
        <f t="shared" si="25"/>
        <v>0</v>
      </c>
    </row>
    <row r="301" ht="15.75" customHeight="1">
      <c r="Q301" s="15">
        <f t="shared" si="19"/>
        <v>0</v>
      </c>
      <c r="W301" s="22">
        <f t="shared" si="24"/>
        <v>0</v>
      </c>
      <c r="X301" s="19">
        <f t="shared" si="25"/>
        <v>0</v>
      </c>
    </row>
    <row r="302" ht="15.75" customHeight="1">
      <c r="Q302" s="15">
        <f t="shared" si="19"/>
        <v>0</v>
      </c>
      <c r="W302" s="22">
        <f t="shared" si="24"/>
        <v>0</v>
      </c>
      <c r="X302" s="19">
        <f t="shared" si="25"/>
        <v>0</v>
      </c>
    </row>
    <row r="303" ht="15.75" customHeight="1">
      <c r="Q303" s="15">
        <f t="shared" si="19"/>
        <v>0</v>
      </c>
      <c r="W303" s="22">
        <f t="shared" si="24"/>
        <v>0</v>
      </c>
      <c r="X303" s="19">
        <f t="shared" si="25"/>
        <v>0</v>
      </c>
    </row>
    <row r="304" ht="15.75" customHeight="1">
      <c r="Q304" s="15">
        <f t="shared" si="19"/>
        <v>0</v>
      </c>
      <c r="W304" s="22">
        <f t="shared" si="24"/>
        <v>0</v>
      </c>
      <c r="X304" s="19">
        <f t="shared" si="25"/>
        <v>0</v>
      </c>
    </row>
    <row r="305" ht="15.75" customHeight="1">
      <c r="Q305" s="15">
        <f t="shared" si="19"/>
        <v>0</v>
      </c>
      <c r="W305" s="22">
        <f t="shared" si="24"/>
        <v>0</v>
      </c>
      <c r="X305" s="19">
        <f t="shared" si="25"/>
        <v>0</v>
      </c>
    </row>
    <row r="306" ht="15.75" customHeight="1">
      <c r="Q306" s="15">
        <f t="shared" si="19"/>
        <v>0</v>
      </c>
      <c r="W306" s="22">
        <f t="shared" si="24"/>
        <v>0</v>
      </c>
      <c r="X306" s="19">
        <f t="shared" si="25"/>
        <v>0</v>
      </c>
    </row>
    <row r="307" ht="15.75" customHeight="1">
      <c r="Q307" s="15">
        <f t="shared" si="19"/>
        <v>0</v>
      </c>
      <c r="W307" s="22">
        <f t="shared" si="24"/>
        <v>0</v>
      </c>
      <c r="X307" s="19">
        <f t="shared" si="25"/>
        <v>0</v>
      </c>
    </row>
    <row r="308" ht="15.75" customHeight="1">
      <c r="Q308" s="15">
        <f t="shared" si="19"/>
        <v>0</v>
      </c>
      <c r="W308" s="22">
        <f t="shared" si="24"/>
        <v>0</v>
      </c>
      <c r="X308" s="19">
        <f t="shared" si="25"/>
        <v>0</v>
      </c>
    </row>
    <row r="309" ht="15.75" customHeight="1">
      <c r="Q309" s="15">
        <f t="shared" si="19"/>
        <v>0</v>
      </c>
      <c r="W309" s="22">
        <f t="shared" si="24"/>
        <v>0</v>
      </c>
      <c r="X309" s="19">
        <f t="shared" si="25"/>
        <v>0</v>
      </c>
    </row>
    <row r="310" ht="15.75" customHeight="1">
      <c r="Q310" s="15">
        <f t="shared" si="19"/>
        <v>0</v>
      </c>
      <c r="W310" s="22">
        <f t="shared" si="24"/>
        <v>0</v>
      </c>
      <c r="X310" s="19">
        <f t="shared" si="25"/>
        <v>0</v>
      </c>
    </row>
    <row r="311" ht="15.75" customHeight="1">
      <c r="Q311" s="15">
        <f t="shared" si="19"/>
        <v>0</v>
      </c>
      <c r="W311" s="22">
        <f t="shared" si="24"/>
        <v>0</v>
      </c>
      <c r="X311" s="19">
        <f t="shared" si="25"/>
        <v>0</v>
      </c>
    </row>
    <row r="312" ht="15.75" customHeight="1">
      <c r="Q312" s="15">
        <f t="shared" si="19"/>
        <v>0</v>
      </c>
      <c r="W312" s="22">
        <f t="shared" si="24"/>
        <v>0</v>
      </c>
      <c r="X312" s="19">
        <f t="shared" si="25"/>
        <v>0</v>
      </c>
    </row>
    <row r="313" ht="15.75" customHeight="1">
      <c r="Q313" s="15">
        <f t="shared" si="19"/>
        <v>0</v>
      </c>
      <c r="W313" s="22">
        <f t="shared" si="24"/>
        <v>0</v>
      </c>
      <c r="X313" s="19">
        <f t="shared" si="25"/>
        <v>0</v>
      </c>
    </row>
    <row r="314" ht="15.75" customHeight="1">
      <c r="Q314" s="15">
        <f t="shared" si="19"/>
        <v>0</v>
      </c>
      <c r="W314" s="22">
        <f t="shared" si="24"/>
        <v>0</v>
      </c>
      <c r="X314" s="19">
        <f t="shared" si="25"/>
        <v>0</v>
      </c>
    </row>
    <row r="315" ht="15.75" customHeight="1">
      <c r="Q315" s="15">
        <f t="shared" si="19"/>
        <v>0</v>
      </c>
      <c r="W315" s="22">
        <f t="shared" si="24"/>
        <v>0</v>
      </c>
      <c r="X315" s="19">
        <f t="shared" si="25"/>
        <v>0</v>
      </c>
    </row>
    <row r="316" ht="15.75" customHeight="1">
      <c r="Q316" s="15">
        <f t="shared" si="19"/>
        <v>0</v>
      </c>
      <c r="W316" s="22">
        <f t="shared" si="24"/>
        <v>0</v>
      </c>
      <c r="X316" s="19">
        <f t="shared" si="25"/>
        <v>0</v>
      </c>
    </row>
    <row r="317" ht="15.75" customHeight="1">
      <c r="Q317" s="15">
        <f t="shared" si="19"/>
        <v>0</v>
      </c>
      <c r="W317" s="22">
        <f t="shared" si="24"/>
        <v>0</v>
      </c>
      <c r="X317" s="19">
        <f t="shared" si="25"/>
        <v>0</v>
      </c>
    </row>
    <row r="318" ht="15.75" customHeight="1">
      <c r="Q318" s="15">
        <f t="shared" si="19"/>
        <v>0</v>
      </c>
      <c r="W318" s="22">
        <f t="shared" si="24"/>
        <v>0</v>
      </c>
      <c r="X318" s="19">
        <f t="shared" si="25"/>
        <v>0</v>
      </c>
    </row>
    <row r="319" ht="15.75" customHeight="1">
      <c r="Q319" s="15">
        <f t="shared" si="19"/>
        <v>0</v>
      </c>
      <c r="W319" s="22">
        <f t="shared" si="24"/>
        <v>0</v>
      </c>
      <c r="X319" s="19">
        <f t="shared" si="25"/>
        <v>0</v>
      </c>
    </row>
    <row r="320" ht="15.75" customHeight="1">
      <c r="Q320" s="15">
        <f t="shared" si="19"/>
        <v>0</v>
      </c>
      <c r="W320" s="22">
        <f t="shared" si="24"/>
        <v>0</v>
      </c>
      <c r="X320" s="19">
        <f t="shared" si="25"/>
        <v>0</v>
      </c>
    </row>
    <row r="321" ht="15.75" customHeight="1">
      <c r="Q321" s="15">
        <f t="shared" si="19"/>
        <v>0</v>
      </c>
      <c r="W321" s="22">
        <f t="shared" si="24"/>
        <v>0</v>
      </c>
      <c r="X321" s="19">
        <f t="shared" si="25"/>
        <v>0</v>
      </c>
    </row>
    <row r="322" ht="15.75" customHeight="1">
      <c r="Q322" s="15">
        <f t="shared" si="19"/>
        <v>0</v>
      </c>
      <c r="W322" s="22">
        <f t="shared" si="24"/>
        <v>0</v>
      </c>
      <c r="X322" s="19">
        <f t="shared" si="25"/>
        <v>0</v>
      </c>
    </row>
    <row r="323" ht="15.75" customHeight="1">
      <c r="Q323" s="15">
        <f t="shared" si="19"/>
        <v>0</v>
      </c>
      <c r="W323" s="22">
        <f t="shared" si="24"/>
        <v>0</v>
      </c>
      <c r="X323" s="19">
        <f t="shared" si="25"/>
        <v>0</v>
      </c>
    </row>
    <row r="324" ht="15.75" customHeight="1">
      <c r="Q324" s="15">
        <f t="shared" si="19"/>
        <v>0</v>
      </c>
      <c r="W324" s="22">
        <f t="shared" si="24"/>
        <v>0</v>
      </c>
      <c r="X324" s="19">
        <f t="shared" si="25"/>
        <v>0</v>
      </c>
    </row>
    <row r="325" ht="15.75" customHeight="1">
      <c r="Q325" s="15">
        <f t="shared" si="19"/>
        <v>0</v>
      </c>
      <c r="W325" s="22">
        <f t="shared" si="24"/>
        <v>0</v>
      </c>
      <c r="X325" s="19">
        <f t="shared" si="25"/>
        <v>0</v>
      </c>
    </row>
    <row r="326" ht="15.75" customHeight="1">
      <c r="Q326" s="15">
        <f t="shared" si="19"/>
        <v>0</v>
      </c>
      <c r="W326" s="22">
        <f t="shared" si="24"/>
        <v>0</v>
      </c>
      <c r="X326" s="19">
        <f t="shared" si="25"/>
        <v>0</v>
      </c>
    </row>
    <row r="327" ht="15.75" customHeight="1">
      <c r="Q327" s="15">
        <f t="shared" si="19"/>
        <v>0</v>
      </c>
      <c r="W327" s="22">
        <f t="shared" si="24"/>
        <v>0</v>
      </c>
      <c r="X327" s="19">
        <f t="shared" si="25"/>
        <v>0</v>
      </c>
    </row>
    <row r="328" ht="15.75" customHeight="1">
      <c r="Q328" s="15">
        <f t="shared" si="19"/>
        <v>0</v>
      </c>
      <c r="W328" s="22">
        <f t="shared" si="24"/>
        <v>0</v>
      </c>
      <c r="X328" s="19">
        <f t="shared" si="25"/>
        <v>0</v>
      </c>
    </row>
    <row r="329" ht="15.75" customHeight="1">
      <c r="Q329" s="15">
        <f t="shared" si="19"/>
        <v>0</v>
      </c>
      <c r="W329" s="22">
        <f t="shared" si="24"/>
        <v>0</v>
      </c>
      <c r="X329" s="19">
        <f t="shared" si="25"/>
        <v>0</v>
      </c>
    </row>
    <row r="330" ht="15.75" customHeight="1">
      <c r="Q330" s="15">
        <f t="shared" si="19"/>
        <v>0</v>
      </c>
      <c r="W330" s="22">
        <f t="shared" si="24"/>
        <v>0</v>
      </c>
      <c r="X330" s="19">
        <f t="shared" si="25"/>
        <v>0</v>
      </c>
    </row>
    <row r="331" ht="15.75" customHeight="1">
      <c r="Q331" s="15">
        <f t="shared" si="19"/>
        <v>0</v>
      </c>
      <c r="W331" s="22">
        <f t="shared" si="24"/>
        <v>0</v>
      </c>
      <c r="X331" s="19">
        <f t="shared" si="25"/>
        <v>0</v>
      </c>
    </row>
    <row r="332" ht="15.75" customHeight="1">
      <c r="Q332" s="15">
        <f t="shared" si="19"/>
        <v>0</v>
      </c>
      <c r="W332" s="22">
        <f t="shared" si="24"/>
        <v>0</v>
      </c>
      <c r="X332" s="19">
        <f t="shared" si="25"/>
        <v>0</v>
      </c>
    </row>
    <row r="333" ht="15.75" customHeight="1">
      <c r="Q333" s="15">
        <f t="shared" si="19"/>
        <v>0</v>
      </c>
      <c r="W333" s="22">
        <f t="shared" si="24"/>
        <v>0</v>
      </c>
      <c r="X333" s="19">
        <f t="shared" si="25"/>
        <v>0</v>
      </c>
    </row>
    <row r="334" ht="15.75" customHeight="1">
      <c r="Q334" s="15">
        <f t="shared" si="19"/>
        <v>0</v>
      </c>
      <c r="W334" s="22">
        <f t="shared" si="24"/>
        <v>0</v>
      </c>
      <c r="X334" s="19">
        <f t="shared" si="25"/>
        <v>0</v>
      </c>
    </row>
    <row r="335" ht="15.75" customHeight="1">
      <c r="Q335" s="15">
        <f t="shared" si="19"/>
        <v>0</v>
      </c>
      <c r="W335" s="22">
        <f t="shared" si="24"/>
        <v>0</v>
      </c>
      <c r="X335" s="19">
        <f t="shared" si="25"/>
        <v>0</v>
      </c>
    </row>
    <row r="336" ht="15.75" customHeight="1">
      <c r="Q336" s="15">
        <f t="shared" si="19"/>
        <v>0</v>
      </c>
      <c r="W336" s="22">
        <f t="shared" si="24"/>
        <v>0</v>
      </c>
      <c r="X336" s="19">
        <f t="shared" si="25"/>
        <v>0</v>
      </c>
    </row>
    <row r="337" ht="15.75" customHeight="1">
      <c r="Q337" s="15">
        <f t="shared" si="19"/>
        <v>0</v>
      </c>
      <c r="W337" s="22">
        <f t="shared" si="24"/>
        <v>0</v>
      </c>
      <c r="X337" s="19">
        <f t="shared" si="25"/>
        <v>0</v>
      </c>
    </row>
    <row r="338" ht="15.75" customHeight="1">
      <c r="Q338" s="15">
        <f t="shared" si="19"/>
        <v>0</v>
      </c>
      <c r="W338" s="22">
        <f t="shared" si="24"/>
        <v>0</v>
      </c>
      <c r="X338" s="19">
        <f t="shared" si="25"/>
        <v>0</v>
      </c>
    </row>
    <row r="339" ht="15.75" customHeight="1">
      <c r="Q339" s="15">
        <f t="shared" si="19"/>
        <v>0</v>
      </c>
      <c r="W339" s="22">
        <f t="shared" si="24"/>
        <v>0</v>
      </c>
      <c r="X339" s="19">
        <f t="shared" si="25"/>
        <v>0</v>
      </c>
    </row>
    <row r="340" ht="15.75" customHeight="1">
      <c r="Q340" s="15">
        <f t="shared" si="19"/>
        <v>0</v>
      </c>
      <c r="W340" s="22">
        <f t="shared" si="24"/>
        <v>0</v>
      </c>
      <c r="X340" s="19">
        <f t="shared" si="25"/>
        <v>0</v>
      </c>
    </row>
    <row r="341" ht="15.75" customHeight="1">
      <c r="Q341" s="15">
        <f t="shared" si="19"/>
        <v>0</v>
      </c>
      <c r="W341" s="22">
        <f t="shared" si="24"/>
        <v>0</v>
      </c>
      <c r="X341" s="19">
        <f t="shared" si="25"/>
        <v>0</v>
      </c>
    </row>
    <row r="342" ht="15.75" customHeight="1">
      <c r="Q342" s="15">
        <f t="shared" si="19"/>
        <v>0</v>
      </c>
      <c r="W342" s="22">
        <f t="shared" si="24"/>
        <v>0</v>
      </c>
      <c r="X342" s="19">
        <f t="shared" si="25"/>
        <v>0</v>
      </c>
    </row>
    <row r="343" ht="15.75" customHeight="1">
      <c r="Q343" s="15">
        <f t="shared" si="19"/>
        <v>0</v>
      </c>
      <c r="W343" s="22">
        <f t="shared" si="24"/>
        <v>0</v>
      </c>
      <c r="X343" s="19">
        <f t="shared" si="25"/>
        <v>0</v>
      </c>
    </row>
    <row r="344" ht="15.75" customHeight="1">
      <c r="Q344" s="15">
        <f t="shared" si="19"/>
        <v>0</v>
      </c>
      <c r="W344" s="22">
        <f t="shared" si="24"/>
        <v>0</v>
      </c>
      <c r="X344" s="19">
        <f t="shared" si="25"/>
        <v>0</v>
      </c>
    </row>
    <row r="345" ht="15.75" customHeight="1">
      <c r="Q345" s="15">
        <f t="shared" si="19"/>
        <v>0</v>
      </c>
      <c r="W345" s="22">
        <f t="shared" si="24"/>
        <v>0</v>
      </c>
      <c r="X345" s="19">
        <f t="shared" si="25"/>
        <v>0</v>
      </c>
    </row>
    <row r="346" ht="15.75" customHeight="1">
      <c r="Q346" s="15">
        <f t="shared" si="19"/>
        <v>0</v>
      </c>
      <c r="W346" s="22">
        <f t="shared" si="24"/>
        <v>0</v>
      </c>
      <c r="X346" s="19">
        <f t="shared" si="25"/>
        <v>0</v>
      </c>
    </row>
    <row r="347" ht="15.75" customHeight="1">
      <c r="Q347" s="15">
        <f t="shared" si="19"/>
        <v>0</v>
      </c>
      <c r="W347" s="22">
        <f t="shared" si="24"/>
        <v>0</v>
      </c>
      <c r="X347" s="19">
        <f t="shared" si="25"/>
        <v>0</v>
      </c>
    </row>
    <row r="348" ht="15.75" customHeight="1">
      <c r="Q348" s="15">
        <f t="shared" si="19"/>
        <v>0</v>
      </c>
      <c r="W348" s="22">
        <f t="shared" si="24"/>
        <v>0</v>
      </c>
      <c r="X348" s="19">
        <f t="shared" si="25"/>
        <v>0</v>
      </c>
    </row>
    <row r="349" ht="15.75" customHeight="1">
      <c r="Q349" s="15">
        <f t="shared" si="19"/>
        <v>0</v>
      </c>
      <c r="W349" s="22">
        <f t="shared" si="24"/>
        <v>0</v>
      </c>
      <c r="X349" s="19">
        <f t="shared" si="25"/>
        <v>0</v>
      </c>
    </row>
    <row r="350" ht="15.75" customHeight="1">
      <c r="Q350" s="15">
        <f t="shared" si="19"/>
        <v>0</v>
      </c>
      <c r="W350" s="22">
        <f t="shared" si="24"/>
        <v>0</v>
      </c>
      <c r="X350" s="19">
        <f t="shared" si="25"/>
        <v>0</v>
      </c>
    </row>
    <row r="351" ht="15.75" customHeight="1">
      <c r="Q351" s="15">
        <f t="shared" si="19"/>
        <v>0</v>
      </c>
      <c r="W351" s="22">
        <f t="shared" si="24"/>
        <v>0</v>
      </c>
      <c r="X351" s="19">
        <f t="shared" si="25"/>
        <v>0</v>
      </c>
    </row>
    <row r="352" ht="15.75" customHeight="1">
      <c r="Q352" s="15">
        <f t="shared" si="19"/>
        <v>0</v>
      </c>
      <c r="W352" s="22">
        <f t="shared" si="24"/>
        <v>0</v>
      </c>
      <c r="X352" s="19">
        <f t="shared" si="25"/>
        <v>0</v>
      </c>
    </row>
    <row r="353" ht="15.75" customHeight="1">
      <c r="Q353" s="15">
        <f t="shared" si="19"/>
        <v>0</v>
      </c>
      <c r="W353" s="22">
        <f t="shared" si="24"/>
        <v>0</v>
      </c>
      <c r="X353" s="19">
        <f t="shared" si="25"/>
        <v>0</v>
      </c>
    </row>
    <row r="354" ht="15.75" customHeight="1">
      <c r="Q354" s="15">
        <f t="shared" si="19"/>
        <v>0</v>
      </c>
      <c r="W354" s="22">
        <f t="shared" si="24"/>
        <v>0</v>
      </c>
      <c r="X354" s="19">
        <f t="shared" si="25"/>
        <v>0</v>
      </c>
    </row>
    <row r="355" ht="15.75" customHeight="1">
      <c r="Q355" s="15">
        <f t="shared" si="19"/>
        <v>0</v>
      </c>
      <c r="W355" s="22">
        <f t="shared" si="24"/>
        <v>0</v>
      </c>
      <c r="X355" s="19">
        <f t="shared" si="25"/>
        <v>0</v>
      </c>
    </row>
    <row r="356" ht="15.75" customHeight="1">
      <c r="Q356" s="15">
        <f t="shared" si="19"/>
        <v>0</v>
      </c>
      <c r="W356" s="22">
        <f t="shared" si="24"/>
        <v>0</v>
      </c>
      <c r="X356" s="19">
        <f t="shared" si="25"/>
        <v>0</v>
      </c>
    </row>
    <row r="357" ht="15.75" customHeight="1">
      <c r="Q357" s="15">
        <f t="shared" si="19"/>
        <v>0</v>
      </c>
      <c r="W357" s="22">
        <f t="shared" si="24"/>
        <v>0</v>
      </c>
      <c r="X357" s="19">
        <f t="shared" si="25"/>
        <v>0</v>
      </c>
    </row>
    <row r="358" ht="15.75" customHeight="1">
      <c r="Q358" s="15">
        <f t="shared" si="19"/>
        <v>0</v>
      </c>
      <c r="W358" s="22">
        <f t="shared" si="24"/>
        <v>0</v>
      </c>
      <c r="X358" s="19">
        <f t="shared" si="25"/>
        <v>0</v>
      </c>
    </row>
    <row r="359" ht="15.75" customHeight="1">
      <c r="Q359" s="15">
        <f t="shared" si="19"/>
        <v>0</v>
      </c>
      <c r="W359" s="22">
        <f t="shared" si="24"/>
        <v>0</v>
      </c>
      <c r="X359" s="19">
        <f t="shared" si="25"/>
        <v>0</v>
      </c>
    </row>
    <row r="360" ht="15.75" customHeight="1">
      <c r="Q360" s="15">
        <f t="shared" si="19"/>
        <v>0</v>
      </c>
      <c r="W360" s="22">
        <f t="shared" si="24"/>
        <v>0</v>
      </c>
      <c r="X360" s="19">
        <f t="shared" si="25"/>
        <v>0</v>
      </c>
    </row>
    <row r="361" ht="15.75" customHeight="1">
      <c r="Q361" s="15">
        <f t="shared" si="19"/>
        <v>0</v>
      </c>
      <c r="W361" s="22">
        <f t="shared" si="24"/>
        <v>0</v>
      </c>
      <c r="X361" s="19">
        <f t="shared" si="25"/>
        <v>0</v>
      </c>
    </row>
    <row r="362" ht="15.75" customHeight="1">
      <c r="Q362" s="15">
        <f t="shared" si="19"/>
        <v>0</v>
      </c>
      <c r="W362" s="22">
        <f t="shared" si="24"/>
        <v>0</v>
      </c>
      <c r="X362" s="19">
        <f t="shared" si="25"/>
        <v>0</v>
      </c>
    </row>
    <row r="363" ht="15.75" customHeight="1">
      <c r="Q363" s="15">
        <f t="shared" si="19"/>
        <v>0</v>
      </c>
      <c r="W363" s="22">
        <f t="shared" si="24"/>
        <v>0</v>
      </c>
      <c r="X363" s="19">
        <f t="shared" si="25"/>
        <v>0</v>
      </c>
    </row>
    <row r="364" ht="15.75" customHeight="1">
      <c r="Q364" s="15">
        <f t="shared" si="19"/>
        <v>0</v>
      </c>
      <c r="W364" s="22">
        <f t="shared" si="24"/>
        <v>0</v>
      </c>
      <c r="X364" s="19">
        <f t="shared" si="25"/>
        <v>0</v>
      </c>
    </row>
    <row r="365" ht="15.75" customHeight="1">
      <c r="Q365" s="15">
        <f t="shared" si="19"/>
        <v>0</v>
      </c>
      <c r="W365" s="22">
        <f t="shared" si="24"/>
        <v>0</v>
      </c>
      <c r="X365" s="19">
        <f t="shared" si="25"/>
        <v>0</v>
      </c>
    </row>
    <row r="366" ht="15.75" customHeight="1">
      <c r="Q366" s="15">
        <f t="shared" si="19"/>
        <v>0</v>
      </c>
      <c r="W366" s="22">
        <f t="shared" si="24"/>
        <v>0</v>
      </c>
      <c r="X366" s="19">
        <f t="shared" si="25"/>
        <v>0</v>
      </c>
    </row>
    <row r="367" ht="15.75" customHeight="1">
      <c r="Q367" s="15">
        <f t="shared" si="19"/>
        <v>0</v>
      </c>
      <c r="W367" s="22">
        <f t="shared" si="24"/>
        <v>0</v>
      </c>
      <c r="X367" s="19">
        <f t="shared" si="25"/>
        <v>0</v>
      </c>
    </row>
    <row r="368" ht="15.75" customHeight="1">
      <c r="Q368" s="15">
        <f t="shared" si="19"/>
        <v>0</v>
      </c>
      <c r="W368" s="22">
        <f t="shared" si="24"/>
        <v>0</v>
      </c>
      <c r="X368" s="19">
        <f t="shared" si="25"/>
        <v>0</v>
      </c>
    </row>
    <row r="369" ht="15.75" customHeight="1">
      <c r="Q369" s="15">
        <f t="shared" si="19"/>
        <v>0</v>
      </c>
      <c r="W369" s="22">
        <f t="shared" si="24"/>
        <v>0</v>
      </c>
      <c r="X369" s="19">
        <f t="shared" si="25"/>
        <v>0</v>
      </c>
    </row>
    <row r="370" ht="15.75" customHeight="1">
      <c r="Q370" s="15">
        <f t="shared" si="19"/>
        <v>0</v>
      </c>
      <c r="W370" s="22">
        <f t="shared" si="24"/>
        <v>0</v>
      </c>
      <c r="X370" s="19">
        <f t="shared" si="25"/>
        <v>0</v>
      </c>
    </row>
    <row r="371" ht="15.75" customHeight="1">
      <c r="Q371" s="15">
        <f t="shared" si="19"/>
        <v>0</v>
      </c>
      <c r="W371" s="22">
        <f t="shared" si="24"/>
        <v>0</v>
      </c>
      <c r="X371" s="19">
        <f t="shared" si="25"/>
        <v>0</v>
      </c>
    </row>
    <row r="372" ht="15.75" customHeight="1">
      <c r="Q372" s="15">
        <f t="shared" si="19"/>
        <v>0</v>
      </c>
      <c r="W372" s="22">
        <f t="shared" si="24"/>
        <v>0</v>
      </c>
      <c r="X372" s="19">
        <f t="shared" si="25"/>
        <v>0</v>
      </c>
    </row>
    <row r="373" ht="15.75" customHeight="1">
      <c r="Q373" s="15">
        <f t="shared" si="19"/>
        <v>0</v>
      </c>
      <c r="W373" s="22">
        <f t="shared" si="24"/>
        <v>0</v>
      </c>
      <c r="X373" s="19">
        <f t="shared" si="25"/>
        <v>0</v>
      </c>
    </row>
    <row r="374" ht="15.75" customHeight="1">
      <c r="Q374" s="15">
        <f t="shared" si="19"/>
        <v>0</v>
      </c>
      <c r="W374" s="22">
        <f t="shared" si="24"/>
        <v>0</v>
      </c>
      <c r="X374" s="19">
        <f t="shared" si="25"/>
        <v>0</v>
      </c>
    </row>
    <row r="375" ht="15.75" customHeight="1">
      <c r="Q375" s="15">
        <f t="shared" si="19"/>
        <v>0</v>
      </c>
      <c r="W375" s="22">
        <f t="shared" si="24"/>
        <v>0</v>
      </c>
      <c r="X375" s="19">
        <f t="shared" si="25"/>
        <v>0</v>
      </c>
    </row>
    <row r="376" ht="15.75" customHeight="1">
      <c r="Q376" s="15">
        <f t="shared" si="19"/>
        <v>0</v>
      </c>
      <c r="W376" s="22">
        <f t="shared" si="24"/>
        <v>0</v>
      </c>
      <c r="X376" s="19">
        <f t="shared" si="25"/>
        <v>0</v>
      </c>
    </row>
    <row r="377" ht="15.75" customHeight="1">
      <c r="Q377" s="15">
        <f t="shared" si="19"/>
        <v>0</v>
      </c>
      <c r="W377" s="22">
        <f t="shared" si="24"/>
        <v>0</v>
      </c>
      <c r="X377" s="19">
        <f t="shared" si="25"/>
        <v>0</v>
      </c>
    </row>
    <row r="378" ht="15.75" customHeight="1">
      <c r="Q378" s="15">
        <f t="shared" si="19"/>
        <v>0</v>
      </c>
      <c r="W378" s="22">
        <f t="shared" si="24"/>
        <v>0</v>
      </c>
      <c r="X378" s="19">
        <f t="shared" si="25"/>
        <v>0</v>
      </c>
    </row>
    <row r="379" ht="15.75" customHeight="1">
      <c r="Q379" s="15">
        <f t="shared" si="19"/>
        <v>0</v>
      </c>
      <c r="W379" s="22">
        <f t="shared" si="24"/>
        <v>0</v>
      </c>
      <c r="X379" s="19">
        <f t="shared" si="25"/>
        <v>0</v>
      </c>
    </row>
    <row r="380" ht="15.75" customHeight="1">
      <c r="Q380" s="15">
        <f t="shared" si="19"/>
        <v>0</v>
      </c>
      <c r="W380" s="22">
        <f t="shared" si="24"/>
        <v>0</v>
      </c>
      <c r="X380" s="19">
        <f t="shared" si="25"/>
        <v>0</v>
      </c>
    </row>
    <row r="381" ht="15.75" customHeight="1">
      <c r="Q381" s="15">
        <f t="shared" si="19"/>
        <v>0</v>
      </c>
      <c r="W381" s="22">
        <f t="shared" si="24"/>
        <v>0</v>
      </c>
      <c r="X381" s="19">
        <f t="shared" si="25"/>
        <v>0</v>
      </c>
    </row>
    <row r="382" ht="15.75" customHeight="1">
      <c r="Q382" s="15">
        <f t="shared" si="19"/>
        <v>0</v>
      </c>
      <c r="W382" s="22">
        <f t="shared" si="24"/>
        <v>0</v>
      </c>
      <c r="X382" s="19">
        <f t="shared" si="25"/>
        <v>0</v>
      </c>
    </row>
    <row r="383" ht="15.75" customHeight="1">
      <c r="Q383" s="15">
        <f t="shared" si="19"/>
        <v>0</v>
      </c>
      <c r="W383" s="22">
        <f t="shared" si="24"/>
        <v>0</v>
      </c>
      <c r="X383" s="19">
        <f t="shared" si="25"/>
        <v>0</v>
      </c>
    </row>
    <row r="384" ht="15.75" customHeight="1">
      <c r="Q384" s="15">
        <f t="shared" si="19"/>
        <v>0</v>
      </c>
      <c r="W384" s="22">
        <f t="shared" si="24"/>
        <v>0</v>
      </c>
      <c r="X384" s="19">
        <f t="shared" si="25"/>
        <v>0</v>
      </c>
    </row>
    <row r="385" ht="15.75" customHeight="1">
      <c r="Q385" s="15">
        <f t="shared" si="19"/>
        <v>0</v>
      </c>
      <c r="W385" s="22">
        <f t="shared" si="24"/>
        <v>0</v>
      </c>
      <c r="X385" s="19">
        <f t="shared" si="25"/>
        <v>0</v>
      </c>
    </row>
    <row r="386" ht="15.75" customHeight="1">
      <c r="Q386" s="15">
        <f t="shared" si="19"/>
        <v>0</v>
      </c>
      <c r="W386" s="22">
        <f t="shared" si="24"/>
        <v>0</v>
      </c>
      <c r="X386" s="19">
        <f t="shared" si="25"/>
        <v>0</v>
      </c>
    </row>
    <row r="387" ht="15.75" customHeight="1">
      <c r="Q387" s="15">
        <f t="shared" si="19"/>
        <v>0</v>
      </c>
      <c r="W387" s="22">
        <f t="shared" si="24"/>
        <v>0</v>
      </c>
      <c r="X387" s="19">
        <f t="shared" si="25"/>
        <v>0</v>
      </c>
    </row>
    <row r="388" ht="15.75" customHeight="1">
      <c r="Q388" s="15">
        <f t="shared" si="19"/>
        <v>0</v>
      </c>
      <c r="W388" s="22">
        <f t="shared" si="24"/>
        <v>0</v>
      </c>
      <c r="X388" s="19">
        <f t="shared" si="25"/>
        <v>0</v>
      </c>
    </row>
    <row r="389" ht="15.75" customHeight="1">
      <c r="Q389" s="15">
        <f t="shared" si="19"/>
        <v>0</v>
      </c>
      <c r="W389" s="22">
        <f t="shared" si="24"/>
        <v>0</v>
      </c>
      <c r="X389" s="19">
        <f t="shared" si="25"/>
        <v>0</v>
      </c>
    </row>
    <row r="390" ht="15.75" customHeight="1">
      <c r="Q390" s="15">
        <f t="shared" si="19"/>
        <v>0</v>
      </c>
      <c r="W390" s="22">
        <f t="shared" si="24"/>
        <v>0</v>
      </c>
      <c r="X390" s="19">
        <f t="shared" si="25"/>
        <v>0</v>
      </c>
    </row>
    <row r="391" ht="15.75" customHeight="1">
      <c r="Q391" s="15">
        <f t="shared" si="19"/>
        <v>0</v>
      </c>
      <c r="W391" s="22">
        <f t="shared" si="24"/>
        <v>0</v>
      </c>
      <c r="X391" s="19">
        <f t="shared" si="25"/>
        <v>0</v>
      </c>
    </row>
    <row r="392" ht="15.75" customHeight="1">
      <c r="Q392" s="15">
        <f t="shared" si="19"/>
        <v>0</v>
      </c>
      <c r="W392" s="22">
        <f t="shared" si="24"/>
        <v>0</v>
      </c>
      <c r="X392" s="19">
        <f t="shared" si="25"/>
        <v>0</v>
      </c>
    </row>
    <row r="393" ht="15.75" customHeight="1">
      <c r="Q393" s="15">
        <f t="shared" si="19"/>
        <v>0</v>
      </c>
      <c r="W393" s="22">
        <f t="shared" si="24"/>
        <v>0</v>
      </c>
      <c r="X393" s="19">
        <f t="shared" si="25"/>
        <v>0</v>
      </c>
    </row>
    <row r="394" ht="15.75" customHeight="1">
      <c r="Q394" s="15">
        <f t="shared" si="19"/>
        <v>0</v>
      </c>
      <c r="W394" s="22">
        <f t="shared" si="24"/>
        <v>0</v>
      </c>
      <c r="X394" s="19">
        <f t="shared" si="25"/>
        <v>0</v>
      </c>
    </row>
    <row r="395" ht="15.75" customHeight="1">
      <c r="Q395" s="15">
        <f t="shared" si="19"/>
        <v>0</v>
      </c>
      <c r="W395" s="22">
        <f t="shared" si="24"/>
        <v>0</v>
      </c>
      <c r="X395" s="19">
        <f t="shared" si="25"/>
        <v>0</v>
      </c>
    </row>
    <row r="396" ht="15.75" customHeight="1">
      <c r="Q396" s="15">
        <f t="shared" si="19"/>
        <v>0</v>
      </c>
      <c r="W396" s="22">
        <f t="shared" si="24"/>
        <v>0</v>
      </c>
      <c r="X396" s="19">
        <f t="shared" si="25"/>
        <v>0</v>
      </c>
    </row>
    <row r="397" ht="15.75" customHeight="1">
      <c r="Q397" s="15">
        <f t="shared" si="19"/>
        <v>0</v>
      </c>
      <c r="W397" s="22">
        <f t="shared" si="24"/>
        <v>0</v>
      </c>
      <c r="X397" s="19">
        <f t="shared" si="25"/>
        <v>0</v>
      </c>
    </row>
    <row r="398" ht="15.75" customHeight="1">
      <c r="Q398" s="15">
        <f t="shared" si="19"/>
        <v>0</v>
      </c>
      <c r="W398" s="22">
        <f t="shared" si="24"/>
        <v>0</v>
      </c>
      <c r="X398" s="19">
        <f t="shared" si="25"/>
        <v>0</v>
      </c>
    </row>
    <row r="399" ht="15.75" customHeight="1">
      <c r="Q399" s="15">
        <f t="shared" si="19"/>
        <v>0</v>
      </c>
      <c r="W399" s="22">
        <f t="shared" si="24"/>
        <v>0</v>
      </c>
      <c r="X399" s="19">
        <f t="shared" si="25"/>
        <v>0</v>
      </c>
    </row>
    <row r="400" ht="15.75" customHeight="1">
      <c r="Q400" s="15">
        <f t="shared" si="19"/>
        <v>0</v>
      </c>
      <c r="W400" s="22">
        <f t="shared" si="24"/>
        <v>0</v>
      </c>
      <c r="X400" s="19">
        <f t="shared" si="25"/>
        <v>0</v>
      </c>
    </row>
    <row r="401" ht="15.75" customHeight="1">
      <c r="Q401" s="15">
        <f t="shared" si="19"/>
        <v>0</v>
      </c>
      <c r="W401" s="22">
        <f t="shared" si="24"/>
        <v>0</v>
      </c>
      <c r="X401" s="19">
        <f t="shared" si="25"/>
        <v>0</v>
      </c>
    </row>
    <row r="402" ht="15.75" customHeight="1">
      <c r="Q402" s="15">
        <f t="shared" si="19"/>
        <v>0</v>
      </c>
      <c r="W402" s="22">
        <f t="shared" si="24"/>
        <v>0</v>
      </c>
      <c r="X402" s="19">
        <f t="shared" si="25"/>
        <v>0</v>
      </c>
    </row>
    <row r="403" ht="15.75" customHeight="1">
      <c r="Q403" s="15">
        <f t="shared" si="19"/>
        <v>0</v>
      </c>
      <c r="W403" s="22">
        <f t="shared" si="24"/>
        <v>0</v>
      </c>
      <c r="X403" s="19">
        <f t="shared" si="25"/>
        <v>0</v>
      </c>
    </row>
    <row r="404" ht="15.75" customHeight="1">
      <c r="Q404" s="15">
        <f t="shared" si="19"/>
        <v>0</v>
      </c>
      <c r="W404" s="22">
        <f t="shared" si="24"/>
        <v>0</v>
      </c>
      <c r="X404" s="19">
        <f t="shared" si="25"/>
        <v>0</v>
      </c>
    </row>
    <row r="405" ht="15.75" customHeight="1">
      <c r="Q405" s="15">
        <f t="shared" si="19"/>
        <v>0</v>
      </c>
      <c r="W405" s="22">
        <f t="shared" si="24"/>
        <v>0</v>
      </c>
      <c r="X405" s="19">
        <f t="shared" si="25"/>
        <v>0</v>
      </c>
    </row>
    <row r="406" ht="15.75" customHeight="1">
      <c r="Q406" s="15">
        <f t="shared" si="19"/>
        <v>0</v>
      </c>
      <c r="W406" s="22">
        <f t="shared" si="24"/>
        <v>0</v>
      </c>
      <c r="X406" s="19">
        <f t="shared" si="25"/>
        <v>0</v>
      </c>
    </row>
    <row r="407" ht="15.75" customHeight="1">
      <c r="Q407" s="15">
        <f t="shared" si="19"/>
        <v>0</v>
      </c>
      <c r="W407" s="22">
        <f t="shared" si="24"/>
        <v>0</v>
      </c>
      <c r="X407" s="19">
        <f t="shared" si="25"/>
        <v>0</v>
      </c>
    </row>
    <row r="408" ht="15.75" customHeight="1">
      <c r="Q408" s="15">
        <f t="shared" si="19"/>
        <v>0</v>
      </c>
      <c r="W408" s="22">
        <f t="shared" si="24"/>
        <v>0</v>
      </c>
      <c r="X408" s="19">
        <f t="shared" si="25"/>
        <v>0</v>
      </c>
    </row>
    <row r="409" ht="15.75" customHeight="1">
      <c r="Q409" s="15">
        <f t="shared" si="19"/>
        <v>0</v>
      </c>
      <c r="W409" s="22">
        <f t="shared" si="24"/>
        <v>0</v>
      </c>
      <c r="X409" s="19">
        <f t="shared" si="25"/>
        <v>0</v>
      </c>
    </row>
    <row r="410" ht="15.75" customHeight="1">
      <c r="Q410" s="15">
        <f t="shared" si="19"/>
        <v>0</v>
      </c>
      <c r="W410" s="22">
        <f t="shared" si="24"/>
        <v>0</v>
      </c>
      <c r="X410" s="19">
        <f t="shared" si="25"/>
        <v>0</v>
      </c>
    </row>
    <row r="411" ht="15.75" customHeight="1">
      <c r="Q411" s="15">
        <f t="shared" si="19"/>
        <v>0</v>
      </c>
      <c r="W411" s="22">
        <f t="shared" si="24"/>
        <v>0</v>
      </c>
      <c r="X411" s="19">
        <f t="shared" si="25"/>
        <v>0</v>
      </c>
    </row>
    <row r="412" ht="15.75" customHeight="1">
      <c r="Q412" s="15">
        <f t="shared" si="19"/>
        <v>0</v>
      </c>
      <c r="W412" s="22">
        <f t="shared" si="24"/>
        <v>0</v>
      </c>
      <c r="X412" s="19">
        <f t="shared" si="25"/>
        <v>0</v>
      </c>
    </row>
    <row r="413" ht="15.75" customHeight="1">
      <c r="Q413" s="15">
        <f t="shared" si="19"/>
        <v>0</v>
      </c>
      <c r="W413" s="22">
        <f t="shared" si="24"/>
        <v>0</v>
      </c>
      <c r="X413" s="19">
        <f t="shared" si="25"/>
        <v>0</v>
      </c>
    </row>
    <row r="414" ht="15.75" customHeight="1">
      <c r="Q414" s="15">
        <f t="shared" si="19"/>
        <v>0</v>
      </c>
      <c r="W414" s="22">
        <f t="shared" si="24"/>
        <v>0</v>
      </c>
      <c r="X414" s="19">
        <f t="shared" si="25"/>
        <v>0</v>
      </c>
    </row>
    <row r="415" ht="15.75" customHeight="1">
      <c r="Q415" s="15">
        <f t="shared" si="19"/>
        <v>0</v>
      </c>
      <c r="W415" s="22">
        <f t="shared" si="24"/>
        <v>0</v>
      </c>
      <c r="X415" s="19">
        <f t="shared" si="25"/>
        <v>0</v>
      </c>
    </row>
    <row r="416" ht="15.75" customHeight="1">
      <c r="Q416" s="15">
        <f t="shared" si="19"/>
        <v>0</v>
      </c>
      <c r="W416" s="22">
        <f t="shared" si="24"/>
        <v>0</v>
      </c>
      <c r="X416" s="19">
        <f t="shared" si="25"/>
        <v>0</v>
      </c>
    </row>
    <row r="417" ht="15.75" customHeight="1">
      <c r="Q417" s="15">
        <f t="shared" si="19"/>
        <v>0</v>
      </c>
      <c r="W417" s="22">
        <f t="shared" si="24"/>
        <v>0</v>
      </c>
      <c r="X417" s="19">
        <f t="shared" si="25"/>
        <v>0</v>
      </c>
    </row>
    <row r="418" ht="15.75" customHeight="1">
      <c r="Q418" s="15">
        <f t="shared" si="19"/>
        <v>0</v>
      </c>
      <c r="W418" s="22">
        <f t="shared" si="24"/>
        <v>0</v>
      </c>
      <c r="X418" s="19">
        <f t="shared" si="25"/>
        <v>0</v>
      </c>
    </row>
    <row r="419" ht="15.75" customHeight="1">
      <c r="Q419" s="15">
        <f t="shared" si="19"/>
        <v>0</v>
      </c>
      <c r="W419" s="22">
        <f t="shared" si="24"/>
        <v>0</v>
      </c>
      <c r="X419" s="19">
        <f t="shared" si="25"/>
        <v>0</v>
      </c>
    </row>
    <row r="420" ht="15.75" customHeight="1">
      <c r="Q420" s="15">
        <f t="shared" si="19"/>
        <v>0</v>
      </c>
      <c r="W420" s="22">
        <f t="shared" si="24"/>
        <v>0</v>
      </c>
      <c r="X420" s="19">
        <f t="shared" si="25"/>
        <v>0</v>
      </c>
    </row>
    <row r="421" ht="15.75" customHeight="1">
      <c r="Q421" s="15">
        <f t="shared" si="19"/>
        <v>0</v>
      </c>
      <c r="W421" s="22">
        <f t="shared" si="24"/>
        <v>0</v>
      </c>
      <c r="X421" s="19">
        <f t="shared" si="25"/>
        <v>0</v>
      </c>
    </row>
    <row r="422" ht="15.75" customHeight="1">
      <c r="Q422" s="15">
        <f t="shared" si="19"/>
        <v>0</v>
      </c>
      <c r="W422" s="22">
        <f t="shared" si="24"/>
        <v>0</v>
      </c>
      <c r="X422" s="19">
        <f t="shared" si="25"/>
        <v>0</v>
      </c>
    </row>
    <row r="423" ht="15.75" customHeight="1">
      <c r="Q423" s="15">
        <f t="shared" si="19"/>
        <v>0</v>
      </c>
      <c r="W423" s="22">
        <f t="shared" si="24"/>
        <v>0</v>
      </c>
      <c r="X423" s="19">
        <f t="shared" si="25"/>
        <v>0</v>
      </c>
    </row>
    <row r="424" ht="15.75" customHeight="1">
      <c r="Q424" s="15">
        <f t="shared" si="19"/>
        <v>0</v>
      </c>
      <c r="W424" s="22">
        <f t="shared" si="24"/>
        <v>0</v>
      </c>
      <c r="X424" s="19">
        <f t="shared" si="25"/>
        <v>0</v>
      </c>
    </row>
    <row r="425" ht="15.75" customHeight="1">
      <c r="Q425" s="15">
        <f t="shared" si="19"/>
        <v>0</v>
      </c>
      <c r="W425" s="22">
        <f t="shared" si="24"/>
        <v>0</v>
      </c>
      <c r="X425" s="19">
        <f t="shared" si="25"/>
        <v>0</v>
      </c>
    </row>
    <row r="426" ht="15.75" customHeight="1">
      <c r="Q426" s="15">
        <f t="shared" si="19"/>
        <v>0</v>
      </c>
      <c r="W426" s="22">
        <f t="shared" si="24"/>
        <v>0</v>
      </c>
      <c r="X426" s="19">
        <f t="shared" si="25"/>
        <v>0</v>
      </c>
    </row>
    <row r="427" ht="15.75" customHeight="1">
      <c r="Q427" s="15">
        <f t="shared" si="19"/>
        <v>0</v>
      </c>
      <c r="W427" s="22">
        <f t="shared" si="24"/>
        <v>0</v>
      </c>
      <c r="X427" s="19">
        <f t="shared" si="25"/>
        <v>0</v>
      </c>
    </row>
    <row r="428" ht="15.75" customHeight="1">
      <c r="Q428" s="15">
        <f t="shared" si="19"/>
        <v>0</v>
      </c>
      <c r="W428" s="22">
        <f t="shared" si="24"/>
        <v>0</v>
      </c>
      <c r="X428" s="19">
        <f t="shared" si="25"/>
        <v>0</v>
      </c>
    </row>
    <row r="429" ht="15.75" customHeight="1">
      <c r="Q429" s="15">
        <f t="shared" si="19"/>
        <v>0</v>
      </c>
      <c r="W429" s="22">
        <f t="shared" si="24"/>
        <v>0</v>
      </c>
      <c r="X429" s="19">
        <f t="shared" si="25"/>
        <v>0</v>
      </c>
    </row>
    <row r="430" ht="15.75" customHeight="1">
      <c r="Q430" s="15">
        <f t="shared" si="19"/>
        <v>0</v>
      </c>
      <c r="W430" s="22">
        <f t="shared" si="24"/>
        <v>0</v>
      </c>
      <c r="X430" s="19">
        <f t="shared" si="25"/>
        <v>0</v>
      </c>
    </row>
    <row r="431" ht="15.75" customHeight="1">
      <c r="Q431" s="15">
        <f t="shared" si="19"/>
        <v>0</v>
      </c>
      <c r="W431" s="22">
        <f t="shared" si="24"/>
        <v>0</v>
      </c>
      <c r="X431" s="19">
        <f t="shared" si="25"/>
        <v>0</v>
      </c>
    </row>
    <row r="432" ht="15.75" customHeight="1">
      <c r="Q432" s="15">
        <f t="shared" si="19"/>
        <v>0</v>
      </c>
      <c r="W432" s="22">
        <f t="shared" si="24"/>
        <v>0</v>
      </c>
      <c r="X432" s="19">
        <f t="shared" si="25"/>
        <v>0</v>
      </c>
    </row>
    <row r="433" ht="15.75" customHeight="1">
      <c r="Q433" s="15">
        <f t="shared" si="19"/>
        <v>0</v>
      </c>
      <c r="W433" s="22">
        <f t="shared" si="24"/>
        <v>0</v>
      </c>
      <c r="X433" s="19">
        <f t="shared" si="25"/>
        <v>0</v>
      </c>
    </row>
    <row r="434" ht="15.75" customHeight="1">
      <c r="Q434" s="15">
        <f t="shared" si="19"/>
        <v>0</v>
      </c>
      <c r="W434" s="22">
        <f t="shared" si="24"/>
        <v>0</v>
      </c>
      <c r="X434" s="19">
        <f t="shared" si="25"/>
        <v>0</v>
      </c>
    </row>
    <row r="435" ht="15.75" customHeight="1">
      <c r="Q435" s="15">
        <f t="shared" si="19"/>
        <v>0</v>
      </c>
      <c r="W435" s="22">
        <f t="shared" si="24"/>
        <v>0</v>
      </c>
      <c r="X435" s="19">
        <f t="shared" si="25"/>
        <v>0</v>
      </c>
    </row>
    <row r="436" ht="15.75" customHeight="1">
      <c r="Q436" s="15">
        <f t="shared" si="19"/>
        <v>0</v>
      </c>
      <c r="W436" s="22">
        <f t="shared" si="24"/>
        <v>0</v>
      </c>
      <c r="X436" s="19">
        <f t="shared" si="25"/>
        <v>0</v>
      </c>
    </row>
    <row r="437" ht="15.75" customHeight="1">
      <c r="Q437" s="15">
        <f t="shared" si="19"/>
        <v>0</v>
      </c>
      <c r="W437" s="22">
        <f t="shared" si="24"/>
        <v>0</v>
      </c>
      <c r="X437" s="19">
        <f t="shared" si="25"/>
        <v>0</v>
      </c>
    </row>
    <row r="438" ht="15.75" customHeight="1">
      <c r="Q438" s="15">
        <f t="shared" si="19"/>
        <v>0</v>
      </c>
      <c r="W438" s="22">
        <f t="shared" si="24"/>
        <v>0</v>
      </c>
      <c r="X438" s="19">
        <f t="shared" si="25"/>
        <v>0</v>
      </c>
    </row>
    <row r="439" ht="15.75" customHeight="1">
      <c r="Q439" s="15">
        <f t="shared" si="19"/>
        <v>0</v>
      </c>
      <c r="W439" s="22">
        <f t="shared" si="24"/>
        <v>0</v>
      </c>
      <c r="X439" s="19">
        <f t="shared" si="25"/>
        <v>0</v>
      </c>
    </row>
    <row r="440" ht="15.75" customHeight="1">
      <c r="Q440" s="15">
        <f t="shared" si="19"/>
        <v>0</v>
      </c>
      <c r="W440" s="22">
        <f t="shared" si="24"/>
        <v>0</v>
      </c>
      <c r="X440" s="19">
        <f t="shared" si="25"/>
        <v>0</v>
      </c>
    </row>
    <row r="441" ht="15.75" customHeight="1">
      <c r="Q441" s="15">
        <f t="shared" si="19"/>
        <v>0</v>
      </c>
      <c r="W441" s="22">
        <f t="shared" si="24"/>
        <v>0</v>
      </c>
      <c r="X441" s="19">
        <f t="shared" si="25"/>
        <v>0</v>
      </c>
    </row>
    <row r="442" ht="15.75" customHeight="1">
      <c r="Q442" s="15">
        <f t="shared" si="19"/>
        <v>0</v>
      </c>
      <c r="W442" s="22">
        <f t="shared" si="24"/>
        <v>0</v>
      </c>
      <c r="X442" s="19">
        <f t="shared" si="25"/>
        <v>0</v>
      </c>
    </row>
    <row r="443" ht="15.75" customHeight="1">
      <c r="Q443" s="15">
        <f t="shared" si="19"/>
        <v>0</v>
      </c>
      <c r="W443" s="22">
        <f t="shared" si="24"/>
        <v>0</v>
      </c>
      <c r="X443" s="19">
        <f t="shared" si="25"/>
        <v>0</v>
      </c>
    </row>
    <row r="444" ht="15.75" customHeight="1">
      <c r="Q444" s="15">
        <f t="shared" si="19"/>
        <v>0</v>
      </c>
      <c r="W444" s="22">
        <f t="shared" si="24"/>
        <v>0</v>
      </c>
      <c r="X444" s="19">
        <f t="shared" si="25"/>
        <v>0</v>
      </c>
    </row>
    <row r="445" ht="15.75" customHeight="1">
      <c r="Q445" s="15">
        <f t="shared" si="19"/>
        <v>0</v>
      </c>
      <c r="W445" s="22">
        <f t="shared" si="24"/>
        <v>0</v>
      </c>
      <c r="X445" s="19">
        <f t="shared" si="25"/>
        <v>0</v>
      </c>
    </row>
    <row r="446" ht="15.75" customHeight="1">
      <c r="Q446" s="15">
        <f t="shared" si="19"/>
        <v>0</v>
      </c>
      <c r="W446" s="22">
        <f t="shared" si="24"/>
        <v>0</v>
      </c>
      <c r="X446" s="19">
        <f t="shared" si="25"/>
        <v>0</v>
      </c>
    </row>
    <row r="447" ht="15.75" customHeight="1">
      <c r="Q447" s="15">
        <f t="shared" si="19"/>
        <v>0</v>
      </c>
      <c r="W447" s="22">
        <f t="shared" si="24"/>
        <v>0</v>
      </c>
      <c r="X447" s="19">
        <f t="shared" si="25"/>
        <v>0</v>
      </c>
    </row>
    <row r="448" ht="15.75" customHeight="1">
      <c r="Q448" s="15">
        <f t="shared" si="19"/>
        <v>0</v>
      </c>
      <c r="W448" s="22">
        <f t="shared" si="24"/>
        <v>0</v>
      </c>
      <c r="X448" s="19">
        <f t="shared" si="25"/>
        <v>0</v>
      </c>
    </row>
    <row r="449" ht="15.75" customHeight="1">
      <c r="Q449" s="15">
        <f t="shared" si="19"/>
        <v>0</v>
      </c>
      <c r="W449" s="22">
        <f t="shared" si="24"/>
        <v>0</v>
      </c>
      <c r="X449" s="19">
        <f t="shared" si="25"/>
        <v>0</v>
      </c>
    </row>
    <row r="450" ht="15.75" customHeight="1">
      <c r="Q450" s="15">
        <f t="shared" si="19"/>
        <v>0</v>
      </c>
      <c r="W450" s="22">
        <f t="shared" si="24"/>
        <v>0</v>
      </c>
      <c r="X450" s="19">
        <f t="shared" si="25"/>
        <v>0</v>
      </c>
    </row>
    <row r="451" ht="15.75" customHeight="1">
      <c r="Q451" s="15">
        <f t="shared" si="19"/>
        <v>0</v>
      </c>
      <c r="W451" s="22">
        <f t="shared" si="24"/>
        <v>0</v>
      </c>
      <c r="X451" s="19">
        <f t="shared" si="25"/>
        <v>0</v>
      </c>
    </row>
    <row r="452" ht="15.75" customHeight="1">
      <c r="Q452" s="15">
        <f t="shared" si="19"/>
        <v>0</v>
      </c>
      <c r="W452" s="22">
        <f t="shared" si="24"/>
        <v>0</v>
      </c>
      <c r="X452" s="19">
        <f t="shared" si="25"/>
        <v>0</v>
      </c>
    </row>
    <row r="453" ht="15.75" customHeight="1">
      <c r="Q453" s="15">
        <f t="shared" si="19"/>
        <v>0</v>
      </c>
      <c r="W453" s="22">
        <f t="shared" si="24"/>
        <v>0</v>
      </c>
      <c r="X453" s="19">
        <f t="shared" si="25"/>
        <v>0</v>
      </c>
    </row>
    <row r="454" ht="15.75" customHeight="1">
      <c r="Q454" s="15">
        <f t="shared" si="19"/>
        <v>0</v>
      </c>
      <c r="W454" s="22">
        <f t="shared" si="24"/>
        <v>0</v>
      </c>
      <c r="X454" s="19">
        <f t="shared" si="25"/>
        <v>0</v>
      </c>
    </row>
    <row r="455" ht="15.75" customHeight="1">
      <c r="Q455" s="15">
        <f t="shared" si="19"/>
        <v>0</v>
      </c>
      <c r="W455" s="22">
        <f t="shared" si="24"/>
        <v>0</v>
      </c>
      <c r="X455" s="19">
        <f t="shared" si="25"/>
        <v>0</v>
      </c>
    </row>
    <row r="456" ht="15.75" customHeight="1">
      <c r="Q456" s="15">
        <f t="shared" si="19"/>
        <v>0</v>
      </c>
      <c r="W456" s="22">
        <f t="shared" si="24"/>
        <v>0</v>
      </c>
      <c r="X456" s="19">
        <f t="shared" si="25"/>
        <v>0</v>
      </c>
    </row>
    <row r="457" ht="15.75" customHeight="1">
      <c r="Q457" s="15">
        <f t="shared" si="19"/>
        <v>0</v>
      </c>
      <c r="W457" s="22">
        <f t="shared" si="24"/>
        <v>0</v>
      </c>
      <c r="X457" s="19">
        <f t="shared" si="25"/>
        <v>0</v>
      </c>
    </row>
    <row r="458" ht="15.75" customHeight="1">
      <c r="Q458" s="15">
        <f t="shared" si="19"/>
        <v>0</v>
      </c>
      <c r="W458" s="22">
        <f t="shared" si="24"/>
        <v>0</v>
      </c>
      <c r="X458" s="19">
        <f t="shared" si="25"/>
        <v>0</v>
      </c>
    </row>
    <row r="459" ht="15.75" customHeight="1">
      <c r="Q459" s="15">
        <f t="shared" si="19"/>
        <v>0</v>
      </c>
      <c r="W459" s="22">
        <f t="shared" si="24"/>
        <v>0</v>
      </c>
      <c r="X459" s="19">
        <f t="shared" si="25"/>
        <v>0</v>
      </c>
    </row>
    <row r="460" ht="15.75" customHeight="1">
      <c r="Q460" s="15">
        <f t="shared" si="19"/>
        <v>0</v>
      </c>
      <c r="W460" s="22">
        <f t="shared" si="24"/>
        <v>0</v>
      </c>
      <c r="X460" s="19">
        <f t="shared" si="25"/>
        <v>0</v>
      </c>
    </row>
    <row r="461" ht="15.75" customHeight="1">
      <c r="Q461" s="15">
        <f t="shared" si="19"/>
        <v>0</v>
      </c>
      <c r="W461" s="22">
        <f t="shared" si="24"/>
        <v>0</v>
      </c>
      <c r="X461" s="19">
        <f t="shared" si="25"/>
        <v>0</v>
      </c>
    </row>
    <row r="462" ht="15.75" customHeight="1">
      <c r="Q462" s="15">
        <f t="shared" si="19"/>
        <v>0</v>
      </c>
      <c r="W462" s="22">
        <f t="shared" si="24"/>
        <v>0</v>
      </c>
      <c r="X462" s="19">
        <f t="shared" si="25"/>
        <v>0</v>
      </c>
    </row>
    <row r="463" ht="15.75" customHeight="1">
      <c r="Q463" s="15">
        <f t="shared" si="19"/>
        <v>0</v>
      </c>
      <c r="W463" s="22">
        <f t="shared" si="24"/>
        <v>0</v>
      </c>
      <c r="X463" s="19">
        <f t="shared" si="25"/>
        <v>0</v>
      </c>
    </row>
    <row r="464" ht="15.75" customHeight="1">
      <c r="Q464" s="15">
        <f t="shared" si="19"/>
        <v>0</v>
      </c>
      <c r="W464" s="22">
        <f t="shared" si="24"/>
        <v>0</v>
      </c>
      <c r="X464" s="19">
        <f t="shared" si="25"/>
        <v>0</v>
      </c>
    </row>
    <row r="465" ht="15.75" customHeight="1">
      <c r="Q465" s="15">
        <f t="shared" si="19"/>
        <v>0</v>
      </c>
      <c r="W465" s="22">
        <f t="shared" si="24"/>
        <v>0</v>
      </c>
      <c r="X465" s="19">
        <f t="shared" si="25"/>
        <v>0</v>
      </c>
    </row>
    <row r="466" ht="15.75" customHeight="1">
      <c r="Q466" s="15">
        <f t="shared" si="19"/>
        <v>0</v>
      </c>
      <c r="W466" s="22">
        <f t="shared" si="24"/>
        <v>0</v>
      </c>
      <c r="X466" s="19">
        <f t="shared" si="25"/>
        <v>0</v>
      </c>
    </row>
    <row r="467" ht="15.75" customHeight="1">
      <c r="Q467" s="15">
        <f t="shared" si="19"/>
        <v>0</v>
      </c>
      <c r="W467" s="22">
        <f t="shared" si="24"/>
        <v>0</v>
      </c>
      <c r="X467" s="19">
        <f t="shared" si="25"/>
        <v>0</v>
      </c>
    </row>
    <row r="468" ht="15.75" customHeight="1">
      <c r="Q468" s="15">
        <f t="shared" si="19"/>
        <v>0</v>
      </c>
      <c r="W468" s="22">
        <f t="shared" si="24"/>
        <v>0</v>
      </c>
      <c r="X468" s="19">
        <f t="shared" si="25"/>
        <v>0</v>
      </c>
    </row>
    <row r="469" ht="15.75" customHeight="1">
      <c r="Q469" s="15">
        <f t="shared" si="19"/>
        <v>0</v>
      </c>
      <c r="W469" s="22">
        <f t="shared" si="24"/>
        <v>0</v>
      </c>
      <c r="X469" s="19">
        <f t="shared" si="25"/>
        <v>0</v>
      </c>
    </row>
    <row r="470" ht="15.75" customHeight="1">
      <c r="Q470" s="15">
        <f t="shared" si="19"/>
        <v>0</v>
      </c>
      <c r="W470" s="22">
        <f t="shared" si="24"/>
        <v>0</v>
      </c>
      <c r="X470" s="19">
        <f t="shared" si="25"/>
        <v>0</v>
      </c>
    </row>
    <row r="471" ht="15.75" customHeight="1">
      <c r="Q471" s="15">
        <f t="shared" si="19"/>
        <v>0</v>
      </c>
      <c r="W471" s="22">
        <f t="shared" si="24"/>
        <v>0</v>
      </c>
      <c r="X471" s="19">
        <f t="shared" si="25"/>
        <v>0</v>
      </c>
    </row>
    <row r="472" ht="15.75" customHeight="1">
      <c r="Q472" s="15">
        <f t="shared" si="19"/>
        <v>0</v>
      </c>
      <c r="W472" s="22">
        <f t="shared" si="24"/>
        <v>0</v>
      </c>
      <c r="X472" s="19">
        <f t="shared" si="25"/>
        <v>0</v>
      </c>
    </row>
    <row r="473" ht="15.75" customHeight="1">
      <c r="Q473" s="15">
        <f t="shared" si="19"/>
        <v>0</v>
      </c>
      <c r="W473" s="22">
        <f t="shared" si="24"/>
        <v>0</v>
      </c>
      <c r="X473" s="19">
        <f t="shared" si="25"/>
        <v>0</v>
      </c>
    </row>
    <row r="474" ht="15.75" customHeight="1">
      <c r="Q474" s="15">
        <f t="shared" si="19"/>
        <v>0</v>
      </c>
      <c r="W474" s="22">
        <f t="shared" si="24"/>
        <v>0</v>
      </c>
      <c r="X474" s="19">
        <f t="shared" si="25"/>
        <v>0</v>
      </c>
    </row>
    <row r="475" ht="15.75" customHeight="1">
      <c r="Q475" s="15">
        <f t="shared" si="19"/>
        <v>0</v>
      </c>
      <c r="W475" s="22">
        <f t="shared" si="24"/>
        <v>0</v>
      </c>
      <c r="X475" s="19">
        <f t="shared" si="25"/>
        <v>0</v>
      </c>
    </row>
    <row r="476" ht="15.75" customHeight="1">
      <c r="Q476" s="15">
        <f t="shared" si="19"/>
        <v>0</v>
      </c>
      <c r="W476" s="22">
        <f t="shared" si="24"/>
        <v>0</v>
      </c>
      <c r="X476" s="19">
        <f t="shared" si="25"/>
        <v>0</v>
      </c>
    </row>
    <row r="477" ht="15.75" customHeight="1">
      <c r="Q477" s="15">
        <f t="shared" si="19"/>
        <v>0</v>
      </c>
      <c r="W477" s="22">
        <f t="shared" si="24"/>
        <v>0</v>
      </c>
      <c r="X477" s="19">
        <f t="shared" si="25"/>
        <v>0</v>
      </c>
    </row>
    <row r="478" ht="15.75" customHeight="1">
      <c r="Q478" s="15">
        <f t="shared" si="19"/>
        <v>0</v>
      </c>
      <c r="W478" s="22">
        <f t="shared" si="24"/>
        <v>0</v>
      </c>
      <c r="X478" s="19">
        <f t="shared" si="25"/>
        <v>0</v>
      </c>
    </row>
    <row r="479" ht="15.75" customHeight="1">
      <c r="Q479" s="15">
        <f t="shared" si="19"/>
        <v>0</v>
      </c>
      <c r="W479" s="22">
        <f t="shared" si="24"/>
        <v>0</v>
      </c>
      <c r="X479" s="19">
        <f t="shared" si="25"/>
        <v>0</v>
      </c>
    </row>
    <row r="480" ht="15.75" customHeight="1">
      <c r="Q480" s="15">
        <f t="shared" si="19"/>
        <v>0</v>
      </c>
      <c r="W480" s="22">
        <f t="shared" si="24"/>
        <v>0</v>
      </c>
      <c r="X480" s="19">
        <f t="shared" si="25"/>
        <v>0</v>
      </c>
    </row>
    <row r="481" ht="15.75" customHeight="1">
      <c r="Q481" s="15">
        <f t="shared" si="19"/>
        <v>0</v>
      </c>
      <c r="W481" s="22">
        <f t="shared" si="24"/>
        <v>0</v>
      </c>
      <c r="X481" s="19">
        <f t="shared" si="25"/>
        <v>0</v>
      </c>
    </row>
    <row r="482" ht="15.75" customHeight="1">
      <c r="Q482" s="15">
        <f t="shared" si="19"/>
        <v>0</v>
      </c>
      <c r="W482" s="22">
        <f t="shared" si="24"/>
        <v>0</v>
      </c>
      <c r="X482" s="19">
        <f t="shared" si="25"/>
        <v>0</v>
      </c>
    </row>
    <row r="483" ht="15.75" customHeight="1">
      <c r="Q483" s="15">
        <f t="shared" si="19"/>
        <v>0</v>
      </c>
      <c r="W483" s="22">
        <f t="shared" si="24"/>
        <v>0</v>
      </c>
      <c r="X483" s="19">
        <f t="shared" si="25"/>
        <v>0</v>
      </c>
    </row>
    <row r="484" ht="15.75" customHeight="1">
      <c r="Q484" s="15">
        <f t="shared" si="19"/>
        <v>0</v>
      </c>
      <c r="W484" s="22">
        <f t="shared" si="24"/>
        <v>0</v>
      </c>
      <c r="X484" s="19">
        <f t="shared" si="25"/>
        <v>0</v>
      </c>
    </row>
    <row r="485" ht="15.75" customHeight="1">
      <c r="Q485" s="15">
        <f t="shared" si="19"/>
        <v>0</v>
      </c>
      <c r="W485" s="22">
        <f t="shared" si="24"/>
        <v>0</v>
      </c>
      <c r="X485" s="19">
        <f t="shared" si="25"/>
        <v>0</v>
      </c>
    </row>
    <row r="486" ht="15.75" customHeight="1">
      <c r="Q486" s="15">
        <f t="shared" si="19"/>
        <v>0</v>
      </c>
      <c r="W486" s="22">
        <f t="shared" si="24"/>
        <v>0</v>
      </c>
      <c r="X486" s="19">
        <f t="shared" si="25"/>
        <v>0</v>
      </c>
    </row>
    <row r="487" ht="15.75" customHeight="1">
      <c r="Q487" s="15">
        <f t="shared" si="19"/>
        <v>0</v>
      </c>
      <c r="W487" s="22">
        <f t="shared" si="24"/>
        <v>0</v>
      </c>
      <c r="X487" s="19">
        <f t="shared" si="25"/>
        <v>0</v>
      </c>
    </row>
    <row r="488" ht="15.75" customHeight="1">
      <c r="Q488" s="15">
        <f t="shared" si="19"/>
        <v>0</v>
      </c>
      <c r="W488" s="22">
        <f t="shared" si="24"/>
        <v>0</v>
      </c>
      <c r="X488" s="19">
        <f t="shared" si="25"/>
        <v>0</v>
      </c>
    </row>
    <row r="489" ht="15.75" customHeight="1">
      <c r="Q489" s="15">
        <f t="shared" si="19"/>
        <v>0</v>
      </c>
      <c r="W489" s="22">
        <f t="shared" si="24"/>
        <v>0</v>
      </c>
      <c r="X489" s="19">
        <f t="shared" si="25"/>
        <v>0</v>
      </c>
    </row>
    <row r="490" ht="15.75" customHeight="1">
      <c r="Q490" s="15">
        <f t="shared" si="19"/>
        <v>0</v>
      </c>
      <c r="W490" s="22">
        <f t="shared" si="24"/>
        <v>0</v>
      </c>
      <c r="X490" s="19">
        <f t="shared" si="25"/>
        <v>0</v>
      </c>
    </row>
    <row r="491" ht="15.75" customHeight="1">
      <c r="Q491" s="15">
        <f t="shared" si="19"/>
        <v>0</v>
      </c>
      <c r="W491" s="22">
        <f t="shared" si="24"/>
        <v>0</v>
      </c>
      <c r="X491" s="19">
        <f t="shared" si="25"/>
        <v>0</v>
      </c>
    </row>
    <row r="492" ht="15.75" customHeight="1">
      <c r="Q492" s="15">
        <f t="shared" si="19"/>
        <v>0</v>
      </c>
      <c r="W492" s="22">
        <f t="shared" si="24"/>
        <v>0</v>
      </c>
      <c r="X492" s="19">
        <f t="shared" si="25"/>
        <v>0</v>
      </c>
    </row>
    <row r="493" ht="15.75" customHeight="1">
      <c r="Q493" s="15">
        <f t="shared" si="19"/>
        <v>0</v>
      </c>
      <c r="W493" s="22">
        <f t="shared" si="24"/>
        <v>0</v>
      </c>
      <c r="X493" s="19">
        <f t="shared" si="25"/>
        <v>0</v>
      </c>
    </row>
    <row r="494" ht="15.75" customHeight="1">
      <c r="Q494" s="15">
        <f t="shared" si="19"/>
        <v>0</v>
      </c>
      <c r="W494" s="22">
        <f t="shared" si="24"/>
        <v>0</v>
      </c>
      <c r="X494" s="19">
        <f t="shared" si="25"/>
        <v>0</v>
      </c>
    </row>
    <row r="495" ht="15.75" customHeight="1">
      <c r="Q495" s="15">
        <f t="shared" si="19"/>
        <v>0</v>
      </c>
      <c r="W495" s="22">
        <f t="shared" si="24"/>
        <v>0</v>
      </c>
      <c r="X495" s="19">
        <f t="shared" si="25"/>
        <v>0</v>
      </c>
    </row>
    <row r="496" ht="15.75" customHeight="1">
      <c r="Q496" s="15">
        <f t="shared" si="19"/>
        <v>0</v>
      </c>
      <c r="W496" s="22">
        <f t="shared" si="24"/>
        <v>0</v>
      </c>
      <c r="X496" s="19">
        <f t="shared" si="25"/>
        <v>0</v>
      </c>
    </row>
    <row r="497" ht="15.75" customHeight="1">
      <c r="Q497" s="15">
        <f t="shared" si="19"/>
        <v>0</v>
      </c>
      <c r="W497" s="22">
        <f t="shared" si="24"/>
        <v>0</v>
      </c>
      <c r="X497" s="19">
        <f t="shared" si="25"/>
        <v>0</v>
      </c>
    </row>
    <row r="498" ht="15.75" customHeight="1">
      <c r="Q498" s="15">
        <f t="shared" si="19"/>
        <v>0</v>
      </c>
      <c r="W498" s="22">
        <f t="shared" si="24"/>
        <v>0</v>
      </c>
      <c r="X498" s="19">
        <f t="shared" si="25"/>
        <v>0</v>
      </c>
    </row>
    <row r="499" ht="15.75" customHeight="1">
      <c r="Q499" s="15">
        <f t="shared" si="19"/>
        <v>0</v>
      </c>
      <c r="W499" s="22">
        <f t="shared" si="24"/>
        <v>0</v>
      </c>
      <c r="X499" s="19">
        <f t="shared" si="25"/>
        <v>0</v>
      </c>
    </row>
    <row r="500" ht="15.75" customHeight="1">
      <c r="Q500" s="15">
        <f t="shared" si="19"/>
        <v>0</v>
      </c>
      <c r="W500" s="22">
        <f t="shared" si="24"/>
        <v>0</v>
      </c>
      <c r="X500" s="19">
        <f t="shared" si="25"/>
        <v>0</v>
      </c>
    </row>
    <row r="501" ht="15.75" customHeight="1">
      <c r="Q501" s="15">
        <f t="shared" si="19"/>
        <v>0</v>
      </c>
      <c r="W501" s="22">
        <f t="shared" si="24"/>
        <v>0</v>
      </c>
      <c r="X501" s="19">
        <f t="shared" si="25"/>
        <v>0</v>
      </c>
    </row>
    <row r="502" ht="15.75" customHeight="1">
      <c r="Q502" s="15">
        <f t="shared" si="19"/>
        <v>0</v>
      </c>
      <c r="W502" s="22">
        <f t="shared" si="24"/>
        <v>0</v>
      </c>
      <c r="X502" s="19">
        <f t="shared" si="25"/>
        <v>0</v>
      </c>
    </row>
    <row r="503" ht="15.75" customHeight="1">
      <c r="Q503" s="15">
        <f t="shared" si="19"/>
        <v>0</v>
      </c>
      <c r="W503" s="22">
        <f t="shared" si="24"/>
        <v>0</v>
      </c>
      <c r="X503" s="19">
        <f t="shared" si="25"/>
        <v>0</v>
      </c>
    </row>
    <row r="504" ht="15.75" customHeight="1">
      <c r="Q504" s="15">
        <f t="shared" si="19"/>
        <v>0</v>
      </c>
      <c r="W504" s="22">
        <f t="shared" si="24"/>
        <v>0</v>
      </c>
      <c r="X504" s="19">
        <f t="shared" si="25"/>
        <v>0</v>
      </c>
    </row>
    <row r="505" ht="15.75" customHeight="1">
      <c r="Q505" s="15">
        <f t="shared" si="19"/>
        <v>0</v>
      </c>
      <c r="W505" s="22">
        <f t="shared" si="24"/>
        <v>0</v>
      </c>
      <c r="X505" s="19">
        <f t="shared" si="25"/>
        <v>0</v>
      </c>
    </row>
    <row r="506" ht="15.75" customHeight="1">
      <c r="Q506" s="15">
        <f t="shared" si="19"/>
        <v>0</v>
      </c>
      <c r="W506" s="22">
        <f t="shared" si="24"/>
        <v>0</v>
      </c>
      <c r="X506" s="19">
        <f t="shared" si="25"/>
        <v>0</v>
      </c>
    </row>
    <row r="507" ht="15.75" customHeight="1">
      <c r="Q507" s="15">
        <f t="shared" si="19"/>
        <v>0</v>
      </c>
      <c r="W507" s="22">
        <f t="shared" si="24"/>
        <v>0</v>
      </c>
      <c r="X507" s="19">
        <f t="shared" si="25"/>
        <v>0</v>
      </c>
    </row>
    <row r="508" ht="15.75" customHeight="1">
      <c r="Q508" s="15">
        <f t="shared" si="19"/>
        <v>0</v>
      </c>
      <c r="W508" s="22">
        <f t="shared" si="24"/>
        <v>0</v>
      </c>
      <c r="X508" s="19">
        <f t="shared" si="25"/>
        <v>0</v>
      </c>
    </row>
    <row r="509" ht="15.75" customHeight="1">
      <c r="Q509" s="15">
        <f t="shared" si="19"/>
        <v>0</v>
      </c>
      <c r="W509" s="22">
        <f t="shared" si="24"/>
        <v>0</v>
      </c>
      <c r="X509" s="19">
        <f t="shared" si="25"/>
        <v>0</v>
      </c>
    </row>
    <row r="510" ht="15.75" customHeight="1">
      <c r="Q510" s="15">
        <f t="shared" si="19"/>
        <v>0</v>
      </c>
      <c r="W510" s="22">
        <f t="shared" si="24"/>
        <v>0</v>
      </c>
      <c r="X510" s="19">
        <f t="shared" si="25"/>
        <v>0</v>
      </c>
    </row>
    <row r="511" ht="15.75" customHeight="1">
      <c r="Q511" s="15">
        <f t="shared" si="19"/>
        <v>0</v>
      </c>
      <c r="W511" s="22">
        <f t="shared" si="24"/>
        <v>0</v>
      </c>
      <c r="X511" s="19">
        <f t="shared" si="25"/>
        <v>0</v>
      </c>
    </row>
    <row r="512" ht="15.75" customHeight="1">
      <c r="Q512" s="15">
        <f t="shared" si="19"/>
        <v>0</v>
      </c>
      <c r="W512" s="22">
        <f t="shared" si="24"/>
        <v>0</v>
      </c>
      <c r="X512" s="19">
        <f t="shared" si="25"/>
        <v>0</v>
      </c>
    </row>
    <row r="513" ht="15.75" customHeight="1">
      <c r="Q513" s="15">
        <f t="shared" si="19"/>
        <v>0</v>
      </c>
      <c r="W513" s="22">
        <f t="shared" si="24"/>
        <v>0</v>
      </c>
      <c r="X513" s="19">
        <f t="shared" si="25"/>
        <v>0</v>
      </c>
    </row>
    <row r="514" ht="15.75" customHeight="1">
      <c r="Q514" s="15">
        <f t="shared" si="19"/>
        <v>0</v>
      </c>
      <c r="W514" s="22">
        <f t="shared" si="24"/>
        <v>0</v>
      </c>
      <c r="X514" s="19">
        <f t="shared" si="25"/>
        <v>0</v>
      </c>
    </row>
    <row r="515" ht="15.75" customHeight="1">
      <c r="Q515" s="15">
        <f t="shared" si="19"/>
        <v>0</v>
      </c>
      <c r="W515" s="22">
        <f t="shared" si="24"/>
        <v>0</v>
      </c>
      <c r="X515" s="19">
        <f t="shared" si="25"/>
        <v>0</v>
      </c>
    </row>
    <row r="516" ht="15.75" customHeight="1">
      <c r="Q516" s="15">
        <f t="shared" si="19"/>
        <v>0</v>
      </c>
      <c r="W516" s="22">
        <f t="shared" si="24"/>
        <v>0</v>
      </c>
      <c r="X516" s="19">
        <f t="shared" si="25"/>
        <v>0</v>
      </c>
    </row>
    <row r="517" ht="15.75" customHeight="1">
      <c r="Q517" s="15">
        <f t="shared" si="19"/>
        <v>0</v>
      </c>
      <c r="W517" s="22">
        <f t="shared" si="24"/>
        <v>0</v>
      </c>
      <c r="X517" s="19">
        <f t="shared" si="25"/>
        <v>0</v>
      </c>
    </row>
    <row r="518" ht="15.75" customHeight="1">
      <c r="Q518" s="15">
        <f t="shared" si="19"/>
        <v>0</v>
      </c>
      <c r="W518" s="22">
        <f t="shared" si="24"/>
        <v>0</v>
      </c>
      <c r="X518" s="19">
        <f t="shared" si="25"/>
        <v>0</v>
      </c>
    </row>
    <row r="519" ht="15.75" customHeight="1">
      <c r="Q519" s="15">
        <f t="shared" si="19"/>
        <v>0</v>
      </c>
      <c r="W519" s="22">
        <f t="shared" si="24"/>
        <v>0</v>
      </c>
      <c r="X519" s="19">
        <f t="shared" si="25"/>
        <v>0</v>
      </c>
    </row>
    <row r="520" ht="15.75" customHeight="1">
      <c r="Q520" s="15">
        <f t="shared" si="19"/>
        <v>0</v>
      </c>
      <c r="W520" s="22">
        <f t="shared" si="24"/>
        <v>0</v>
      </c>
      <c r="X520" s="19">
        <f t="shared" si="25"/>
        <v>0</v>
      </c>
    </row>
    <row r="521" ht="15.75" customHeight="1">
      <c r="Q521" s="15">
        <f t="shared" si="19"/>
        <v>0</v>
      </c>
      <c r="W521" s="22">
        <f t="shared" si="24"/>
        <v>0</v>
      </c>
      <c r="X521" s="19">
        <f t="shared" si="25"/>
        <v>0</v>
      </c>
    </row>
    <row r="522" ht="15.75" customHeight="1">
      <c r="Q522" s="15">
        <f t="shared" si="19"/>
        <v>0</v>
      </c>
      <c r="W522" s="22">
        <f t="shared" si="24"/>
        <v>0</v>
      </c>
      <c r="X522" s="19">
        <f t="shared" si="25"/>
        <v>0</v>
      </c>
    </row>
    <row r="523" ht="15.75" customHeight="1">
      <c r="Q523" s="15">
        <f t="shared" si="19"/>
        <v>0</v>
      </c>
      <c r="W523" s="22">
        <f t="shared" si="24"/>
        <v>0</v>
      </c>
      <c r="X523" s="19">
        <f t="shared" si="25"/>
        <v>0</v>
      </c>
    </row>
    <row r="524" ht="15.75" customHeight="1">
      <c r="Q524" s="15">
        <f t="shared" si="19"/>
        <v>0</v>
      </c>
      <c r="W524" s="22">
        <f t="shared" si="24"/>
        <v>0</v>
      </c>
      <c r="X524" s="19">
        <f t="shared" si="25"/>
        <v>0</v>
      </c>
    </row>
    <row r="525" ht="15.75" customHeight="1">
      <c r="Q525" s="15">
        <f t="shared" si="19"/>
        <v>0</v>
      </c>
      <c r="W525" s="22">
        <f t="shared" si="24"/>
        <v>0</v>
      </c>
      <c r="X525" s="19">
        <f t="shared" si="25"/>
        <v>0</v>
      </c>
    </row>
    <row r="526" ht="15.75" customHeight="1">
      <c r="Q526" s="15">
        <f t="shared" si="19"/>
        <v>0</v>
      </c>
      <c r="W526" s="22">
        <f t="shared" si="24"/>
        <v>0</v>
      </c>
      <c r="X526" s="19">
        <f t="shared" si="25"/>
        <v>0</v>
      </c>
    </row>
    <row r="527" ht="15.75" customHeight="1">
      <c r="Q527" s="15">
        <f t="shared" si="19"/>
        <v>0</v>
      </c>
      <c r="W527" s="22">
        <f t="shared" si="24"/>
        <v>0</v>
      </c>
      <c r="X527" s="19">
        <f t="shared" si="25"/>
        <v>0</v>
      </c>
    </row>
    <row r="528" ht="15.75" customHeight="1">
      <c r="Q528" s="15">
        <f t="shared" si="19"/>
        <v>0</v>
      </c>
      <c r="W528" s="22">
        <f t="shared" si="24"/>
        <v>0</v>
      </c>
      <c r="X528" s="19">
        <f t="shared" si="25"/>
        <v>0</v>
      </c>
    </row>
    <row r="529" ht="15.75" customHeight="1">
      <c r="Q529" s="15">
        <f t="shared" si="19"/>
        <v>0</v>
      </c>
      <c r="W529" s="22">
        <f t="shared" si="24"/>
        <v>0</v>
      </c>
      <c r="X529" s="19">
        <f t="shared" si="25"/>
        <v>0</v>
      </c>
    </row>
    <row r="530" ht="15.75" customHeight="1">
      <c r="Q530" s="15">
        <f t="shared" si="19"/>
        <v>0</v>
      </c>
      <c r="W530" s="22">
        <f t="shared" si="24"/>
        <v>0</v>
      </c>
      <c r="X530" s="19">
        <f t="shared" si="25"/>
        <v>0</v>
      </c>
    </row>
    <row r="531" ht="15.75" customHeight="1">
      <c r="Q531" s="15">
        <f t="shared" si="19"/>
        <v>0</v>
      </c>
      <c r="W531" s="22">
        <f t="shared" si="24"/>
        <v>0</v>
      </c>
      <c r="X531" s="19">
        <f t="shared" si="25"/>
        <v>0</v>
      </c>
    </row>
    <row r="532" ht="15.75" customHeight="1">
      <c r="Q532" s="15">
        <f t="shared" si="19"/>
        <v>0</v>
      </c>
      <c r="W532" s="22">
        <f t="shared" si="24"/>
        <v>0</v>
      </c>
      <c r="X532" s="19">
        <f t="shared" si="25"/>
        <v>0</v>
      </c>
    </row>
    <row r="533" ht="15.75" customHeight="1">
      <c r="Q533" s="15">
        <f t="shared" si="19"/>
        <v>0</v>
      </c>
      <c r="W533" s="22">
        <f t="shared" si="24"/>
        <v>0</v>
      </c>
      <c r="X533" s="19">
        <f t="shared" si="25"/>
        <v>0</v>
      </c>
    </row>
    <row r="534" ht="15.75" customHeight="1">
      <c r="Q534" s="15">
        <f t="shared" si="19"/>
        <v>0</v>
      </c>
      <c r="W534" s="22">
        <f t="shared" si="24"/>
        <v>0</v>
      </c>
      <c r="X534" s="19">
        <f t="shared" si="25"/>
        <v>0</v>
      </c>
    </row>
    <row r="535" ht="15.75" customHeight="1">
      <c r="Q535" s="15">
        <f t="shared" si="19"/>
        <v>0</v>
      </c>
      <c r="W535" s="22">
        <f t="shared" si="24"/>
        <v>0</v>
      </c>
      <c r="X535" s="19">
        <f t="shared" si="25"/>
        <v>0</v>
      </c>
    </row>
    <row r="536" ht="15.75" customHeight="1">
      <c r="Q536" s="15">
        <f t="shared" si="19"/>
        <v>0</v>
      </c>
      <c r="W536" s="22">
        <f t="shared" si="24"/>
        <v>0</v>
      </c>
      <c r="X536" s="19">
        <f t="shared" si="25"/>
        <v>0</v>
      </c>
    </row>
    <row r="537" ht="15.75" customHeight="1">
      <c r="Q537" s="15">
        <f t="shared" si="19"/>
        <v>0</v>
      </c>
      <c r="W537" s="22">
        <f t="shared" si="24"/>
        <v>0</v>
      </c>
      <c r="X537" s="19">
        <f t="shared" si="25"/>
        <v>0</v>
      </c>
    </row>
    <row r="538" ht="15.75" customHeight="1">
      <c r="Q538" s="15">
        <f t="shared" si="19"/>
        <v>0</v>
      </c>
      <c r="W538" s="22">
        <f t="shared" si="24"/>
        <v>0</v>
      </c>
      <c r="X538" s="19">
        <f t="shared" si="25"/>
        <v>0</v>
      </c>
    </row>
    <row r="539" ht="15.75" customHeight="1">
      <c r="Q539" s="15">
        <f t="shared" si="19"/>
        <v>0</v>
      </c>
      <c r="W539" s="22">
        <f t="shared" si="24"/>
        <v>0</v>
      </c>
      <c r="X539" s="19">
        <f t="shared" si="25"/>
        <v>0</v>
      </c>
    </row>
    <row r="540" ht="15.75" customHeight="1">
      <c r="Q540" s="15">
        <f t="shared" si="19"/>
        <v>0</v>
      </c>
      <c r="W540" s="22">
        <f t="shared" si="24"/>
        <v>0</v>
      </c>
      <c r="X540" s="19">
        <f t="shared" si="25"/>
        <v>0</v>
      </c>
    </row>
    <row r="541" ht="15.75" customHeight="1">
      <c r="Q541" s="15">
        <f t="shared" si="19"/>
        <v>0</v>
      </c>
      <c r="W541" s="22">
        <f t="shared" si="24"/>
        <v>0</v>
      </c>
      <c r="X541" s="19">
        <f t="shared" si="25"/>
        <v>0</v>
      </c>
    </row>
    <row r="542" ht="15.75" customHeight="1">
      <c r="Q542" s="15">
        <f t="shared" si="19"/>
        <v>0</v>
      </c>
      <c r="W542" s="22">
        <f t="shared" si="24"/>
        <v>0</v>
      </c>
      <c r="X542" s="19">
        <f t="shared" si="25"/>
        <v>0</v>
      </c>
    </row>
    <row r="543" ht="15.75" customHeight="1">
      <c r="Q543" s="15">
        <f t="shared" si="19"/>
        <v>0</v>
      </c>
      <c r="W543" s="22">
        <f t="shared" si="24"/>
        <v>0</v>
      </c>
      <c r="X543" s="19">
        <f t="shared" si="25"/>
        <v>0</v>
      </c>
    </row>
    <row r="544" ht="15.75" customHeight="1">
      <c r="Q544" s="15">
        <f t="shared" si="19"/>
        <v>0</v>
      </c>
      <c r="W544" s="22">
        <f t="shared" si="24"/>
        <v>0</v>
      </c>
      <c r="X544" s="19">
        <f t="shared" si="25"/>
        <v>0</v>
      </c>
    </row>
    <row r="545" ht="15.75" customHeight="1">
      <c r="Q545" s="15">
        <f t="shared" si="19"/>
        <v>0</v>
      </c>
      <c r="W545" s="22">
        <f t="shared" si="24"/>
        <v>0</v>
      </c>
      <c r="X545" s="19">
        <f t="shared" si="25"/>
        <v>0</v>
      </c>
    </row>
    <row r="546" ht="15.75" customHeight="1">
      <c r="Q546" s="15">
        <f t="shared" si="19"/>
        <v>0</v>
      </c>
      <c r="W546" s="22">
        <f t="shared" si="24"/>
        <v>0</v>
      </c>
      <c r="X546" s="19">
        <f t="shared" si="25"/>
        <v>0</v>
      </c>
    </row>
    <row r="547" ht="15.75" customHeight="1">
      <c r="Q547" s="15">
        <f t="shared" si="19"/>
        <v>0</v>
      </c>
      <c r="W547" s="22">
        <f t="shared" si="24"/>
        <v>0</v>
      </c>
      <c r="X547" s="19">
        <f t="shared" si="25"/>
        <v>0</v>
      </c>
    </row>
    <row r="548" ht="15.75" customHeight="1">
      <c r="Q548" s="15">
        <f t="shared" si="19"/>
        <v>0</v>
      </c>
      <c r="W548" s="22">
        <f t="shared" si="24"/>
        <v>0</v>
      </c>
      <c r="X548" s="19">
        <f t="shared" si="25"/>
        <v>0</v>
      </c>
    </row>
    <row r="549" ht="15.75" customHeight="1">
      <c r="Q549" s="15">
        <f t="shared" si="19"/>
        <v>0</v>
      </c>
      <c r="W549" s="22">
        <f t="shared" si="24"/>
        <v>0</v>
      </c>
      <c r="X549" s="19">
        <f t="shared" si="25"/>
        <v>0</v>
      </c>
    </row>
    <row r="550" ht="15.75" customHeight="1">
      <c r="Q550" s="15">
        <f t="shared" si="19"/>
        <v>0</v>
      </c>
      <c r="W550" s="22">
        <f t="shared" si="24"/>
        <v>0</v>
      </c>
      <c r="X550" s="19">
        <f t="shared" si="25"/>
        <v>0</v>
      </c>
    </row>
    <row r="551" ht="15.75" customHeight="1">
      <c r="Q551" s="15">
        <f t="shared" si="19"/>
        <v>0</v>
      </c>
      <c r="W551" s="22">
        <f t="shared" si="24"/>
        <v>0</v>
      </c>
      <c r="X551" s="19">
        <f t="shared" si="25"/>
        <v>0</v>
      </c>
    </row>
    <row r="552" ht="15.75" customHeight="1">
      <c r="Q552" s="15">
        <f t="shared" si="19"/>
        <v>0</v>
      </c>
      <c r="W552" s="22">
        <f t="shared" si="24"/>
        <v>0</v>
      </c>
      <c r="X552" s="19">
        <f t="shared" si="25"/>
        <v>0</v>
      </c>
    </row>
    <row r="553" ht="15.75" customHeight="1">
      <c r="Q553" s="15">
        <f t="shared" si="19"/>
        <v>0</v>
      </c>
      <c r="W553" s="22">
        <f t="shared" si="24"/>
        <v>0</v>
      </c>
      <c r="X553" s="19">
        <f t="shared" si="25"/>
        <v>0</v>
      </c>
    </row>
    <row r="554" ht="15.75" customHeight="1">
      <c r="Q554" s="15">
        <f t="shared" si="19"/>
        <v>0</v>
      </c>
      <c r="W554" s="22">
        <f t="shared" si="24"/>
        <v>0</v>
      </c>
      <c r="X554" s="19">
        <f t="shared" si="25"/>
        <v>0</v>
      </c>
    </row>
    <row r="555" ht="15.75" customHeight="1">
      <c r="Q555" s="15">
        <f t="shared" si="19"/>
        <v>0</v>
      </c>
      <c r="W555" s="22">
        <f t="shared" si="24"/>
        <v>0</v>
      </c>
      <c r="X555" s="19">
        <f t="shared" si="25"/>
        <v>0</v>
      </c>
    </row>
    <row r="556" ht="15.75" customHeight="1">
      <c r="Q556" s="15">
        <f t="shared" si="19"/>
        <v>0</v>
      </c>
      <c r="W556" s="22">
        <f t="shared" si="24"/>
        <v>0</v>
      </c>
      <c r="X556" s="19">
        <f t="shared" si="25"/>
        <v>0</v>
      </c>
    </row>
    <row r="557" ht="15.75" customHeight="1">
      <c r="Q557" s="15">
        <f t="shared" si="19"/>
        <v>0</v>
      </c>
      <c r="W557" s="22">
        <f t="shared" si="24"/>
        <v>0</v>
      </c>
      <c r="X557" s="19">
        <f t="shared" si="25"/>
        <v>0</v>
      </c>
    </row>
    <row r="558" ht="15.75" customHeight="1">
      <c r="Q558" s="15">
        <f t="shared" si="19"/>
        <v>0</v>
      </c>
      <c r="W558" s="22">
        <f t="shared" si="24"/>
        <v>0</v>
      </c>
      <c r="X558" s="19">
        <f t="shared" si="25"/>
        <v>0</v>
      </c>
    </row>
    <row r="559" ht="15.75" customHeight="1">
      <c r="Q559" s="15">
        <f t="shared" si="19"/>
        <v>0</v>
      </c>
      <c r="W559" s="22">
        <f t="shared" si="24"/>
        <v>0</v>
      </c>
      <c r="X559" s="19">
        <f t="shared" si="25"/>
        <v>0</v>
      </c>
    </row>
    <row r="560" ht="15.75" customHeight="1">
      <c r="Q560" s="15">
        <f t="shared" si="19"/>
        <v>0</v>
      </c>
      <c r="W560" s="22">
        <f t="shared" si="24"/>
        <v>0</v>
      </c>
      <c r="X560" s="19">
        <f t="shared" si="25"/>
        <v>0</v>
      </c>
    </row>
    <row r="561" ht="15.75" customHeight="1">
      <c r="Q561" s="15">
        <f t="shared" si="19"/>
        <v>0</v>
      </c>
      <c r="W561" s="22">
        <f t="shared" si="24"/>
        <v>0</v>
      </c>
      <c r="X561" s="19">
        <f t="shared" si="25"/>
        <v>0</v>
      </c>
    </row>
    <row r="562" ht="15.75" customHeight="1">
      <c r="Q562" s="15">
        <f t="shared" si="19"/>
        <v>0</v>
      </c>
      <c r="W562" s="22">
        <f t="shared" si="24"/>
        <v>0</v>
      </c>
      <c r="X562" s="19">
        <f t="shared" si="25"/>
        <v>0</v>
      </c>
    </row>
    <row r="563" ht="15.75" customHeight="1">
      <c r="Q563" s="15">
        <f t="shared" si="19"/>
        <v>0</v>
      </c>
      <c r="W563" s="22">
        <f t="shared" si="24"/>
        <v>0</v>
      </c>
      <c r="X563" s="19">
        <f t="shared" si="25"/>
        <v>0</v>
      </c>
    </row>
    <row r="564" ht="15.75" customHeight="1">
      <c r="Q564" s="15">
        <f t="shared" si="19"/>
        <v>0</v>
      </c>
      <c r="W564" s="22">
        <f t="shared" si="24"/>
        <v>0</v>
      </c>
      <c r="X564" s="19">
        <f t="shared" si="25"/>
        <v>0</v>
      </c>
    </row>
    <row r="565" ht="15.75" customHeight="1">
      <c r="Q565" s="15">
        <f t="shared" si="19"/>
        <v>0</v>
      </c>
      <c r="W565" s="22">
        <f t="shared" si="24"/>
        <v>0</v>
      </c>
      <c r="X565" s="19">
        <f t="shared" si="25"/>
        <v>0</v>
      </c>
    </row>
    <row r="566" ht="15.75" customHeight="1">
      <c r="Q566" s="15">
        <f t="shared" si="19"/>
        <v>0</v>
      </c>
      <c r="W566" s="22">
        <f t="shared" si="24"/>
        <v>0</v>
      </c>
      <c r="X566" s="19">
        <f t="shared" si="25"/>
        <v>0</v>
      </c>
    </row>
    <row r="567" ht="15.75" customHeight="1">
      <c r="Q567" s="15">
        <f t="shared" si="19"/>
        <v>0</v>
      </c>
      <c r="W567" s="22">
        <f t="shared" si="24"/>
        <v>0</v>
      </c>
      <c r="X567" s="19">
        <f t="shared" si="25"/>
        <v>0</v>
      </c>
    </row>
    <row r="568" ht="15.75" customHeight="1">
      <c r="Q568" s="15">
        <f t="shared" si="19"/>
        <v>0</v>
      </c>
      <c r="W568" s="22">
        <f t="shared" si="24"/>
        <v>0</v>
      </c>
      <c r="X568" s="19">
        <f t="shared" si="25"/>
        <v>0</v>
      </c>
    </row>
    <row r="569" ht="15.75" customHeight="1">
      <c r="Q569" s="15">
        <f t="shared" si="19"/>
        <v>0</v>
      </c>
      <c r="W569" s="22">
        <f t="shared" si="24"/>
        <v>0</v>
      </c>
      <c r="X569" s="19">
        <f t="shared" si="25"/>
        <v>0</v>
      </c>
    </row>
    <row r="570" ht="15.75" customHeight="1">
      <c r="Q570" s="15">
        <f t="shared" si="19"/>
        <v>0</v>
      </c>
      <c r="W570" s="22">
        <f t="shared" si="24"/>
        <v>0</v>
      </c>
      <c r="X570" s="19">
        <f t="shared" si="25"/>
        <v>0</v>
      </c>
    </row>
    <row r="571" ht="15.75" customHeight="1">
      <c r="Q571" s="15">
        <f t="shared" si="19"/>
        <v>0</v>
      </c>
      <c r="W571" s="22">
        <f t="shared" si="24"/>
        <v>0</v>
      </c>
      <c r="X571" s="19">
        <f t="shared" si="25"/>
        <v>0</v>
      </c>
    </row>
    <row r="572" ht="15.75" customHeight="1">
      <c r="Q572" s="15">
        <f t="shared" si="19"/>
        <v>0</v>
      </c>
      <c r="W572" s="22">
        <f t="shared" si="24"/>
        <v>0</v>
      </c>
      <c r="X572" s="19">
        <f t="shared" si="25"/>
        <v>0</v>
      </c>
    </row>
    <row r="573" ht="15.75" customHeight="1">
      <c r="Q573" s="15">
        <f t="shared" si="19"/>
        <v>0</v>
      </c>
      <c r="W573" s="22">
        <f t="shared" si="24"/>
        <v>0</v>
      </c>
      <c r="X573" s="19">
        <f t="shared" si="25"/>
        <v>0</v>
      </c>
    </row>
    <row r="574" ht="15.75" customHeight="1">
      <c r="Q574" s="15">
        <f t="shared" si="19"/>
        <v>0</v>
      </c>
      <c r="W574" s="22">
        <f t="shared" si="24"/>
        <v>0</v>
      </c>
      <c r="X574" s="19">
        <f t="shared" si="25"/>
        <v>0</v>
      </c>
    </row>
    <row r="575" ht="15.75" customHeight="1">
      <c r="Q575" s="15">
        <f t="shared" si="19"/>
        <v>0</v>
      </c>
      <c r="W575" s="22">
        <f t="shared" si="24"/>
        <v>0</v>
      </c>
      <c r="X575" s="19">
        <f t="shared" si="25"/>
        <v>0</v>
      </c>
    </row>
    <row r="576" ht="15.75" customHeight="1">
      <c r="Q576" s="15">
        <f t="shared" si="19"/>
        <v>0</v>
      </c>
      <c r="W576" s="22">
        <f t="shared" si="24"/>
        <v>0</v>
      </c>
      <c r="X576" s="19">
        <f t="shared" si="25"/>
        <v>0</v>
      </c>
    </row>
    <row r="577" ht="15.75" customHeight="1">
      <c r="Q577" s="15">
        <f t="shared" si="19"/>
        <v>0</v>
      </c>
      <c r="W577" s="22">
        <f t="shared" si="24"/>
        <v>0</v>
      </c>
      <c r="X577" s="19">
        <f t="shared" si="25"/>
        <v>0</v>
      </c>
    </row>
    <row r="578" ht="15.75" customHeight="1">
      <c r="Q578" s="15">
        <f t="shared" si="19"/>
        <v>0</v>
      </c>
      <c r="W578" s="22">
        <f t="shared" si="24"/>
        <v>0</v>
      </c>
      <c r="X578" s="19">
        <f t="shared" si="25"/>
        <v>0</v>
      </c>
    </row>
    <row r="579" ht="15.75" customHeight="1">
      <c r="Q579" s="15">
        <f t="shared" si="19"/>
        <v>0</v>
      </c>
      <c r="W579" s="22">
        <f t="shared" si="24"/>
        <v>0</v>
      </c>
      <c r="X579" s="19">
        <f t="shared" si="25"/>
        <v>0</v>
      </c>
    </row>
    <row r="580" ht="15.75" customHeight="1">
      <c r="Q580" s="15">
        <f t="shared" si="19"/>
        <v>0</v>
      </c>
      <c r="W580" s="22">
        <f t="shared" si="24"/>
        <v>0</v>
      </c>
      <c r="X580" s="19">
        <f t="shared" si="25"/>
        <v>0</v>
      </c>
    </row>
    <row r="581" ht="15.75" customHeight="1">
      <c r="Q581" s="15">
        <f t="shared" si="19"/>
        <v>0</v>
      </c>
      <c r="W581" s="22">
        <f t="shared" si="24"/>
        <v>0</v>
      </c>
      <c r="X581" s="19">
        <f t="shared" si="25"/>
        <v>0</v>
      </c>
    </row>
    <row r="582" ht="15.75" customHeight="1">
      <c r="Q582" s="15">
        <f t="shared" si="19"/>
        <v>0</v>
      </c>
      <c r="W582" s="22">
        <f t="shared" si="24"/>
        <v>0</v>
      </c>
      <c r="X582" s="19">
        <f t="shared" si="25"/>
        <v>0</v>
      </c>
    </row>
    <row r="583" ht="15.75" customHeight="1">
      <c r="Q583" s="15">
        <f t="shared" si="19"/>
        <v>0</v>
      </c>
      <c r="W583" s="22">
        <f t="shared" si="24"/>
        <v>0</v>
      </c>
      <c r="X583" s="19">
        <f t="shared" si="25"/>
        <v>0</v>
      </c>
    </row>
    <row r="584" ht="15.75" customHeight="1">
      <c r="Q584" s="15">
        <f t="shared" si="19"/>
        <v>0</v>
      </c>
      <c r="W584" s="22">
        <f t="shared" si="24"/>
        <v>0</v>
      </c>
      <c r="X584" s="19">
        <f t="shared" si="25"/>
        <v>0</v>
      </c>
    </row>
    <row r="585" ht="15.75" customHeight="1">
      <c r="Q585" s="15">
        <f t="shared" si="19"/>
        <v>0</v>
      </c>
      <c r="W585" s="22">
        <f t="shared" si="24"/>
        <v>0</v>
      </c>
      <c r="X585" s="19">
        <f t="shared" si="25"/>
        <v>0</v>
      </c>
    </row>
    <row r="586" ht="15.75" customHeight="1">
      <c r="Q586" s="15">
        <f t="shared" si="19"/>
        <v>0</v>
      </c>
      <c r="W586" s="22">
        <f t="shared" si="24"/>
        <v>0</v>
      </c>
      <c r="X586" s="19">
        <f t="shared" si="25"/>
        <v>0</v>
      </c>
    </row>
    <row r="587" ht="15.75" customHeight="1">
      <c r="Q587" s="15">
        <f t="shared" si="19"/>
        <v>0</v>
      </c>
      <c r="W587" s="22">
        <f t="shared" si="24"/>
        <v>0</v>
      </c>
      <c r="X587" s="19">
        <f t="shared" si="25"/>
        <v>0</v>
      </c>
    </row>
    <row r="588" ht="15.75" customHeight="1">
      <c r="Q588" s="15">
        <f t="shared" si="19"/>
        <v>0</v>
      </c>
      <c r="W588" s="22">
        <f t="shared" si="24"/>
        <v>0</v>
      </c>
      <c r="X588" s="19">
        <f t="shared" si="25"/>
        <v>0</v>
      </c>
    </row>
    <row r="589" ht="15.75" customHeight="1">
      <c r="Q589" s="15">
        <f t="shared" si="19"/>
        <v>0</v>
      </c>
      <c r="W589" s="22">
        <f t="shared" si="24"/>
        <v>0</v>
      </c>
      <c r="X589" s="19">
        <f t="shared" si="25"/>
        <v>0</v>
      </c>
    </row>
    <row r="590" ht="15.75" customHeight="1">
      <c r="Q590" s="15">
        <f t="shared" si="19"/>
        <v>0</v>
      </c>
      <c r="W590" s="22">
        <f t="shared" si="24"/>
        <v>0</v>
      </c>
      <c r="X590" s="19">
        <f t="shared" si="25"/>
        <v>0</v>
      </c>
    </row>
    <row r="591" ht="15.75" customHeight="1">
      <c r="Q591" s="15">
        <f t="shared" si="19"/>
        <v>0</v>
      </c>
      <c r="W591" s="22">
        <f t="shared" si="24"/>
        <v>0</v>
      </c>
      <c r="X591" s="19">
        <f t="shared" si="25"/>
        <v>0</v>
      </c>
    </row>
    <row r="592" ht="15.75" customHeight="1">
      <c r="Q592" s="15">
        <f t="shared" si="19"/>
        <v>0</v>
      </c>
      <c r="W592" s="22">
        <f t="shared" si="24"/>
        <v>0</v>
      </c>
      <c r="X592" s="19">
        <f t="shared" si="25"/>
        <v>0</v>
      </c>
    </row>
    <row r="593" ht="15.75" customHeight="1">
      <c r="Q593" s="15">
        <f t="shared" si="19"/>
        <v>0</v>
      </c>
      <c r="W593" s="22">
        <f t="shared" si="24"/>
        <v>0</v>
      </c>
      <c r="X593" s="19">
        <f t="shared" si="25"/>
        <v>0</v>
      </c>
    </row>
    <row r="594" ht="15.75" customHeight="1">
      <c r="Q594" s="15">
        <f t="shared" si="19"/>
        <v>0</v>
      </c>
      <c r="W594" s="22">
        <f t="shared" si="24"/>
        <v>0</v>
      </c>
      <c r="X594" s="19">
        <f t="shared" si="25"/>
        <v>0</v>
      </c>
    </row>
    <row r="595" ht="15.75" customHeight="1">
      <c r="Q595" s="15">
        <f t="shared" si="19"/>
        <v>0</v>
      </c>
      <c r="W595" s="22">
        <f t="shared" si="24"/>
        <v>0</v>
      </c>
      <c r="X595" s="19">
        <f t="shared" si="25"/>
        <v>0</v>
      </c>
    </row>
    <row r="596" ht="15.75" customHeight="1">
      <c r="Q596" s="15">
        <f t="shared" si="19"/>
        <v>0</v>
      </c>
      <c r="W596" s="22">
        <f t="shared" si="24"/>
        <v>0</v>
      </c>
      <c r="X596" s="19">
        <f t="shared" si="25"/>
        <v>0</v>
      </c>
    </row>
    <row r="597" ht="15.75" customHeight="1">
      <c r="Q597" s="15">
        <f t="shared" si="19"/>
        <v>0</v>
      </c>
      <c r="W597" s="22">
        <f t="shared" si="24"/>
        <v>0</v>
      </c>
      <c r="X597" s="19">
        <f t="shared" si="25"/>
        <v>0</v>
      </c>
    </row>
    <row r="598" ht="15.75" customHeight="1">
      <c r="Q598" s="15">
        <f t="shared" si="19"/>
        <v>0</v>
      </c>
      <c r="W598" s="22">
        <f t="shared" si="24"/>
        <v>0</v>
      </c>
      <c r="X598" s="19">
        <f t="shared" si="25"/>
        <v>0</v>
      </c>
    </row>
    <row r="599" ht="15.75" customHeight="1">
      <c r="Q599" s="15">
        <f t="shared" si="19"/>
        <v>0</v>
      </c>
      <c r="W599" s="22">
        <f t="shared" si="24"/>
        <v>0</v>
      </c>
      <c r="X599" s="19">
        <f t="shared" si="25"/>
        <v>0</v>
      </c>
    </row>
    <row r="600" ht="15.75" customHeight="1">
      <c r="Q600" s="15">
        <f t="shared" si="19"/>
        <v>0</v>
      </c>
      <c r="W600" s="22">
        <f t="shared" si="24"/>
        <v>0</v>
      </c>
      <c r="X600" s="19">
        <f t="shared" si="25"/>
        <v>0</v>
      </c>
    </row>
    <row r="601" ht="15.75" customHeight="1">
      <c r="Q601" s="15">
        <f t="shared" si="19"/>
        <v>0</v>
      </c>
      <c r="W601" s="22">
        <f t="shared" si="24"/>
        <v>0</v>
      </c>
      <c r="X601" s="19">
        <f t="shared" si="25"/>
        <v>0</v>
      </c>
    </row>
    <row r="602" ht="15.75" customHeight="1">
      <c r="Q602" s="15">
        <f t="shared" si="19"/>
        <v>0</v>
      </c>
      <c r="W602" s="22">
        <f t="shared" si="24"/>
        <v>0</v>
      </c>
      <c r="X602" s="19">
        <f t="shared" si="25"/>
        <v>0</v>
      </c>
    </row>
    <row r="603" ht="15.75" customHeight="1">
      <c r="Q603" s="15">
        <f t="shared" si="19"/>
        <v>0</v>
      </c>
      <c r="W603" s="22">
        <f t="shared" si="24"/>
        <v>0</v>
      </c>
      <c r="X603" s="19">
        <f t="shared" si="25"/>
        <v>0</v>
      </c>
    </row>
    <row r="604" ht="15.75" customHeight="1">
      <c r="Q604" s="15">
        <f t="shared" si="19"/>
        <v>0</v>
      </c>
      <c r="W604" s="22">
        <f t="shared" si="24"/>
        <v>0</v>
      </c>
      <c r="X604" s="19">
        <f t="shared" si="25"/>
        <v>0</v>
      </c>
    </row>
    <row r="605" ht="15.75" customHeight="1">
      <c r="Q605" s="15">
        <f t="shared" si="19"/>
        <v>0</v>
      </c>
      <c r="W605" s="22">
        <f t="shared" si="24"/>
        <v>0</v>
      </c>
      <c r="X605" s="19">
        <f t="shared" si="25"/>
        <v>0</v>
      </c>
    </row>
    <row r="606" ht="15.75" customHeight="1">
      <c r="Q606" s="15">
        <f t="shared" si="19"/>
        <v>0</v>
      </c>
      <c r="W606" s="22">
        <f t="shared" si="24"/>
        <v>0</v>
      </c>
      <c r="X606" s="19">
        <f t="shared" si="25"/>
        <v>0</v>
      </c>
    </row>
    <row r="607" ht="15.75" customHeight="1">
      <c r="Q607" s="15">
        <f t="shared" si="19"/>
        <v>0</v>
      </c>
      <c r="W607" s="22">
        <f t="shared" si="24"/>
        <v>0</v>
      </c>
      <c r="X607" s="19">
        <f t="shared" si="25"/>
        <v>0</v>
      </c>
    </row>
    <row r="608" ht="15.75" customHeight="1">
      <c r="Q608" s="15">
        <f t="shared" si="19"/>
        <v>0</v>
      </c>
      <c r="W608" s="22">
        <f t="shared" si="24"/>
        <v>0</v>
      </c>
      <c r="X608" s="19">
        <f t="shared" si="25"/>
        <v>0</v>
      </c>
    </row>
    <row r="609" ht="15.75" customHeight="1">
      <c r="Q609" s="15">
        <f t="shared" si="19"/>
        <v>0</v>
      </c>
      <c r="W609" s="22">
        <f t="shared" si="24"/>
        <v>0</v>
      </c>
      <c r="X609" s="19">
        <f t="shared" si="25"/>
        <v>0</v>
      </c>
    </row>
    <row r="610" ht="15.75" customHeight="1">
      <c r="Q610" s="15">
        <f t="shared" si="19"/>
        <v>0</v>
      </c>
      <c r="W610" s="22">
        <f t="shared" si="24"/>
        <v>0</v>
      </c>
      <c r="X610" s="19">
        <f t="shared" si="25"/>
        <v>0</v>
      </c>
    </row>
    <row r="611" ht="15.75" customHeight="1">
      <c r="Q611" s="15">
        <f t="shared" si="19"/>
        <v>0</v>
      </c>
      <c r="W611" s="22">
        <f t="shared" si="24"/>
        <v>0</v>
      </c>
      <c r="X611" s="19">
        <f t="shared" si="25"/>
        <v>0</v>
      </c>
    </row>
    <row r="612" ht="15.75" customHeight="1">
      <c r="Q612" s="15">
        <f t="shared" si="19"/>
        <v>0</v>
      </c>
      <c r="W612" s="22">
        <f t="shared" si="24"/>
        <v>0</v>
      </c>
      <c r="X612" s="19">
        <f t="shared" si="25"/>
        <v>0</v>
      </c>
    </row>
    <row r="613" ht="15.75" customHeight="1">
      <c r="Q613" s="15">
        <f t="shared" si="19"/>
        <v>0</v>
      </c>
      <c r="W613" s="22">
        <f t="shared" si="24"/>
        <v>0</v>
      </c>
      <c r="X613" s="19">
        <f t="shared" si="25"/>
        <v>0</v>
      </c>
    </row>
    <row r="614" ht="15.75" customHeight="1">
      <c r="Q614" s="15">
        <f t="shared" si="19"/>
        <v>0</v>
      </c>
      <c r="W614" s="22">
        <f t="shared" si="24"/>
        <v>0</v>
      </c>
      <c r="X614" s="19">
        <f t="shared" si="25"/>
        <v>0</v>
      </c>
    </row>
    <row r="615" ht="15.75" customHeight="1">
      <c r="Q615" s="15">
        <f t="shared" si="19"/>
        <v>0</v>
      </c>
      <c r="W615" s="22">
        <f t="shared" si="24"/>
        <v>0</v>
      </c>
      <c r="X615" s="19">
        <f t="shared" si="25"/>
        <v>0</v>
      </c>
    </row>
    <row r="616" ht="15.75" customHeight="1">
      <c r="Q616" s="15">
        <f t="shared" si="19"/>
        <v>0</v>
      </c>
      <c r="W616" s="22">
        <f t="shared" si="24"/>
        <v>0</v>
      </c>
      <c r="X616" s="19">
        <f t="shared" si="25"/>
        <v>0</v>
      </c>
    </row>
    <row r="617" ht="15.75" customHeight="1">
      <c r="Q617" s="15">
        <f t="shared" si="19"/>
        <v>0</v>
      </c>
      <c r="W617" s="22">
        <f t="shared" si="24"/>
        <v>0</v>
      </c>
      <c r="X617" s="19">
        <f t="shared" si="25"/>
        <v>0</v>
      </c>
    </row>
    <row r="618" ht="15.75" customHeight="1">
      <c r="Q618" s="15">
        <f t="shared" si="19"/>
        <v>0</v>
      </c>
      <c r="W618" s="22">
        <f t="shared" si="24"/>
        <v>0</v>
      </c>
      <c r="X618" s="19">
        <f t="shared" si="25"/>
        <v>0</v>
      </c>
    </row>
    <row r="619" ht="15.75" customHeight="1">
      <c r="Q619" s="15">
        <f t="shared" si="19"/>
        <v>0</v>
      </c>
      <c r="W619" s="22">
        <f t="shared" si="24"/>
        <v>0</v>
      </c>
      <c r="X619" s="19">
        <f t="shared" si="25"/>
        <v>0</v>
      </c>
    </row>
    <row r="620" ht="15.75" customHeight="1">
      <c r="Q620" s="15">
        <f t="shared" si="19"/>
        <v>0</v>
      </c>
      <c r="W620" s="22">
        <f t="shared" si="24"/>
        <v>0</v>
      </c>
      <c r="X620" s="19">
        <f t="shared" si="25"/>
        <v>0</v>
      </c>
    </row>
    <row r="621" ht="15.75" customHeight="1">
      <c r="Q621" s="15">
        <f t="shared" si="19"/>
        <v>0</v>
      </c>
      <c r="W621" s="22">
        <f t="shared" si="24"/>
        <v>0</v>
      </c>
      <c r="X621" s="19">
        <f t="shared" si="25"/>
        <v>0</v>
      </c>
    </row>
    <row r="622" ht="15.75" customHeight="1">
      <c r="Q622" s="15">
        <f t="shared" si="19"/>
        <v>0</v>
      </c>
      <c r="W622" s="22">
        <f t="shared" si="24"/>
        <v>0</v>
      </c>
      <c r="X622" s="19">
        <f t="shared" si="25"/>
        <v>0</v>
      </c>
    </row>
    <row r="623" ht="15.75" customHeight="1">
      <c r="Q623" s="15">
        <f t="shared" si="19"/>
        <v>0</v>
      </c>
      <c r="W623" s="22">
        <f t="shared" si="24"/>
        <v>0</v>
      </c>
      <c r="X623" s="19">
        <f t="shared" si="25"/>
        <v>0</v>
      </c>
    </row>
    <row r="624" ht="15.75" customHeight="1">
      <c r="Q624" s="15">
        <f t="shared" si="19"/>
        <v>0</v>
      </c>
      <c r="W624" s="22">
        <f t="shared" si="24"/>
        <v>0</v>
      </c>
      <c r="X624" s="19">
        <f t="shared" si="25"/>
        <v>0</v>
      </c>
    </row>
    <row r="625" ht="15.75" customHeight="1">
      <c r="Q625" s="15">
        <f t="shared" si="19"/>
        <v>0</v>
      </c>
      <c r="W625" s="22">
        <f t="shared" si="24"/>
        <v>0</v>
      </c>
      <c r="X625" s="19">
        <f t="shared" si="25"/>
        <v>0</v>
      </c>
    </row>
    <row r="626" ht="15.75" customHeight="1">
      <c r="Q626" s="15">
        <f t="shared" si="19"/>
        <v>0</v>
      </c>
      <c r="W626" s="22">
        <f t="shared" si="24"/>
        <v>0</v>
      </c>
      <c r="X626" s="19">
        <f t="shared" si="25"/>
        <v>0</v>
      </c>
    </row>
    <row r="627" ht="15.75" customHeight="1">
      <c r="Q627" s="15">
        <f t="shared" si="19"/>
        <v>0</v>
      </c>
      <c r="W627" s="22">
        <f t="shared" si="24"/>
        <v>0</v>
      </c>
      <c r="X627" s="19">
        <f t="shared" si="25"/>
        <v>0</v>
      </c>
    </row>
    <row r="628" ht="15.75" customHeight="1">
      <c r="Q628" s="15">
        <f t="shared" si="19"/>
        <v>0</v>
      </c>
      <c r="W628" s="22">
        <f t="shared" si="24"/>
        <v>0</v>
      </c>
      <c r="X628" s="19">
        <f t="shared" si="25"/>
        <v>0</v>
      </c>
    </row>
    <row r="629" ht="15.75" customHeight="1">
      <c r="Q629" s="15">
        <f t="shared" si="19"/>
        <v>0</v>
      </c>
      <c r="W629" s="22">
        <f t="shared" si="24"/>
        <v>0</v>
      </c>
      <c r="X629" s="19">
        <f t="shared" si="25"/>
        <v>0</v>
      </c>
    </row>
    <row r="630" ht="15.75" customHeight="1">
      <c r="Q630" s="15">
        <f t="shared" si="19"/>
        <v>0</v>
      </c>
      <c r="W630" s="22">
        <f t="shared" si="24"/>
        <v>0</v>
      </c>
      <c r="X630" s="19">
        <f t="shared" si="25"/>
        <v>0</v>
      </c>
    </row>
    <row r="631" ht="15.75" customHeight="1">
      <c r="Q631" s="15">
        <f t="shared" si="19"/>
        <v>0</v>
      </c>
      <c r="W631" s="22">
        <f t="shared" si="24"/>
        <v>0</v>
      </c>
      <c r="X631" s="19">
        <f t="shared" si="25"/>
        <v>0</v>
      </c>
    </row>
    <row r="632" ht="15.75" customHeight="1">
      <c r="Q632" s="15">
        <f t="shared" si="19"/>
        <v>0</v>
      </c>
      <c r="W632" s="22">
        <f t="shared" si="24"/>
        <v>0</v>
      </c>
      <c r="X632" s="19">
        <f t="shared" si="25"/>
        <v>0</v>
      </c>
    </row>
    <row r="633" ht="15.75" customHeight="1">
      <c r="Q633" s="15">
        <f t="shared" si="19"/>
        <v>0</v>
      </c>
      <c r="W633" s="22">
        <f t="shared" si="24"/>
        <v>0</v>
      </c>
      <c r="X633" s="19">
        <f t="shared" si="25"/>
        <v>0</v>
      </c>
    </row>
    <row r="634" ht="15.75" customHeight="1">
      <c r="Q634" s="15">
        <f t="shared" si="19"/>
        <v>0</v>
      </c>
      <c r="W634" s="22">
        <f t="shared" si="24"/>
        <v>0</v>
      </c>
      <c r="X634" s="19">
        <f t="shared" si="25"/>
        <v>0</v>
      </c>
    </row>
    <row r="635" ht="15.75" customHeight="1">
      <c r="Q635" s="15">
        <f t="shared" si="19"/>
        <v>0</v>
      </c>
      <c r="W635" s="22">
        <f t="shared" si="24"/>
        <v>0</v>
      </c>
      <c r="X635" s="19">
        <f t="shared" si="25"/>
        <v>0</v>
      </c>
    </row>
    <row r="636" ht="15.75" customHeight="1">
      <c r="Q636" s="15">
        <f t="shared" si="19"/>
        <v>0</v>
      </c>
      <c r="W636" s="22">
        <f t="shared" si="24"/>
        <v>0</v>
      </c>
      <c r="X636" s="19">
        <f t="shared" si="25"/>
        <v>0</v>
      </c>
    </row>
    <row r="637" ht="15.75" customHeight="1">
      <c r="Q637" s="15">
        <f t="shared" si="19"/>
        <v>0</v>
      </c>
      <c r="W637" s="22">
        <f t="shared" si="24"/>
        <v>0</v>
      </c>
      <c r="X637" s="19">
        <f t="shared" si="25"/>
        <v>0</v>
      </c>
    </row>
    <row r="638" ht="15.75" customHeight="1">
      <c r="Q638" s="15">
        <f t="shared" si="19"/>
        <v>0</v>
      </c>
      <c r="W638" s="22">
        <f t="shared" si="24"/>
        <v>0</v>
      </c>
      <c r="X638" s="19">
        <f t="shared" si="25"/>
        <v>0</v>
      </c>
    </row>
    <row r="639" ht="15.75" customHeight="1">
      <c r="Q639" s="15">
        <f t="shared" si="19"/>
        <v>0</v>
      </c>
      <c r="W639" s="22">
        <f t="shared" si="24"/>
        <v>0</v>
      </c>
      <c r="X639" s="19">
        <f t="shared" si="25"/>
        <v>0</v>
      </c>
    </row>
    <row r="640" ht="15.75" customHeight="1">
      <c r="Q640" s="15">
        <f t="shared" si="19"/>
        <v>0</v>
      </c>
      <c r="W640" s="22">
        <f t="shared" si="24"/>
        <v>0</v>
      </c>
      <c r="X640" s="19">
        <f t="shared" si="25"/>
        <v>0</v>
      </c>
    </row>
    <row r="641" ht="15.75" customHeight="1">
      <c r="Q641" s="15">
        <f t="shared" si="19"/>
        <v>0</v>
      </c>
      <c r="W641" s="22">
        <f t="shared" si="24"/>
        <v>0</v>
      </c>
      <c r="X641" s="19">
        <f t="shared" si="25"/>
        <v>0</v>
      </c>
    </row>
    <row r="642" ht="15.75" customHeight="1">
      <c r="Q642" s="15">
        <f t="shared" si="19"/>
        <v>0</v>
      </c>
      <c r="W642" s="22">
        <f t="shared" si="24"/>
        <v>0</v>
      </c>
      <c r="X642" s="19">
        <f t="shared" si="25"/>
        <v>0</v>
      </c>
    </row>
    <row r="643" ht="15.75" customHeight="1">
      <c r="Q643" s="15">
        <f t="shared" si="19"/>
        <v>0</v>
      </c>
      <c r="W643" s="22">
        <f t="shared" si="24"/>
        <v>0</v>
      </c>
      <c r="X643" s="19">
        <f t="shared" si="25"/>
        <v>0</v>
      </c>
    </row>
    <row r="644" ht="15.75" customHeight="1">
      <c r="Q644" s="15">
        <f t="shared" si="19"/>
        <v>0</v>
      </c>
      <c r="W644" s="22">
        <f t="shared" si="24"/>
        <v>0</v>
      </c>
      <c r="X644" s="19">
        <f t="shared" si="25"/>
        <v>0</v>
      </c>
    </row>
    <row r="645" ht="15.75" customHeight="1">
      <c r="Q645" s="15">
        <f t="shared" si="19"/>
        <v>0</v>
      </c>
      <c r="W645" s="22">
        <f t="shared" si="24"/>
        <v>0</v>
      </c>
      <c r="X645" s="19">
        <f t="shared" si="25"/>
        <v>0</v>
      </c>
    </row>
    <row r="646" ht="15.75" customHeight="1">
      <c r="Q646" s="15">
        <f t="shared" si="19"/>
        <v>0</v>
      </c>
      <c r="W646" s="22">
        <f t="shared" si="24"/>
        <v>0</v>
      </c>
      <c r="X646" s="19">
        <f t="shared" si="25"/>
        <v>0</v>
      </c>
    </row>
    <row r="647" ht="15.75" customHeight="1">
      <c r="Q647" s="15">
        <f t="shared" si="19"/>
        <v>0</v>
      </c>
      <c r="W647" s="22">
        <f t="shared" si="24"/>
        <v>0</v>
      </c>
      <c r="X647" s="19">
        <f t="shared" si="25"/>
        <v>0</v>
      </c>
    </row>
    <row r="648" ht="15.75" customHeight="1">
      <c r="Q648" s="15">
        <f t="shared" si="19"/>
        <v>0</v>
      </c>
      <c r="W648" s="22">
        <f t="shared" si="24"/>
        <v>0</v>
      </c>
      <c r="X648" s="19">
        <f t="shared" si="25"/>
        <v>0</v>
      </c>
    </row>
    <row r="649" ht="15.75" customHeight="1">
      <c r="Q649" s="15">
        <f t="shared" si="19"/>
        <v>0</v>
      </c>
      <c r="W649" s="22">
        <f t="shared" si="24"/>
        <v>0</v>
      </c>
      <c r="X649" s="19">
        <f t="shared" si="25"/>
        <v>0</v>
      </c>
    </row>
    <row r="650" ht="15.75" customHeight="1">
      <c r="Q650" s="15">
        <f t="shared" si="19"/>
        <v>0</v>
      </c>
      <c r="W650" s="22">
        <f t="shared" si="24"/>
        <v>0</v>
      </c>
      <c r="X650" s="19">
        <f t="shared" si="25"/>
        <v>0</v>
      </c>
    </row>
    <row r="651" ht="15.75" customHeight="1">
      <c r="Q651" s="15">
        <f t="shared" si="19"/>
        <v>0</v>
      </c>
      <c r="W651" s="22">
        <f t="shared" si="24"/>
        <v>0</v>
      </c>
      <c r="X651" s="19">
        <f t="shared" si="25"/>
        <v>0</v>
      </c>
    </row>
    <row r="652" ht="15.75" customHeight="1">
      <c r="Q652" s="15">
        <f t="shared" si="19"/>
        <v>0</v>
      </c>
      <c r="W652" s="22">
        <f t="shared" si="24"/>
        <v>0</v>
      </c>
      <c r="X652" s="19">
        <f t="shared" si="25"/>
        <v>0</v>
      </c>
    </row>
    <row r="653" ht="15.75" customHeight="1">
      <c r="Q653" s="15">
        <f t="shared" si="19"/>
        <v>0</v>
      </c>
      <c r="W653" s="22">
        <f t="shared" si="24"/>
        <v>0</v>
      </c>
      <c r="X653" s="19">
        <f t="shared" si="25"/>
        <v>0</v>
      </c>
    </row>
    <row r="654" ht="15.75" customHeight="1">
      <c r="Q654" s="15">
        <f t="shared" si="19"/>
        <v>0</v>
      </c>
      <c r="W654" s="22">
        <f t="shared" si="24"/>
        <v>0</v>
      </c>
      <c r="X654" s="19">
        <f t="shared" si="25"/>
        <v>0</v>
      </c>
    </row>
    <row r="655" ht="15.75" customHeight="1">
      <c r="Q655" s="15">
        <f t="shared" si="19"/>
        <v>0</v>
      </c>
      <c r="W655" s="22">
        <f t="shared" si="24"/>
        <v>0</v>
      </c>
      <c r="X655" s="19">
        <f t="shared" si="25"/>
        <v>0</v>
      </c>
    </row>
    <row r="656" ht="15.75" customHeight="1">
      <c r="Q656" s="15">
        <f t="shared" si="19"/>
        <v>0</v>
      </c>
      <c r="W656" s="22">
        <f t="shared" si="24"/>
        <v>0</v>
      </c>
      <c r="X656" s="19">
        <f t="shared" si="25"/>
        <v>0</v>
      </c>
    </row>
    <row r="657" ht="15.75" customHeight="1">
      <c r="Q657" s="15">
        <f t="shared" si="19"/>
        <v>0</v>
      </c>
      <c r="W657" s="22">
        <f t="shared" si="24"/>
        <v>0</v>
      </c>
      <c r="X657" s="19">
        <f t="shared" si="25"/>
        <v>0</v>
      </c>
    </row>
    <row r="658" ht="15.75" customHeight="1">
      <c r="Q658" s="15">
        <f t="shared" si="19"/>
        <v>0</v>
      </c>
      <c r="W658" s="22">
        <f t="shared" si="24"/>
        <v>0</v>
      </c>
      <c r="X658" s="19">
        <f t="shared" si="25"/>
        <v>0</v>
      </c>
    </row>
    <row r="659" ht="15.75" customHeight="1">
      <c r="Q659" s="15">
        <f t="shared" si="19"/>
        <v>0</v>
      </c>
      <c r="W659" s="22">
        <f t="shared" si="24"/>
        <v>0</v>
      </c>
      <c r="X659" s="19">
        <f t="shared" si="25"/>
        <v>0</v>
      </c>
    </row>
    <row r="660" ht="15.75" customHeight="1">
      <c r="Q660" s="15">
        <f t="shared" si="19"/>
        <v>0</v>
      </c>
      <c r="W660" s="22">
        <f t="shared" si="24"/>
        <v>0</v>
      </c>
      <c r="X660" s="19">
        <f t="shared" si="25"/>
        <v>0</v>
      </c>
    </row>
    <row r="661" ht="15.75" customHeight="1">
      <c r="Q661" s="15">
        <f t="shared" si="19"/>
        <v>0</v>
      </c>
      <c r="W661" s="22">
        <f t="shared" si="24"/>
        <v>0</v>
      </c>
      <c r="X661" s="19">
        <f t="shared" si="25"/>
        <v>0</v>
      </c>
    </row>
    <row r="662" ht="15.75" customHeight="1">
      <c r="Q662" s="15">
        <f t="shared" si="19"/>
        <v>0</v>
      </c>
      <c r="W662" s="22">
        <f t="shared" si="24"/>
        <v>0</v>
      </c>
      <c r="X662" s="19">
        <f t="shared" si="25"/>
        <v>0</v>
      </c>
    </row>
    <row r="663" ht="15.75" customHeight="1">
      <c r="Q663" s="15">
        <f t="shared" si="19"/>
        <v>0</v>
      </c>
      <c r="W663" s="22">
        <f t="shared" si="24"/>
        <v>0</v>
      </c>
      <c r="X663" s="19">
        <f t="shared" si="25"/>
        <v>0</v>
      </c>
    </row>
    <row r="664" ht="15.75" customHeight="1">
      <c r="Q664" s="15">
        <f t="shared" si="19"/>
        <v>0</v>
      </c>
      <c r="W664" s="22">
        <f t="shared" si="24"/>
        <v>0</v>
      </c>
      <c r="X664" s="19">
        <f t="shared" si="25"/>
        <v>0</v>
      </c>
    </row>
    <row r="665" ht="15.75" customHeight="1">
      <c r="Q665" s="15">
        <f t="shared" si="19"/>
        <v>0</v>
      </c>
      <c r="W665" s="22">
        <f t="shared" si="24"/>
        <v>0</v>
      </c>
      <c r="X665" s="19">
        <f t="shared" si="25"/>
        <v>0</v>
      </c>
    </row>
    <row r="666" ht="15.75" customHeight="1">
      <c r="Q666" s="15">
        <f t="shared" si="19"/>
        <v>0</v>
      </c>
      <c r="W666" s="22">
        <f t="shared" si="24"/>
        <v>0</v>
      </c>
      <c r="X666" s="19">
        <f t="shared" si="25"/>
        <v>0</v>
      </c>
    </row>
    <row r="667" ht="15.75" customHeight="1">
      <c r="Q667" s="15">
        <f t="shared" si="19"/>
        <v>0</v>
      </c>
      <c r="W667" s="22">
        <f t="shared" si="24"/>
        <v>0</v>
      </c>
      <c r="X667" s="19">
        <f t="shared" si="25"/>
        <v>0</v>
      </c>
    </row>
    <row r="668" ht="15.75" customHeight="1">
      <c r="Q668" s="15">
        <f t="shared" si="19"/>
        <v>0</v>
      </c>
      <c r="W668" s="22">
        <f t="shared" si="24"/>
        <v>0</v>
      </c>
      <c r="X668" s="19">
        <f t="shared" si="25"/>
        <v>0</v>
      </c>
    </row>
    <row r="669" ht="15.75" customHeight="1">
      <c r="Q669" s="15">
        <f t="shared" si="19"/>
        <v>0</v>
      </c>
      <c r="W669" s="22">
        <f t="shared" si="24"/>
        <v>0</v>
      </c>
      <c r="X669" s="19">
        <f t="shared" si="25"/>
        <v>0</v>
      </c>
    </row>
    <row r="670" ht="15.75" customHeight="1">
      <c r="Q670" s="15">
        <f t="shared" si="19"/>
        <v>0</v>
      </c>
      <c r="W670" s="22">
        <f t="shared" si="24"/>
        <v>0</v>
      </c>
      <c r="X670" s="19">
        <f t="shared" si="25"/>
        <v>0</v>
      </c>
    </row>
    <row r="671" ht="15.75" customHeight="1">
      <c r="Q671" s="15">
        <f t="shared" si="19"/>
        <v>0</v>
      </c>
      <c r="W671" s="22">
        <f t="shared" si="24"/>
        <v>0</v>
      </c>
      <c r="X671" s="19">
        <f t="shared" si="25"/>
        <v>0</v>
      </c>
    </row>
    <row r="672" ht="15.75" customHeight="1">
      <c r="Q672" s="15">
        <f t="shared" si="19"/>
        <v>0</v>
      </c>
      <c r="W672" s="22">
        <f t="shared" si="24"/>
        <v>0</v>
      </c>
      <c r="X672" s="19">
        <f t="shared" si="25"/>
        <v>0</v>
      </c>
    </row>
    <row r="673" ht="15.75" customHeight="1">
      <c r="Q673" s="15">
        <f t="shared" si="19"/>
        <v>0</v>
      </c>
      <c r="W673" s="22">
        <f t="shared" si="24"/>
        <v>0</v>
      </c>
      <c r="X673" s="19">
        <f t="shared" si="25"/>
        <v>0</v>
      </c>
    </row>
    <row r="674" ht="15.75" customHeight="1">
      <c r="Q674" s="15">
        <f t="shared" si="19"/>
        <v>0</v>
      </c>
      <c r="W674" s="22">
        <f t="shared" si="24"/>
        <v>0</v>
      </c>
      <c r="X674" s="19">
        <f t="shared" si="25"/>
        <v>0</v>
      </c>
    </row>
    <row r="675" ht="15.75" customHeight="1">
      <c r="Q675" s="15">
        <f t="shared" si="19"/>
        <v>0</v>
      </c>
      <c r="W675" s="22">
        <f t="shared" si="24"/>
        <v>0</v>
      </c>
      <c r="X675" s="19">
        <f t="shared" si="25"/>
        <v>0</v>
      </c>
    </row>
    <row r="676" ht="15.75" customHeight="1">
      <c r="Q676" s="15">
        <f t="shared" si="19"/>
        <v>0</v>
      </c>
      <c r="W676" s="22">
        <f t="shared" si="24"/>
        <v>0</v>
      </c>
      <c r="X676" s="19">
        <f t="shared" si="25"/>
        <v>0</v>
      </c>
    </row>
    <row r="677" ht="15.75" customHeight="1">
      <c r="Q677" s="15">
        <f t="shared" si="19"/>
        <v>0</v>
      </c>
      <c r="W677" s="22">
        <f t="shared" si="24"/>
        <v>0</v>
      </c>
      <c r="X677" s="19">
        <f t="shared" si="25"/>
        <v>0</v>
      </c>
    </row>
    <row r="678" ht="15.75" customHeight="1">
      <c r="Q678" s="15">
        <f t="shared" si="19"/>
        <v>0</v>
      </c>
      <c r="W678" s="22">
        <f t="shared" si="24"/>
        <v>0</v>
      </c>
      <c r="X678" s="19">
        <f t="shared" si="25"/>
        <v>0</v>
      </c>
    </row>
    <row r="679" ht="15.75" customHeight="1">
      <c r="Q679" s="15">
        <f t="shared" si="19"/>
        <v>0</v>
      </c>
      <c r="W679" s="22">
        <f t="shared" si="24"/>
        <v>0</v>
      </c>
      <c r="X679" s="19">
        <f t="shared" si="25"/>
        <v>0</v>
      </c>
    </row>
    <row r="680" ht="15.75" customHeight="1">
      <c r="Q680" s="15">
        <f t="shared" si="19"/>
        <v>0</v>
      </c>
      <c r="W680" s="22">
        <f t="shared" si="24"/>
        <v>0</v>
      </c>
      <c r="X680" s="19">
        <f t="shared" si="25"/>
        <v>0</v>
      </c>
    </row>
    <row r="681" ht="15.75" customHeight="1">
      <c r="Q681" s="15">
        <f t="shared" si="19"/>
        <v>0</v>
      </c>
      <c r="W681" s="22">
        <f t="shared" si="24"/>
        <v>0</v>
      </c>
      <c r="X681" s="19">
        <f t="shared" si="25"/>
        <v>0</v>
      </c>
    </row>
    <row r="682" ht="15.75" customHeight="1">
      <c r="Q682" s="15">
        <f t="shared" si="19"/>
        <v>0</v>
      </c>
      <c r="W682" s="22">
        <f t="shared" si="24"/>
        <v>0</v>
      </c>
      <c r="X682" s="19">
        <f t="shared" si="25"/>
        <v>0</v>
      </c>
    </row>
    <row r="683" ht="15.75" customHeight="1">
      <c r="Q683" s="15">
        <f t="shared" si="19"/>
        <v>0</v>
      </c>
      <c r="W683" s="22">
        <f t="shared" si="24"/>
        <v>0</v>
      </c>
      <c r="X683" s="19">
        <f t="shared" si="25"/>
        <v>0</v>
      </c>
    </row>
    <row r="684" ht="15.75" customHeight="1">
      <c r="Q684" s="15">
        <f t="shared" si="19"/>
        <v>0</v>
      </c>
      <c r="W684" s="22">
        <f t="shared" si="24"/>
        <v>0</v>
      </c>
      <c r="X684" s="19">
        <f t="shared" si="25"/>
        <v>0</v>
      </c>
    </row>
    <row r="685" ht="15.75" customHeight="1">
      <c r="Q685" s="15">
        <f t="shared" si="19"/>
        <v>0</v>
      </c>
      <c r="W685" s="22">
        <f t="shared" si="24"/>
        <v>0</v>
      </c>
      <c r="X685" s="19">
        <f t="shared" si="25"/>
        <v>0</v>
      </c>
    </row>
    <row r="686" ht="15.75" customHeight="1">
      <c r="Q686" s="15">
        <f t="shared" si="19"/>
        <v>0</v>
      </c>
      <c r="W686" s="22">
        <f t="shared" si="24"/>
        <v>0</v>
      </c>
      <c r="X686" s="19">
        <f t="shared" si="25"/>
        <v>0</v>
      </c>
    </row>
    <row r="687" ht="15.75" customHeight="1">
      <c r="Q687" s="15">
        <f t="shared" si="19"/>
        <v>0</v>
      </c>
      <c r="W687" s="22">
        <f t="shared" si="24"/>
        <v>0</v>
      </c>
      <c r="X687" s="19">
        <f t="shared" si="25"/>
        <v>0</v>
      </c>
    </row>
    <row r="688" ht="15.75" customHeight="1">
      <c r="Q688" s="15">
        <f t="shared" si="19"/>
        <v>0</v>
      </c>
      <c r="W688" s="22">
        <f t="shared" si="24"/>
        <v>0</v>
      </c>
      <c r="X688" s="19">
        <f t="shared" si="25"/>
        <v>0</v>
      </c>
    </row>
    <row r="689" ht="15.75" customHeight="1">
      <c r="Q689" s="15">
        <f t="shared" si="19"/>
        <v>0</v>
      </c>
      <c r="W689" s="22">
        <f t="shared" si="24"/>
        <v>0</v>
      </c>
      <c r="X689" s="19">
        <f t="shared" si="25"/>
        <v>0</v>
      </c>
    </row>
    <row r="690" ht="15.75" customHeight="1">
      <c r="Q690" s="15">
        <f t="shared" si="19"/>
        <v>0</v>
      </c>
      <c r="W690" s="22">
        <f t="shared" si="24"/>
        <v>0</v>
      </c>
      <c r="X690" s="19">
        <f t="shared" si="25"/>
        <v>0</v>
      </c>
    </row>
    <row r="691" ht="15.75" customHeight="1">
      <c r="Q691" s="15">
        <f t="shared" si="19"/>
        <v>0</v>
      </c>
      <c r="W691" s="22">
        <f t="shared" si="24"/>
        <v>0</v>
      </c>
      <c r="X691" s="19">
        <f t="shared" si="25"/>
        <v>0</v>
      </c>
    </row>
    <row r="692" ht="15.75" customHeight="1">
      <c r="Q692" s="15">
        <f t="shared" si="19"/>
        <v>0</v>
      </c>
      <c r="W692" s="22">
        <f t="shared" si="24"/>
        <v>0</v>
      </c>
      <c r="X692" s="19">
        <f t="shared" si="25"/>
        <v>0</v>
      </c>
    </row>
    <row r="693" ht="15.75" customHeight="1">
      <c r="Q693" s="15">
        <f t="shared" si="19"/>
        <v>0</v>
      </c>
      <c r="W693" s="22">
        <f t="shared" si="24"/>
        <v>0</v>
      </c>
      <c r="X693" s="19">
        <f t="shared" si="25"/>
        <v>0</v>
      </c>
    </row>
    <row r="694" ht="15.75" customHeight="1">
      <c r="Q694" s="15">
        <f t="shared" si="19"/>
        <v>0</v>
      </c>
      <c r="W694" s="22">
        <f t="shared" si="24"/>
        <v>0</v>
      </c>
      <c r="X694" s="19">
        <f t="shared" si="25"/>
        <v>0</v>
      </c>
    </row>
    <row r="695" ht="15.75" customHeight="1">
      <c r="Q695" s="15">
        <f t="shared" si="19"/>
        <v>0</v>
      </c>
      <c r="W695" s="22">
        <f t="shared" si="24"/>
        <v>0</v>
      </c>
      <c r="X695" s="19">
        <f t="shared" si="25"/>
        <v>0</v>
      </c>
    </row>
    <row r="696" ht="15.75" customHeight="1">
      <c r="Q696" s="15">
        <f t="shared" si="19"/>
        <v>0</v>
      </c>
      <c r="W696" s="22">
        <f t="shared" si="24"/>
        <v>0</v>
      </c>
      <c r="X696" s="19">
        <f t="shared" si="25"/>
        <v>0</v>
      </c>
    </row>
    <row r="697" ht="15.75" customHeight="1">
      <c r="Q697" s="15">
        <f t="shared" si="19"/>
        <v>0</v>
      </c>
      <c r="W697" s="22">
        <f t="shared" si="24"/>
        <v>0</v>
      </c>
      <c r="X697" s="19">
        <f t="shared" si="25"/>
        <v>0</v>
      </c>
    </row>
    <row r="698" ht="15.75" customHeight="1">
      <c r="Q698" s="15">
        <f t="shared" si="19"/>
        <v>0</v>
      </c>
      <c r="W698" s="22">
        <f t="shared" si="24"/>
        <v>0</v>
      </c>
      <c r="X698" s="19">
        <f t="shared" si="25"/>
        <v>0</v>
      </c>
    </row>
    <row r="699" ht="15.75" customHeight="1">
      <c r="Q699" s="15">
        <f t="shared" si="19"/>
        <v>0</v>
      </c>
      <c r="W699" s="22">
        <f t="shared" si="24"/>
        <v>0</v>
      </c>
      <c r="X699" s="19">
        <f t="shared" si="25"/>
        <v>0</v>
      </c>
    </row>
    <row r="700" ht="15.75" customHeight="1">
      <c r="Q700" s="15">
        <f t="shared" si="19"/>
        <v>0</v>
      </c>
      <c r="W700" s="22">
        <f t="shared" si="24"/>
        <v>0</v>
      </c>
      <c r="X700" s="19">
        <f t="shared" si="25"/>
        <v>0</v>
      </c>
    </row>
    <row r="701" ht="15.75" customHeight="1">
      <c r="Q701" s="15">
        <f t="shared" si="19"/>
        <v>0</v>
      </c>
      <c r="W701" s="22">
        <f t="shared" si="24"/>
        <v>0</v>
      </c>
      <c r="X701" s="19">
        <f t="shared" si="25"/>
        <v>0</v>
      </c>
    </row>
    <row r="702" ht="15.75" customHeight="1">
      <c r="Q702" s="15">
        <f t="shared" si="19"/>
        <v>0</v>
      </c>
      <c r="W702" s="22">
        <f t="shared" si="24"/>
        <v>0</v>
      </c>
      <c r="X702" s="19">
        <f t="shared" si="25"/>
        <v>0</v>
      </c>
    </row>
    <row r="703" ht="15.75" customHeight="1">
      <c r="Q703" s="15">
        <f t="shared" si="19"/>
        <v>0</v>
      </c>
      <c r="W703" s="22">
        <f t="shared" si="24"/>
        <v>0</v>
      </c>
      <c r="X703" s="19">
        <f t="shared" si="25"/>
        <v>0</v>
      </c>
    </row>
    <row r="704" ht="15.75" customHeight="1">
      <c r="Q704" s="15">
        <f t="shared" si="19"/>
        <v>0</v>
      </c>
      <c r="W704" s="22">
        <f t="shared" si="24"/>
        <v>0</v>
      </c>
      <c r="X704" s="19">
        <f t="shared" si="25"/>
        <v>0</v>
      </c>
    </row>
    <row r="705" ht="15.75" customHeight="1">
      <c r="Q705" s="15">
        <f t="shared" si="19"/>
        <v>0</v>
      </c>
      <c r="W705" s="22">
        <f t="shared" si="24"/>
        <v>0</v>
      </c>
      <c r="X705" s="19">
        <f t="shared" si="25"/>
        <v>0</v>
      </c>
    </row>
    <row r="706" ht="15.75" customHeight="1">
      <c r="Q706" s="15">
        <f t="shared" si="19"/>
        <v>0</v>
      </c>
      <c r="W706" s="22">
        <f t="shared" si="24"/>
        <v>0</v>
      </c>
      <c r="X706" s="19">
        <f t="shared" si="25"/>
        <v>0</v>
      </c>
    </row>
    <row r="707" ht="15.75" customHeight="1">
      <c r="Q707" s="15">
        <f t="shared" si="19"/>
        <v>0</v>
      </c>
      <c r="W707" s="22">
        <f t="shared" si="24"/>
        <v>0</v>
      </c>
      <c r="X707" s="19">
        <f t="shared" si="25"/>
        <v>0</v>
      </c>
    </row>
    <row r="708" ht="15.75" customHeight="1">
      <c r="Q708" s="15">
        <f t="shared" si="19"/>
        <v>0</v>
      </c>
      <c r="W708" s="22">
        <f t="shared" si="24"/>
        <v>0</v>
      </c>
      <c r="X708" s="19">
        <f t="shared" si="25"/>
        <v>0</v>
      </c>
    </row>
    <row r="709" ht="15.75" customHeight="1">
      <c r="Q709" s="15">
        <f t="shared" si="19"/>
        <v>0</v>
      </c>
      <c r="W709" s="22">
        <f t="shared" si="24"/>
        <v>0</v>
      </c>
      <c r="X709" s="19">
        <f t="shared" si="25"/>
        <v>0</v>
      </c>
    </row>
    <row r="710" ht="15.75" customHeight="1">
      <c r="Q710" s="15">
        <f t="shared" si="19"/>
        <v>0</v>
      </c>
      <c r="W710" s="22">
        <f t="shared" si="24"/>
        <v>0</v>
      </c>
      <c r="X710" s="19">
        <f t="shared" si="25"/>
        <v>0</v>
      </c>
    </row>
    <row r="711" ht="15.75" customHeight="1">
      <c r="Q711" s="15">
        <f t="shared" si="19"/>
        <v>0</v>
      </c>
      <c r="W711" s="22">
        <f t="shared" si="24"/>
        <v>0</v>
      </c>
      <c r="X711" s="19">
        <f t="shared" si="25"/>
        <v>0</v>
      </c>
    </row>
    <row r="712" ht="15.75" customHeight="1">
      <c r="Q712" s="15">
        <f t="shared" si="19"/>
        <v>0</v>
      </c>
      <c r="W712" s="22">
        <f t="shared" si="24"/>
        <v>0</v>
      </c>
      <c r="X712" s="19">
        <f t="shared" si="25"/>
        <v>0</v>
      </c>
    </row>
    <row r="713" ht="15.75" customHeight="1">
      <c r="Q713" s="15">
        <f t="shared" si="19"/>
        <v>0</v>
      </c>
      <c r="W713" s="22">
        <f t="shared" si="24"/>
        <v>0</v>
      </c>
      <c r="X713" s="19">
        <f t="shared" si="25"/>
        <v>0</v>
      </c>
    </row>
    <row r="714" ht="15.75" customHeight="1">
      <c r="Q714" s="15">
        <f t="shared" si="19"/>
        <v>0</v>
      </c>
      <c r="W714" s="22">
        <f t="shared" si="24"/>
        <v>0</v>
      </c>
      <c r="X714" s="19">
        <f t="shared" si="25"/>
        <v>0</v>
      </c>
    </row>
    <row r="715" ht="15.75" customHeight="1">
      <c r="Q715" s="15">
        <f t="shared" si="19"/>
        <v>0</v>
      </c>
      <c r="W715" s="22">
        <f t="shared" si="24"/>
        <v>0</v>
      </c>
      <c r="X715" s="19">
        <f t="shared" si="25"/>
        <v>0</v>
      </c>
    </row>
    <row r="716" ht="15.75" customHeight="1">
      <c r="Q716" s="15">
        <f t="shared" si="19"/>
        <v>0</v>
      </c>
      <c r="W716" s="22">
        <f t="shared" si="24"/>
        <v>0</v>
      </c>
      <c r="X716" s="19">
        <f t="shared" si="25"/>
        <v>0</v>
      </c>
    </row>
    <row r="717" ht="15.75" customHeight="1">
      <c r="Q717" s="15">
        <f t="shared" si="19"/>
        <v>0</v>
      </c>
      <c r="W717" s="22">
        <f t="shared" si="24"/>
        <v>0</v>
      </c>
      <c r="X717" s="19">
        <f t="shared" si="25"/>
        <v>0</v>
      </c>
    </row>
    <row r="718" ht="15.75" customHeight="1">
      <c r="Q718" s="15">
        <f t="shared" si="19"/>
        <v>0</v>
      </c>
      <c r="W718" s="22">
        <f t="shared" si="24"/>
        <v>0</v>
      </c>
      <c r="X718" s="19">
        <f t="shared" si="25"/>
        <v>0</v>
      </c>
    </row>
    <row r="719" ht="15.75" customHeight="1">
      <c r="Q719" s="15">
        <f t="shared" si="19"/>
        <v>0</v>
      </c>
      <c r="W719" s="22">
        <f t="shared" si="24"/>
        <v>0</v>
      </c>
      <c r="X719" s="19">
        <f t="shared" si="25"/>
        <v>0</v>
      </c>
    </row>
    <row r="720" ht="15.75" customHeight="1">
      <c r="Q720" s="15">
        <f t="shared" si="19"/>
        <v>0</v>
      </c>
      <c r="W720" s="22">
        <f t="shared" si="24"/>
        <v>0</v>
      </c>
      <c r="X720" s="19">
        <f t="shared" si="25"/>
        <v>0</v>
      </c>
    </row>
    <row r="721" ht="15.75" customHeight="1">
      <c r="Q721" s="15">
        <f t="shared" si="19"/>
        <v>0</v>
      </c>
      <c r="W721" s="22">
        <f t="shared" si="24"/>
        <v>0</v>
      </c>
      <c r="X721" s="19">
        <f t="shared" si="25"/>
        <v>0</v>
      </c>
    </row>
    <row r="722" ht="15.75" customHeight="1">
      <c r="Q722" s="15">
        <f t="shared" si="19"/>
        <v>0</v>
      </c>
      <c r="W722" s="22">
        <f t="shared" si="24"/>
        <v>0</v>
      </c>
      <c r="X722" s="19">
        <f t="shared" si="25"/>
        <v>0</v>
      </c>
    </row>
    <row r="723" ht="15.75" customHeight="1">
      <c r="Q723" s="15">
        <f t="shared" si="19"/>
        <v>0</v>
      </c>
      <c r="W723" s="22">
        <f t="shared" si="24"/>
        <v>0</v>
      </c>
      <c r="X723" s="19">
        <f t="shared" si="25"/>
        <v>0</v>
      </c>
    </row>
    <row r="724" ht="15.75" customHeight="1">
      <c r="Q724" s="15">
        <f t="shared" si="19"/>
        <v>0</v>
      </c>
      <c r="W724" s="22">
        <f t="shared" si="24"/>
        <v>0</v>
      </c>
      <c r="X724" s="19">
        <f t="shared" si="25"/>
        <v>0</v>
      </c>
    </row>
    <row r="725" ht="15.75" customHeight="1">
      <c r="Q725" s="15">
        <f t="shared" si="19"/>
        <v>0</v>
      </c>
      <c r="W725" s="22">
        <f t="shared" si="24"/>
        <v>0</v>
      </c>
      <c r="X725" s="19">
        <f t="shared" si="25"/>
        <v>0</v>
      </c>
    </row>
    <row r="726" ht="15.75" customHeight="1">
      <c r="Q726" s="15">
        <f t="shared" si="19"/>
        <v>0</v>
      </c>
      <c r="W726" s="22">
        <f t="shared" si="24"/>
        <v>0</v>
      </c>
      <c r="X726" s="19">
        <f t="shared" si="25"/>
        <v>0</v>
      </c>
    </row>
    <row r="727" ht="15.75" customHeight="1">
      <c r="Q727" s="15">
        <f t="shared" si="19"/>
        <v>0</v>
      </c>
      <c r="W727" s="22">
        <f t="shared" si="24"/>
        <v>0</v>
      </c>
      <c r="X727" s="19">
        <f t="shared" si="25"/>
        <v>0</v>
      </c>
    </row>
    <row r="728" ht="15.75" customHeight="1">
      <c r="Q728" s="15">
        <f t="shared" si="19"/>
        <v>0</v>
      </c>
      <c r="W728" s="22">
        <f t="shared" si="24"/>
        <v>0</v>
      </c>
      <c r="X728" s="19">
        <f t="shared" si="25"/>
        <v>0</v>
      </c>
    </row>
    <row r="729" ht="15.75" customHeight="1">
      <c r="Q729" s="15">
        <f t="shared" si="19"/>
        <v>0</v>
      </c>
      <c r="W729" s="22">
        <f t="shared" si="24"/>
        <v>0</v>
      </c>
      <c r="X729" s="19">
        <f t="shared" si="25"/>
        <v>0</v>
      </c>
    </row>
    <row r="730" ht="15.75" customHeight="1">
      <c r="Q730" s="15">
        <f t="shared" si="19"/>
        <v>0</v>
      </c>
      <c r="W730" s="22">
        <f t="shared" si="24"/>
        <v>0</v>
      </c>
      <c r="X730" s="19">
        <f t="shared" si="25"/>
        <v>0</v>
      </c>
    </row>
    <row r="731" ht="15.75" customHeight="1">
      <c r="Q731" s="15">
        <f t="shared" si="19"/>
        <v>0</v>
      </c>
      <c r="W731" s="22">
        <f t="shared" si="24"/>
        <v>0</v>
      </c>
      <c r="X731" s="19">
        <f t="shared" si="25"/>
        <v>0</v>
      </c>
    </row>
    <row r="732" ht="15.75" customHeight="1">
      <c r="Q732" s="15">
        <f t="shared" si="19"/>
        <v>0</v>
      </c>
      <c r="W732" s="22">
        <f t="shared" si="24"/>
        <v>0</v>
      </c>
      <c r="X732" s="19">
        <f t="shared" si="25"/>
        <v>0</v>
      </c>
    </row>
    <row r="733" ht="15.75" customHeight="1">
      <c r="Q733" s="15">
        <f t="shared" si="19"/>
        <v>0</v>
      </c>
      <c r="W733" s="22">
        <f t="shared" si="24"/>
        <v>0</v>
      </c>
      <c r="X733" s="19">
        <f t="shared" si="25"/>
        <v>0</v>
      </c>
    </row>
    <row r="734" ht="15.75" customHeight="1">
      <c r="Q734" s="15">
        <f t="shared" si="19"/>
        <v>0</v>
      </c>
      <c r="W734" s="22">
        <f t="shared" si="24"/>
        <v>0</v>
      </c>
      <c r="X734" s="19">
        <f t="shared" si="25"/>
        <v>0</v>
      </c>
    </row>
    <row r="735" ht="15.75" customHeight="1">
      <c r="Q735" s="15">
        <f t="shared" si="19"/>
        <v>0</v>
      </c>
      <c r="W735" s="22">
        <f t="shared" si="24"/>
        <v>0</v>
      </c>
      <c r="X735" s="19">
        <f t="shared" si="25"/>
        <v>0</v>
      </c>
    </row>
    <row r="736" ht="15.75" customHeight="1">
      <c r="Q736" s="15">
        <f t="shared" si="19"/>
        <v>0</v>
      </c>
      <c r="W736" s="22">
        <f t="shared" si="24"/>
        <v>0</v>
      </c>
      <c r="X736" s="19">
        <f t="shared" si="25"/>
        <v>0</v>
      </c>
    </row>
    <row r="737" ht="15.75" customHeight="1">
      <c r="Q737" s="15">
        <f t="shared" si="19"/>
        <v>0</v>
      </c>
      <c r="W737" s="22">
        <f t="shared" si="24"/>
        <v>0</v>
      </c>
      <c r="X737" s="19">
        <f t="shared" si="25"/>
        <v>0</v>
      </c>
    </row>
    <row r="738" ht="15.75" customHeight="1">
      <c r="Q738" s="15">
        <f t="shared" si="19"/>
        <v>0</v>
      </c>
      <c r="W738" s="22">
        <f t="shared" si="24"/>
        <v>0</v>
      </c>
      <c r="X738" s="19">
        <f t="shared" si="25"/>
        <v>0</v>
      </c>
    </row>
    <row r="739" ht="15.75" customHeight="1">
      <c r="Q739" s="15">
        <f t="shared" si="19"/>
        <v>0</v>
      </c>
      <c r="W739" s="22">
        <f t="shared" si="24"/>
        <v>0</v>
      </c>
      <c r="X739" s="19">
        <f t="shared" si="25"/>
        <v>0</v>
      </c>
    </row>
    <row r="740" ht="15.75" customHeight="1">
      <c r="Q740" s="15">
        <f t="shared" si="19"/>
        <v>0</v>
      </c>
      <c r="W740" s="22">
        <f t="shared" si="24"/>
        <v>0</v>
      </c>
      <c r="X740" s="19">
        <f t="shared" si="25"/>
        <v>0</v>
      </c>
    </row>
    <row r="741" ht="15.75" customHeight="1">
      <c r="Q741" s="15">
        <f t="shared" si="19"/>
        <v>0</v>
      </c>
      <c r="W741" s="22">
        <f t="shared" si="24"/>
        <v>0</v>
      </c>
      <c r="X741" s="19">
        <f t="shared" si="25"/>
        <v>0</v>
      </c>
    </row>
    <row r="742" ht="15.75" customHeight="1">
      <c r="Q742" s="15">
        <f t="shared" si="19"/>
        <v>0</v>
      </c>
      <c r="W742" s="22">
        <f t="shared" si="24"/>
        <v>0</v>
      </c>
      <c r="X742" s="19">
        <f t="shared" si="25"/>
        <v>0</v>
      </c>
    </row>
    <row r="743" ht="15.75" customHeight="1">
      <c r="Q743" s="15">
        <f t="shared" si="19"/>
        <v>0</v>
      </c>
      <c r="W743" s="22">
        <f t="shared" si="24"/>
        <v>0</v>
      </c>
      <c r="X743" s="19">
        <f t="shared" si="25"/>
        <v>0</v>
      </c>
    </row>
    <row r="744" ht="15.75" customHeight="1">
      <c r="Q744" s="15">
        <f t="shared" si="19"/>
        <v>0</v>
      </c>
      <c r="W744" s="22">
        <f t="shared" si="24"/>
        <v>0</v>
      </c>
      <c r="X744" s="19">
        <f t="shared" si="25"/>
        <v>0</v>
      </c>
    </row>
    <row r="745" ht="15.75" customHeight="1">
      <c r="Q745" s="15">
        <f t="shared" si="19"/>
        <v>0</v>
      </c>
      <c r="W745" s="22">
        <f t="shared" si="24"/>
        <v>0</v>
      </c>
      <c r="X745" s="19">
        <f t="shared" si="25"/>
        <v>0</v>
      </c>
    </row>
    <row r="746" ht="15.75" customHeight="1">
      <c r="Q746" s="15">
        <f t="shared" si="19"/>
        <v>0</v>
      </c>
      <c r="W746" s="22">
        <f t="shared" si="24"/>
        <v>0</v>
      </c>
      <c r="X746" s="19">
        <f t="shared" si="25"/>
        <v>0</v>
      </c>
    </row>
    <row r="747" ht="15.75" customHeight="1">
      <c r="Q747" s="15">
        <f t="shared" si="19"/>
        <v>0</v>
      </c>
      <c r="W747" s="22">
        <f t="shared" si="24"/>
        <v>0</v>
      </c>
      <c r="X747" s="19">
        <f t="shared" si="25"/>
        <v>0</v>
      </c>
    </row>
    <row r="748" ht="15.75" customHeight="1">
      <c r="Q748" s="15">
        <f t="shared" si="19"/>
        <v>0</v>
      </c>
      <c r="W748" s="22">
        <f t="shared" si="24"/>
        <v>0</v>
      </c>
      <c r="X748" s="19">
        <f t="shared" si="25"/>
        <v>0</v>
      </c>
    </row>
    <row r="749" ht="15.75" customHeight="1">
      <c r="Q749" s="15">
        <f t="shared" si="19"/>
        <v>0</v>
      </c>
      <c r="W749" s="22">
        <f t="shared" si="24"/>
        <v>0</v>
      </c>
      <c r="X749" s="19">
        <f t="shared" si="25"/>
        <v>0</v>
      </c>
    </row>
    <row r="750" ht="15.75" customHeight="1">
      <c r="Q750" s="15">
        <f t="shared" si="19"/>
        <v>0</v>
      </c>
      <c r="W750" s="22">
        <f t="shared" si="24"/>
        <v>0</v>
      </c>
      <c r="X750" s="19">
        <f t="shared" si="25"/>
        <v>0</v>
      </c>
    </row>
    <row r="751" ht="15.75" customHeight="1">
      <c r="Q751" s="15">
        <f t="shared" si="19"/>
        <v>0</v>
      </c>
      <c r="W751" s="22">
        <f t="shared" si="24"/>
        <v>0</v>
      </c>
      <c r="X751" s="19">
        <f t="shared" si="25"/>
        <v>0</v>
      </c>
    </row>
    <row r="752" ht="15.75" customHeight="1">
      <c r="Q752" s="15">
        <f t="shared" si="19"/>
        <v>0</v>
      </c>
      <c r="W752" s="22">
        <f t="shared" si="24"/>
        <v>0</v>
      </c>
      <c r="X752" s="19">
        <f t="shared" si="25"/>
        <v>0</v>
      </c>
    </row>
    <row r="753" ht="15.75" customHeight="1">
      <c r="Q753" s="15">
        <f t="shared" si="19"/>
        <v>0</v>
      </c>
      <c r="W753" s="22">
        <f t="shared" si="24"/>
        <v>0</v>
      </c>
      <c r="X753" s="19">
        <f t="shared" si="25"/>
        <v>0</v>
      </c>
    </row>
    <row r="754" ht="15.75" customHeight="1">
      <c r="Q754" s="15">
        <f t="shared" si="19"/>
        <v>0</v>
      </c>
      <c r="W754" s="22">
        <f t="shared" si="24"/>
        <v>0</v>
      </c>
      <c r="X754" s="19">
        <f t="shared" si="25"/>
        <v>0</v>
      </c>
    </row>
    <row r="755" ht="15.75" customHeight="1">
      <c r="Q755" s="15">
        <f t="shared" si="19"/>
        <v>0</v>
      </c>
      <c r="W755" s="22">
        <f t="shared" si="24"/>
        <v>0</v>
      </c>
      <c r="X755" s="19">
        <f t="shared" si="25"/>
        <v>0</v>
      </c>
    </row>
    <row r="756" ht="15.75" customHeight="1">
      <c r="Q756" s="15">
        <f t="shared" si="19"/>
        <v>0</v>
      </c>
      <c r="W756" s="22">
        <f t="shared" si="24"/>
        <v>0</v>
      </c>
      <c r="X756" s="19">
        <f t="shared" si="25"/>
        <v>0</v>
      </c>
    </row>
    <row r="757" ht="15.75" customHeight="1">
      <c r="Q757" s="15">
        <f t="shared" si="19"/>
        <v>0</v>
      </c>
      <c r="W757" s="22">
        <f t="shared" si="24"/>
        <v>0</v>
      </c>
      <c r="X757" s="19">
        <f t="shared" si="25"/>
        <v>0</v>
      </c>
    </row>
    <row r="758" ht="15.75" customHeight="1">
      <c r="Q758" s="15">
        <f t="shared" si="19"/>
        <v>0</v>
      </c>
      <c r="W758" s="22">
        <f t="shared" si="24"/>
        <v>0</v>
      </c>
      <c r="X758" s="19">
        <f t="shared" si="25"/>
        <v>0</v>
      </c>
    </row>
    <row r="759" ht="15.75" customHeight="1">
      <c r="Q759" s="15">
        <f t="shared" si="19"/>
        <v>0</v>
      </c>
      <c r="W759" s="22">
        <f t="shared" si="24"/>
        <v>0</v>
      </c>
      <c r="X759" s="19">
        <f t="shared" si="25"/>
        <v>0</v>
      </c>
    </row>
    <row r="760" ht="15.75" customHeight="1">
      <c r="Q760" s="15">
        <f t="shared" si="19"/>
        <v>0</v>
      </c>
      <c r="W760" s="22">
        <f t="shared" si="24"/>
        <v>0</v>
      </c>
      <c r="X760" s="19">
        <f t="shared" si="25"/>
        <v>0</v>
      </c>
    </row>
    <row r="761" ht="15.75" customHeight="1">
      <c r="Q761" s="15">
        <f t="shared" si="19"/>
        <v>0</v>
      </c>
      <c r="W761" s="22">
        <f t="shared" si="24"/>
        <v>0</v>
      </c>
      <c r="X761" s="19">
        <f t="shared" si="25"/>
        <v>0</v>
      </c>
    </row>
    <row r="762" ht="15.75" customHeight="1">
      <c r="Q762" s="15">
        <f t="shared" si="19"/>
        <v>0</v>
      </c>
      <c r="W762" s="22">
        <f t="shared" si="24"/>
        <v>0</v>
      </c>
      <c r="X762" s="19">
        <f t="shared" si="25"/>
        <v>0</v>
      </c>
    </row>
    <row r="763" ht="15.75" customHeight="1">
      <c r="Q763" s="15">
        <f t="shared" si="19"/>
        <v>0</v>
      </c>
      <c r="W763" s="22">
        <f t="shared" si="24"/>
        <v>0</v>
      </c>
      <c r="X763" s="19">
        <f t="shared" si="25"/>
        <v>0</v>
      </c>
    </row>
    <row r="764" ht="15.75" customHeight="1">
      <c r="Q764" s="15">
        <f t="shared" si="19"/>
        <v>0</v>
      </c>
      <c r="W764" s="22">
        <f t="shared" si="24"/>
        <v>0</v>
      </c>
      <c r="X764" s="19">
        <f t="shared" si="25"/>
        <v>0</v>
      </c>
    </row>
    <row r="765" ht="15.75" customHeight="1">
      <c r="Q765" s="15">
        <f t="shared" si="19"/>
        <v>0</v>
      </c>
      <c r="W765" s="22">
        <f t="shared" si="24"/>
        <v>0</v>
      </c>
      <c r="X765" s="19">
        <f t="shared" si="25"/>
        <v>0</v>
      </c>
    </row>
    <row r="766" ht="15.75" customHeight="1">
      <c r="Q766" s="15">
        <f t="shared" si="19"/>
        <v>0</v>
      </c>
      <c r="W766" s="22">
        <f t="shared" si="24"/>
        <v>0</v>
      </c>
      <c r="X766" s="19">
        <f t="shared" si="25"/>
        <v>0</v>
      </c>
    </row>
    <row r="767" ht="15.75" customHeight="1">
      <c r="Q767" s="15">
        <f t="shared" si="19"/>
        <v>0</v>
      </c>
      <c r="W767" s="22">
        <f t="shared" si="24"/>
        <v>0</v>
      </c>
      <c r="X767" s="19">
        <f t="shared" si="25"/>
        <v>0</v>
      </c>
    </row>
    <row r="768" ht="15.75" customHeight="1">
      <c r="Q768" s="15">
        <f t="shared" si="19"/>
        <v>0</v>
      </c>
      <c r="W768" s="22">
        <f t="shared" si="24"/>
        <v>0</v>
      </c>
      <c r="X768" s="19">
        <f t="shared" si="25"/>
        <v>0</v>
      </c>
    </row>
    <row r="769" ht="15.75" customHeight="1">
      <c r="Q769" s="15">
        <f t="shared" si="19"/>
        <v>0</v>
      </c>
      <c r="W769" s="22">
        <f t="shared" si="24"/>
        <v>0</v>
      </c>
      <c r="X769" s="19">
        <f t="shared" si="25"/>
        <v>0</v>
      </c>
    </row>
    <row r="770" ht="15.75" customHeight="1">
      <c r="Q770" s="15">
        <f t="shared" si="19"/>
        <v>0</v>
      </c>
      <c r="W770" s="22">
        <f t="shared" si="24"/>
        <v>0</v>
      </c>
      <c r="X770" s="19">
        <f t="shared" si="25"/>
        <v>0</v>
      </c>
    </row>
    <row r="771" ht="15.75" customHeight="1">
      <c r="Q771" s="15">
        <f t="shared" si="19"/>
        <v>0</v>
      </c>
      <c r="W771" s="22">
        <f t="shared" si="24"/>
        <v>0</v>
      </c>
      <c r="X771" s="19">
        <f t="shared" si="25"/>
        <v>0</v>
      </c>
    </row>
    <row r="772" ht="15.75" customHeight="1">
      <c r="Q772" s="15">
        <f t="shared" si="19"/>
        <v>0</v>
      </c>
      <c r="W772" s="22">
        <f t="shared" si="24"/>
        <v>0</v>
      </c>
      <c r="X772" s="19">
        <f t="shared" si="25"/>
        <v>0</v>
      </c>
    </row>
    <row r="773" ht="15.75" customHeight="1">
      <c r="Q773" s="15">
        <f t="shared" si="19"/>
        <v>0</v>
      </c>
      <c r="W773" s="22">
        <f t="shared" si="24"/>
        <v>0</v>
      </c>
      <c r="X773" s="19">
        <f t="shared" si="25"/>
        <v>0</v>
      </c>
    </row>
    <row r="774" ht="15.75" customHeight="1">
      <c r="Q774" s="15">
        <f t="shared" si="19"/>
        <v>0</v>
      </c>
      <c r="W774" s="22">
        <f t="shared" si="24"/>
        <v>0</v>
      </c>
      <c r="X774" s="19">
        <f t="shared" si="25"/>
        <v>0</v>
      </c>
    </row>
    <row r="775" ht="15.75" customHeight="1">
      <c r="Q775" s="15">
        <f t="shared" si="19"/>
        <v>0</v>
      </c>
      <c r="W775" s="22">
        <f t="shared" si="24"/>
        <v>0</v>
      </c>
      <c r="X775" s="19">
        <f t="shared" si="25"/>
        <v>0</v>
      </c>
    </row>
    <row r="776" ht="15.75" customHeight="1">
      <c r="Q776" s="15">
        <f t="shared" si="19"/>
        <v>0</v>
      </c>
      <c r="W776" s="22">
        <f t="shared" si="24"/>
        <v>0</v>
      </c>
      <c r="X776" s="19">
        <f t="shared" si="25"/>
        <v>0</v>
      </c>
    </row>
    <row r="777" ht="15.75" customHeight="1">
      <c r="Q777" s="15">
        <f t="shared" si="19"/>
        <v>0</v>
      </c>
      <c r="W777" s="22">
        <f t="shared" si="24"/>
        <v>0</v>
      </c>
      <c r="X777" s="19">
        <f t="shared" si="25"/>
        <v>0</v>
      </c>
    </row>
    <row r="778" ht="15.75" customHeight="1">
      <c r="Q778" s="15">
        <f t="shared" si="19"/>
        <v>0</v>
      </c>
      <c r="W778" s="22">
        <f t="shared" si="24"/>
        <v>0</v>
      </c>
      <c r="X778" s="19">
        <f t="shared" si="25"/>
        <v>0</v>
      </c>
    </row>
    <row r="779" ht="15.75" customHeight="1">
      <c r="Q779" s="15">
        <f t="shared" si="19"/>
        <v>0</v>
      </c>
      <c r="W779" s="22">
        <f t="shared" si="24"/>
        <v>0</v>
      </c>
      <c r="X779" s="19">
        <f t="shared" si="25"/>
        <v>0</v>
      </c>
    </row>
    <row r="780" ht="15.75" customHeight="1">
      <c r="Q780" s="15">
        <f t="shared" si="19"/>
        <v>0</v>
      </c>
      <c r="W780" s="22">
        <f t="shared" si="24"/>
        <v>0</v>
      </c>
      <c r="X780" s="19">
        <f t="shared" si="25"/>
        <v>0</v>
      </c>
    </row>
    <row r="781" ht="15.75" customHeight="1">
      <c r="Q781" s="15">
        <f t="shared" si="19"/>
        <v>0</v>
      </c>
      <c r="W781" s="22">
        <f t="shared" si="24"/>
        <v>0</v>
      </c>
      <c r="X781" s="19">
        <f t="shared" si="25"/>
        <v>0</v>
      </c>
    </row>
    <row r="782" ht="15.75" customHeight="1">
      <c r="Q782" s="15">
        <f t="shared" si="19"/>
        <v>0</v>
      </c>
      <c r="W782" s="22">
        <f t="shared" si="24"/>
        <v>0</v>
      </c>
      <c r="X782" s="19">
        <f t="shared" si="25"/>
        <v>0</v>
      </c>
    </row>
    <row r="783" ht="15.75" customHeight="1">
      <c r="Q783" s="15">
        <f t="shared" si="19"/>
        <v>0</v>
      </c>
      <c r="W783" s="22">
        <f t="shared" si="24"/>
        <v>0</v>
      </c>
      <c r="X783" s="19">
        <f t="shared" si="25"/>
        <v>0</v>
      </c>
    </row>
    <row r="784" ht="15.75" customHeight="1">
      <c r="Q784" s="15">
        <f t="shared" si="19"/>
        <v>0</v>
      </c>
      <c r="W784" s="22">
        <f t="shared" si="24"/>
        <v>0</v>
      </c>
      <c r="X784" s="19">
        <f t="shared" si="25"/>
        <v>0</v>
      </c>
    </row>
    <row r="785" ht="15.75" customHeight="1">
      <c r="Q785" s="15">
        <f t="shared" si="19"/>
        <v>0</v>
      </c>
      <c r="W785" s="22">
        <f t="shared" si="24"/>
        <v>0</v>
      </c>
      <c r="X785" s="19">
        <f t="shared" si="25"/>
        <v>0</v>
      </c>
    </row>
    <row r="786" ht="15.75" customHeight="1">
      <c r="Q786" s="15">
        <f t="shared" si="19"/>
        <v>0</v>
      </c>
      <c r="W786" s="22">
        <f t="shared" si="24"/>
        <v>0</v>
      </c>
      <c r="X786" s="19">
        <f t="shared" si="25"/>
        <v>0</v>
      </c>
    </row>
    <row r="787" ht="15.75" customHeight="1">
      <c r="Q787" s="15">
        <f t="shared" si="19"/>
        <v>0</v>
      </c>
      <c r="W787" s="22">
        <f t="shared" si="24"/>
        <v>0</v>
      </c>
      <c r="X787" s="19">
        <f t="shared" si="25"/>
        <v>0</v>
      </c>
    </row>
    <row r="788" ht="15.75" customHeight="1">
      <c r="Q788" s="15">
        <f t="shared" si="19"/>
        <v>0</v>
      </c>
      <c r="W788" s="22">
        <f t="shared" si="24"/>
        <v>0</v>
      </c>
      <c r="X788" s="19">
        <f t="shared" si="25"/>
        <v>0</v>
      </c>
    </row>
    <row r="789" ht="15.75" customHeight="1">
      <c r="Q789" s="15">
        <f t="shared" si="19"/>
        <v>0</v>
      </c>
      <c r="W789" s="22">
        <f t="shared" si="24"/>
        <v>0</v>
      </c>
      <c r="X789" s="19">
        <f t="shared" si="25"/>
        <v>0</v>
      </c>
    </row>
    <row r="790" ht="15.75" customHeight="1">
      <c r="Q790" s="15">
        <f t="shared" si="19"/>
        <v>0</v>
      </c>
      <c r="W790" s="22">
        <f t="shared" si="24"/>
        <v>0</v>
      </c>
      <c r="X790" s="19">
        <f t="shared" si="25"/>
        <v>0</v>
      </c>
    </row>
    <row r="791" ht="15.75" customHeight="1">
      <c r="Q791" s="15">
        <f t="shared" si="19"/>
        <v>0</v>
      </c>
      <c r="W791" s="22">
        <f t="shared" si="24"/>
        <v>0</v>
      </c>
      <c r="X791" s="19">
        <f t="shared" si="25"/>
        <v>0</v>
      </c>
    </row>
    <row r="792" ht="15.75" customHeight="1">
      <c r="Q792" s="15">
        <f t="shared" si="19"/>
        <v>0</v>
      </c>
      <c r="W792" s="22">
        <f t="shared" si="24"/>
        <v>0</v>
      </c>
      <c r="X792" s="19">
        <f t="shared" si="25"/>
        <v>0</v>
      </c>
    </row>
    <row r="793" ht="15.75" customHeight="1">
      <c r="Q793" s="15">
        <f t="shared" si="19"/>
        <v>0</v>
      </c>
      <c r="W793" s="22">
        <f t="shared" si="24"/>
        <v>0</v>
      </c>
      <c r="X793" s="19">
        <f t="shared" si="25"/>
        <v>0</v>
      </c>
    </row>
    <row r="794" ht="15.75" customHeight="1">
      <c r="Q794" s="15">
        <f t="shared" si="19"/>
        <v>0</v>
      </c>
      <c r="W794" s="22">
        <f t="shared" si="24"/>
        <v>0</v>
      </c>
      <c r="X794" s="19">
        <f t="shared" si="25"/>
        <v>0</v>
      </c>
    </row>
    <row r="795" ht="15.75" customHeight="1">
      <c r="Q795" s="15">
        <f t="shared" si="19"/>
        <v>0</v>
      </c>
      <c r="W795" s="22">
        <f t="shared" si="24"/>
        <v>0</v>
      </c>
      <c r="X795" s="19">
        <f t="shared" si="25"/>
        <v>0</v>
      </c>
    </row>
    <row r="796" ht="15.75" customHeight="1">
      <c r="Q796" s="15">
        <f t="shared" si="19"/>
        <v>0</v>
      </c>
      <c r="W796" s="22">
        <f t="shared" si="24"/>
        <v>0</v>
      </c>
      <c r="X796" s="19">
        <f t="shared" si="25"/>
        <v>0</v>
      </c>
    </row>
    <row r="797" ht="15.75" customHeight="1">
      <c r="Q797" s="15">
        <f t="shared" si="19"/>
        <v>0</v>
      </c>
      <c r="W797" s="22">
        <f t="shared" si="24"/>
        <v>0</v>
      </c>
      <c r="X797" s="19">
        <f t="shared" si="25"/>
        <v>0</v>
      </c>
    </row>
    <row r="798" ht="15.75" customHeight="1">
      <c r="Q798" s="15">
        <f t="shared" si="19"/>
        <v>0</v>
      </c>
      <c r="W798" s="22">
        <f t="shared" si="24"/>
        <v>0</v>
      </c>
      <c r="X798" s="19">
        <f t="shared" si="25"/>
        <v>0</v>
      </c>
    </row>
    <row r="799" ht="15.75" customHeight="1">
      <c r="Q799" s="15">
        <f t="shared" si="19"/>
        <v>0</v>
      </c>
      <c r="W799" s="22">
        <f t="shared" si="24"/>
        <v>0</v>
      </c>
      <c r="X799" s="19">
        <f t="shared" si="25"/>
        <v>0</v>
      </c>
    </row>
    <row r="800" ht="15.75" customHeight="1">
      <c r="Q800" s="15">
        <f t="shared" si="19"/>
        <v>0</v>
      </c>
      <c r="W800" s="22">
        <f t="shared" si="24"/>
        <v>0</v>
      </c>
      <c r="X800" s="19">
        <f t="shared" si="25"/>
        <v>0</v>
      </c>
    </row>
    <row r="801" ht="15.75" customHeight="1">
      <c r="Q801" s="15">
        <f t="shared" si="19"/>
        <v>0</v>
      </c>
      <c r="W801" s="22">
        <f t="shared" si="24"/>
        <v>0</v>
      </c>
      <c r="X801" s="19">
        <f t="shared" si="25"/>
        <v>0</v>
      </c>
    </row>
    <row r="802" ht="15.75" customHeight="1">
      <c r="Q802" s="15">
        <f t="shared" si="19"/>
        <v>0</v>
      </c>
      <c r="W802" s="22">
        <f t="shared" si="24"/>
        <v>0</v>
      </c>
      <c r="X802" s="19">
        <f t="shared" si="25"/>
        <v>0</v>
      </c>
    </row>
    <row r="803" ht="15.75" customHeight="1">
      <c r="Q803" s="15">
        <f t="shared" si="19"/>
        <v>0</v>
      </c>
      <c r="W803" s="22">
        <f t="shared" si="24"/>
        <v>0</v>
      </c>
      <c r="X803" s="19">
        <f t="shared" si="25"/>
        <v>0</v>
      </c>
    </row>
    <row r="804" ht="15.75" customHeight="1">
      <c r="Q804" s="15">
        <f t="shared" si="19"/>
        <v>0</v>
      </c>
      <c r="W804" s="22">
        <f t="shared" si="24"/>
        <v>0</v>
      </c>
      <c r="X804" s="19">
        <f t="shared" si="25"/>
        <v>0</v>
      </c>
    </row>
    <row r="805" ht="15.75" customHeight="1">
      <c r="Q805" s="15">
        <f t="shared" si="19"/>
        <v>0</v>
      </c>
      <c r="W805" s="22">
        <f t="shared" si="24"/>
        <v>0</v>
      </c>
      <c r="X805" s="19">
        <f t="shared" si="25"/>
        <v>0</v>
      </c>
    </row>
    <row r="806" ht="15.75" customHeight="1">
      <c r="Q806" s="15">
        <f t="shared" si="19"/>
        <v>0</v>
      </c>
      <c r="W806" s="22">
        <f t="shared" si="24"/>
        <v>0</v>
      </c>
      <c r="X806" s="19">
        <f t="shared" si="25"/>
        <v>0</v>
      </c>
    </row>
    <row r="807" ht="15.75" customHeight="1">
      <c r="Q807" s="15">
        <f t="shared" si="19"/>
        <v>0</v>
      </c>
      <c r="W807" s="22">
        <f t="shared" si="24"/>
        <v>0</v>
      </c>
      <c r="X807" s="19">
        <f t="shared" si="25"/>
        <v>0</v>
      </c>
    </row>
    <row r="808" ht="15.75" customHeight="1">
      <c r="Q808" s="15">
        <f t="shared" si="19"/>
        <v>0</v>
      </c>
      <c r="W808" s="22">
        <f t="shared" si="24"/>
        <v>0</v>
      </c>
      <c r="X808" s="19">
        <f t="shared" si="25"/>
        <v>0</v>
      </c>
    </row>
    <row r="809" ht="15.75" customHeight="1">
      <c r="Q809" s="15">
        <f t="shared" si="19"/>
        <v>0</v>
      </c>
      <c r="W809" s="22">
        <f t="shared" si="24"/>
        <v>0</v>
      </c>
      <c r="X809" s="19">
        <f t="shared" si="25"/>
        <v>0</v>
      </c>
    </row>
    <row r="810" ht="15.75" customHeight="1">
      <c r="Q810" s="15">
        <f t="shared" si="19"/>
        <v>0</v>
      </c>
      <c r="W810" s="22">
        <f t="shared" si="24"/>
        <v>0</v>
      </c>
      <c r="X810" s="19">
        <f t="shared" si="25"/>
        <v>0</v>
      </c>
    </row>
    <row r="811" ht="15.75" customHeight="1">
      <c r="Q811" s="15">
        <f t="shared" si="19"/>
        <v>0</v>
      </c>
      <c r="W811" s="22">
        <f t="shared" si="24"/>
        <v>0</v>
      </c>
      <c r="X811" s="19">
        <f t="shared" si="25"/>
        <v>0</v>
      </c>
    </row>
    <row r="812" ht="15.75" customHeight="1">
      <c r="Q812" s="15">
        <f t="shared" si="19"/>
        <v>0</v>
      </c>
      <c r="W812" s="22">
        <f t="shared" si="24"/>
        <v>0</v>
      </c>
      <c r="X812" s="19">
        <f t="shared" si="25"/>
        <v>0</v>
      </c>
    </row>
    <row r="813" ht="15.75" customHeight="1">
      <c r="Q813" s="15">
        <f t="shared" si="19"/>
        <v>0</v>
      </c>
      <c r="W813" s="22">
        <f t="shared" si="24"/>
        <v>0</v>
      </c>
      <c r="X813" s="19">
        <f t="shared" si="25"/>
        <v>0</v>
      </c>
    </row>
    <row r="814" ht="15.75" customHeight="1">
      <c r="Q814" s="15">
        <f t="shared" si="19"/>
        <v>0</v>
      </c>
      <c r="W814" s="22">
        <f t="shared" si="24"/>
        <v>0</v>
      </c>
      <c r="X814" s="19">
        <f t="shared" si="25"/>
        <v>0</v>
      </c>
    </row>
    <row r="815" ht="15.75" customHeight="1">
      <c r="Q815" s="15">
        <f t="shared" si="19"/>
        <v>0</v>
      </c>
      <c r="W815" s="22">
        <f t="shared" si="24"/>
        <v>0</v>
      </c>
      <c r="X815" s="19">
        <f t="shared" si="25"/>
        <v>0</v>
      </c>
    </row>
    <row r="816" ht="15.75" customHeight="1">
      <c r="Q816" s="15">
        <f t="shared" si="19"/>
        <v>0</v>
      </c>
      <c r="W816" s="22">
        <f t="shared" si="24"/>
        <v>0</v>
      </c>
      <c r="X816" s="19">
        <f t="shared" si="25"/>
        <v>0</v>
      </c>
    </row>
    <row r="817" ht="15.75" customHeight="1">
      <c r="Q817" s="15">
        <f t="shared" si="19"/>
        <v>0</v>
      </c>
      <c r="W817" s="22">
        <f t="shared" si="24"/>
        <v>0</v>
      </c>
      <c r="X817" s="19">
        <f t="shared" si="25"/>
        <v>0</v>
      </c>
    </row>
    <row r="818" ht="15.75" customHeight="1">
      <c r="Q818" s="15">
        <f t="shared" si="19"/>
        <v>0</v>
      </c>
      <c r="W818" s="22">
        <f t="shared" si="24"/>
        <v>0</v>
      </c>
      <c r="X818" s="19">
        <f t="shared" si="25"/>
        <v>0</v>
      </c>
    </row>
    <row r="819" ht="15.75" customHeight="1">
      <c r="Q819" s="15">
        <f t="shared" si="19"/>
        <v>0</v>
      </c>
      <c r="W819" s="22">
        <f t="shared" si="24"/>
        <v>0</v>
      </c>
      <c r="X819" s="19">
        <f t="shared" si="25"/>
        <v>0</v>
      </c>
    </row>
    <row r="820" ht="15.75" customHeight="1">
      <c r="Q820" s="15">
        <f t="shared" si="19"/>
        <v>0</v>
      </c>
      <c r="W820" s="22">
        <f t="shared" si="24"/>
        <v>0</v>
      </c>
      <c r="X820" s="19">
        <f t="shared" si="25"/>
        <v>0</v>
      </c>
    </row>
    <row r="821" ht="15.75" customHeight="1">
      <c r="Q821" s="15">
        <f t="shared" si="19"/>
        <v>0</v>
      </c>
      <c r="W821" s="22">
        <f t="shared" si="24"/>
        <v>0</v>
      </c>
      <c r="X821" s="19">
        <f t="shared" si="25"/>
        <v>0</v>
      </c>
    </row>
    <row r="822" ht="15.75" customHeight="1">
      <c r="Q822" s="15">
        <f t="shared" si="19"/>
        <v>0</v>
      </c>
      <c r="W822" s="22">
        <f t="shared" si="24"/>
        <v>0</v>
      </c>
      <c r="X822" s="19">
        <f t="shared" si="25"/>
        <v>0</v>
      </c>
    </row>
    <row r="823" ht="15.75" customHeight="1">
      <c r="Q823" s="15">
        <f t="shared" si="19"/>
        <v>0</v>
      </c>
      <c r="W823" s="22">
        <f t="shared" si="24"/>
        <v>0</v>
      </c>
      <c r="X823" s="19">
        <f t="shared" si="25"/>
        <v>0</v>
      </c>
    </row>
    <row r="824" ht="15.75" customHeight="1">
      <c r="Q824" s="15">
        <f t="shared" si="19"/>
        <v>0</v>
      </c>
      <c r="W824" s="22">
        <f t="shared" si="24"/>
        <v>0</v>
      </c>
      <c r="X824" s="19">
        <f t="shared" si="25"/>
        <v>0</v>
      </c>
    </row>
    <row r="825" ht="15.75" customHeight="1">
      <c r="Q825" s="15">
        <f t="shared" si="19"/>
        <v>0</v>
      </c>
      <c r="W825" s="22">
        <f t="shared" si="24"/>
        <v>0</v>
      </c>
      <c r="X825" s="19">
        <f t="shared" si="25"/>
        <v>0</v>
      </c>
    </row>
    <row r="826" ht="15.75" customHeight="1">
      <c r="Q826" s="15">
        <f t="shared" si="19"/>
        <v>0</v>
      </c>
      <c r="W826" s="22">
        <f t="shared" si="24"/>
        <v>0</v>
      </c>
      <c r="X826" s="19">
        <f t="shared" si="25"/>
        <v>0</v>
      </c>
    </row>
    <row r="827" ht="15.75" customHeight="1">
      <c r="Q827" s="15">
        <f t="shared" si="19"/>
        <v>0</v>
      </c>
      <c r="W827" s="22">
        <f t="shared" si="24"/>
        <v>0</v>
      </c>
      <c r="X827" s="19">
        <f t="shared" si="25"/>
        <v>0</v>
      </c>
    </row>
    <row r="828" ht="15.75" customHeight="1">
      <c r="Q828" s="15">
        <f t="shared" si="19"/>
        <v>0</v>
      </c>
      <c r="W828" s="22">
        <f t="shared" si="24"/>
        <v>0</v>
      </c>
      <c r="X828" s="19">
        <f t="shared" si="25"/>
        <v>0</v>
      </c>
    </row>
    <row r="829" ht="15.75" customHeight="1">
      <c r="Q829" s="15">
        <f t="shared" si="19"/>
        <v>0</v>
      </c>
      <c r="W829" s="22">
        <f t="shared" si="24"/>
        <v>0</v>
      </c>
      <c r="X829" s="19">
        <f t="shared" si="25"/>
        <v>0</v>
      </c>
    </row>
    <row r="830" ht="15.75" customHeight="1">
      <c r="Q830" s="15">
        <f t="shared" si="19"/>
        <v>0</v>
      </c>
      <c r="W830" s="22">
        <f t="shared" si="24"/>
        <v>0</v>
      </c>
      <c r="X830" s="19">
        <f t="shared" si="25"/>
        <v>0</v>
      </c>
    </row>
    <row r="831" ht="15.75" customHeight="1">
      <c r="Q831" s="15">
        <f t="shared" si="19"/>
        <v>0</v>
      </c>
      <c r="W831" s="22">
        <f t="shared" si="24"/>
        <v>0</v>
      </c>
      <c r="X831" s="19">
        <f t="shared" si="25"/>
        <v>0</v>
      </c>
    </row>
    <row r="832" ht="15.75" customHeight="1">
      <c r="Q832" s="15">
        <f t="shared" si="19"/>
        <v>0</v>
      </c>
      <c r="W832" s="22">
        <f t="shared" si="24"/>
        <v>0</v>
      </c>
      <c r="X832" s="19">
        <f t="shared" si="25"/>
        <v>0</v>
      </c>
    </row>
    <row r="833" ht="15.75" customHeight="1">
      <c r="Q833" s="15">
        <f t="shared" si="19"/>
        <v>0</v>
      </c>
      <c r="W833" s="22">
        <f t="shared" si="24"/>
        <v>0</v>
      </c>
      <c r="X833" s="19">
        <f t="shared" si="25"/>
        <v>0</v>
      </c>
    </row>
    <row r="834" ht="15.75" customHeight="1">
      <c r="Q834" s="15">
        <f t="shared" si="19"/>
        <v>0</v>
      </c>
      <c r="W834" s="22">
        <f t="shared" si="24"/>
        <v>0</v>
      </c>
      <c r="X834" s="19">
        <f t="shared" si="25"/>
        <v>0</v>
      </c>
    </row>
    <row r="835" ht="15.75" customHeight="1">
      <c r="Q835" s="15">
        <f t="shared" si="19"/>
        <v>0</v>
      </c>
      <c r="W835" s="22">
        <f t="shared" si="24"/>
        <v>0</v>
      </c>
      <c r="X835" s="19">
        <f t="shared" si="25"/>
        <v>0</v>
      </c>
    </row>
    <row r="836" ht="15.75" customHeight="1">
      <c r="Q836" s="15">
        <f t="shared" si="19"/>
        <v>0</v>
      </c>
      <c r="W836" s="22">
        <f t="shared" si="24"/>
        <v>0</v>
      </c>
      <c r="X836" s="19">
        <f t="shared" si="25"/>
        <v>0</v>
      </c>
    </row>
    <row r="837" ht="15.75" customHeight="1">
      <c r="Q837" s="15">
        <f t="shared" si="19"/>
        <v>0</v>
      </c>
      <c r="W837" s="22">
        <f t="shared" si="24"/>
        <v>0</v>
      </c>
      <c r="X837" s="19">
        <f t="shared" si="25"/>
        <v>0</v>
      </c>
    </row>
    <row r="838" ht="15.75" customHeight="1">
      <c r="Q838" s="15">
        <f t="shared" si="19"/>
        <v>0</v>
      </c>
      <c r="W838" s="22">
        <f t="shared" si="24"/>
        <v>0</v>
      </c>
      <c r="X838" s="19">
        <f t="shared" si="25"/>
        <v>0</v>
      </c>
    </row>
    <row r="839" ht="15.75" customHeight="1">
      <c r="Q839" s="15">
        <f t="shared" si="19"/>
        <v>0</v>
      </c>
      <c r="W839" s="22">
        <f t="shared" si="24"/>
        <v>0</v>
      </c>
      <c r="X839" s="19">
        <f t="shared" si="25"/>
        <v>0</v>
      </c>
    </row>
    <row r="840" ht="15.75" customHeight="1">
      <c r="Q840" s="15">
        <f t="shared" si="19"/>
        <v>0</v>
      </c>
      <c r="W840" s="22">
        <f t="shared" si="24"/>
        <v>0</v>
      </c>
      <c r="X840" s="19">
        <f t="shared" si="25"/>
        <v>0</v>
      </c>
    </row>
    <row r="841" ht="15.75" customHeight="1">
      <c r="Q841" s="15">
        <f t="shared" si="19"/>
        <v>0</v>
      </c>
      <c r="W841" s="22">
        <f t="shared" si="24"/>
        <v>0</v>
      </c>
      <c r="X841" s="19">
        <f t="shared" si="25"/>
        <v>0</v>
      </c>
    </row>
    <row r="842" ht="15.75" customHeight="1">
      <c r="Q842" s="15">
        <f t="shared" si="19"/>
        <v>0</v>
      </c>
      <c r="W842" s="22">
        <f t="shared" si="24"/>
        <v>0</v>
      </c>
      <c r="X842" s="19">
        <f t="shared" si="25"/>
        <v>0</v>
      </c>
    </row>
    <row r="843" ht="15.75" customHeight="1">
      <c r="Q843" s="15">
        <f t="shared" si="19"/>
        <v>0</v>
      </c>
      <c r="W843" s="22">
        <f t="shared" si="24"/>
        <v>0</v>
      </c>
      <c r="X843" s="19">
        <f t="shared" si="25"/>
        <v>0</v>
      </c>
    </row>
    <row r="844" ht="15.75" customHeight="1">
      <c r="Q844" s="15">
        <f t="shared" si="19"/>
        <v>0</v>
      </c>
      <c r="W844" s="22">
        <f t="shared" si="24"/>
        <v>0</v>
      </c>
      <c r="X844" s="19">
        <f t="shared" si="25"/>
        <v>0</v>
      </c>
    </row>
    <row r="845" ht="15.75" customHeight="1">
      <c r="Q845" s="15">
        <f t="shared" si="19"/>
        <v>0</v>
      </c>
      <c r="W845" s="22">
        <f t="shared" si="24"/>
        <v>0</v>
      </c>
      <c r="X845" s="19">
        <f t="shared" si="25"/>
        <v>0</v>
      </c>
    </row>
    <row r="846" ht="15.75" customHeight="1">
      <c r="Q846" s="15">
        <f t="shared" si="19"/>
        <v>0</v>
      </c>
      <c r="W846" s="22">
        <f t="shared" si="24"/>
        <v>0</v>
      </c>
      <c r="X846" s="19">
        <f t="shared" si="25"/>
        <v>0</v>
      </c>
    </row>
    <row r="847" ht="15.75" customHeight="1">
      <c r="Q847" s="15">
        <f t="shared" si="19"/>
        <v>0</v>
      </c>
      <c r="W847" s="22">
        <f t="shared" si="24"/>
        <v>0</v>
      </c>
      <c r="X847" s="19">
        <f t="shared" si="25"/>
        <v>0</v>
      </c>
    </row>
    <row r="848" ht="15.75" customHeight="1">
      <c r="Q848" s="15">
        <f t="shared" si="19"/>
        <v>0</v>
      </c>
      <c r="W848" s="22">
        <f t="shared" si="24"/>
        <v>0</v>
      </c>
      <c r="X848" s="19">
        <f t="shared" si="25"/>
        <v>0</v>
      </c>
    </row>
    <row r="849" ht="15.75" customHeight="1">
      <c r="Q849" s="15">
        <f t="shared" si="19"/>
        <v>0</v>
      </c>
      <c r="W849" s="22">
        <f t="shared" si="24"/>
        <v>0</v>
      </c>
      <c r="X849" s="19">
        <f t="shared" si="25"/>
        <v>0</v>
      </c>
    </row>
    <row r="850" ht="15.75" customHeight="1">
      <c r="Q850" s="15">
        <f t="shared" si="19"/>
        <v>0</v>
      </c>
      <c r="W850" s="22">
        <f t="shared" si="24"/>
        <v>0</v>
      </c>
      <c r="X850" s="19">
        <f t="shared" si="25"/>
        <v>0</v>
      </c>
    </row>
    <row r="851" ht="15.75" customHeight="1">
      <c r="Q851" s="15">
        <f t="shared" si="19"/>
        <v>0</v>
      </c>
      <c r="W851" s="22">
        <f t="shared" si="24"/>
        <v>0</v>
      </c>
      <c r="X851" s="19">
        <f t="shared" si="25"/>
        <v>0</v>
      </c>
    </row>
    <row r="852" ht="15.75" customHeight="1">
      <c r="Q852" s="15">
        <f t="shared" si="19"/>
        <v>0</v>
      </c>
      <c r="W852" s="22">
        <f t="shared" si="24"/>
        <v>0</v>
      </c>
      <c r="X852" s="19">
        <f t="shared" si="25"/>
        <v>0</v>
      </c>
    </row>
    <row r="853" ht="15.75" customHeight="1">
      <c r="Q853" s="15">
        <f t="shared" si="19"/>
        <v>0</v>
      </c>
      <c r="W853" s="22">
        <f t="shared" si="24"/>
        <v>0</v>
      </c>
      <c r="X853" s="19">
        <f t="shared" si="25"/>
        <v>0</v>
      </c>
    </row>
    <row r="854" ht="15.75" customHeight="1">
      <c r="Q854" s="15">
        <f t="shared" si="19"/>
        <v>0</v>
      </c>
      <c r="W854" s="22">
        <f t="shared" si="24"/>
        <v>0</v>
      </c>
      <c r="X854" s="19">
        <f t="shared" si="25"/>
        <v>0</v>
      </c>
    </row>
    <row r="855" ht="15.75" customHeight="1">
      <c r="Q855" s="15">
        <f t="shared" si="19"/>
        <v>0</v>
      </c>
      <c r="W855" s="22">
        <f t="shared" si="24"/>
        <v>0</v>
      </c>
      <c r="X855" s="19">
        <f t="shared" si="25"/>
        <v>0</v>
      </c>
    </row>
    <row r="856" ht="15.75" customHeight="1">
      <c r="Q856" s="15">
        <f t="shared" si="19"/>
        <v>0</v>
      </c>
      <c r="W856" s="22">
        <f t="shared" si="24"/>
        <v>0</v>
      </c>
      <c r="X856" s="19">
        <f t="shared" si="25"/>
        <v>0</v>
      </c>
    </row>
    <row r="857" ht="15.75" customHeight="1">
      <c r="Q857" s="15">
        <f t="shared" si="19"/>
        <v>0</v>
      </c>
      <c r="W857" s="22">
        <f t="shared" si="24"/>
        <v>0</v>
      </c>
      <c r="X857" s="19">
        <f t="shared" si="25"/>
        <v>0</v>
      </c>
    </row>
    <row r="858" ht="15.75" customHeight="1">
      <c r="Q858" s="15">
        <f t="shared" si="19"/>
        <v>0</v>
      </c>
      <c r="W858" s="22">
        <f t="shared" si="24"/>
        <v>0</v>
      </c>
      <c r="X858" s="19">
        <f t="shared" si="25"/>
        <v>0</v>
      </c>
    </row>
    <row r="859" ht="15.75" customHeight="1">
      <c r="Q859" s="15">
        <f t="shared" si="19"/>
        <v>0</v>
      </c>
      <c r="W859" s="22">
        <f t="shared" si="24"/>
        <v>0</v>
      </c>
      <c r="X859" s="19">
        <f t="shared" si="25"/>
        <v>0</v>
      </c>
    </row>
    <row r="860" ht="15.75" customHeight="1">
      <c r="Q860" s="15">
        <f t="shared" si="19"/>
        <v>0</v>
      </c>
      <c r="W860" s="22">
        <f t="shared" si="24"/>
        <v>0</v>
      </c>
      <c r="X860" s="19">
        <f t="shared" si="25"/>
        <v>0</v>
      </c>
    </row>
    <row r="861" ht="15.75" customHeight="1">
      <c r="Q861" s="15">
        <f t="shared" si="19"/>
        <v>0</v>
      </c>
      <c r="W861" s="22">
        <f t="shared" si="24"/>
        <v>0</v>
      </c>
      <c r="X861" s="19">
        <f t="shared" si="25"/>
        <v>0</v>
      </c>
    </row>
    <row r="862" ht="15.75" customHeight="1">
      <c r="Q862" s="15">
        <f t="shared" si="19"/>
        <v>0</v>
      </c>
      <c r="W862" s="22">
        <f t="shared" si="24"/>
        <v>0</v>
      </c>
      <c r="X862" s="19">
        <f t="shared" si="25"/>
        <v>0</v>
      </c>
    </row>
    <row r="863" ht="15.75" customHeight="1">
      <c r="Q863" s="15">
        <f t="shared" si="19"/>
        <v>0</v>
      </c>
      <c r="W863" s="22">
        <f t="shared" si="24"/>
        <v>0</v>
      </c>
      <c r="X863" s="19">
        <f t="shared" si="25"/>
        <v>0</v>
      </c>
    </row>
    <row r="864" ht="15.75" customHeight="1">
      <c r="Q864" s="15">
        <f t="shared" si="19"/>
        <v>0</v>
      </c>
      <c r="W864" s="22">
        <f t="shared" si="24"/>
        <v>0</v>
      </c>
      <c r="X864" s="19">
        <f t="shared" si="25"/>
        <v>0</v>
      </c>
    </row>
    <row r="865" ht="15.75" customHeight="1">
      <c r="Q865" s="15">
        <f t="shared" si="19"/>
        <v>0</v>
      </c>
      <c r="W865" s="22">
        <f t="shared" si="24"/>
        <v>0</v>
      </c>
      <c r="X865" s="19">
        <f t="shared" si="25"/>
        <v>0</v>
      </c>
    </row>
    <row r="866" ht="15.75" customHeight="1">
      <c r="Q866" s="15">
        <f t="shared" si="19"/>
        <v>0</v>
      </c>
      <c r="W866" s="22">
        <f t="shared" si="24"/>
        <v>0</v>
      </c>
      <c r="X866" s="19">
        <f t="shared" si="25"/>
        <v>0</v>
      </c>
    </row>
    <row r="867" ht="15.75" customHeight="1">
      <c r="Q867" s="15">
        <f t="shared" si="19"/>
        <v>0</v>
      </c>
      <c r="W867" s="22">
        <f t="shared" si="24"/>
        <v>0</v>
      </c>
      <c r="X867" s="19">
        <f t="shared" si="25"/>
        <v>0</v>
      </c>
    </row>
    <row r="868" ht="15.75" customHeight="1">
      <c r="Q868" s="15">
        <f t="shared" si="19"/>
        <v>0</v>
      </c>
      <c r="W868" s="22">
        <f t="shared" si="24"/>
        <v>0</v>
      </c>
      <c r="X868" s="19">
        <f t="shared" si="25"/>
        <v>0</v>
      </c>
    </row>
    <row r="869" ht="15.75" customHeight="1">
      <c r="Q869" s="15">
        <f t="shared" si="19"/>
        <v>0</v>
      </c>
      <c r="W869" s="22">
        <f t="shared" si="24"/>
        <v>0</v>
      </c>
      <c r="X869" s="19">
        <f t="shared" si="25"/>
        <v>0</v>
      </c>
    </row>
    <row r="870" ht="15.75" customHeight="1">
      <c r="Q870" s="15">
        <f t="shared" si="19"/>
        <v>0</v>
      </c>
      <c r="W870" s="22">
        <f t="shared" si="24"/>
        <v>0</v>
      </c>
      <c r="X870" s="19">
        <f t="shared" si="25"/>
        <v>0</v>
      </c>
    </row>
    <row r="871" ht="15.75" customHeight="1">
      <c r="Q871" s="15">
        <f t="shared" si="19"/>
        <v>0</v>
      </c>
      <c r="W871" s="22">
        <f t="shared" si="24"/>
        <v>0</v>
      </c>
      <c r="X871" s="19">
        <f t="shared" si="25"/>
        <v>0</v>
      </c>
    </row>
    <row r="872" ht="15.75" customHeight="1">
      <c r="Q872" s="15">
        <f t="shared" si="19"/>
        <v>0</v>
      </c>
      <c r="W872" s="22">
        <f t="shared" si="24"/>
        <v>0</v>
      </c>
      <c r="X872" s="19">
        <f t="shared" si="25"/>
        <v>0</v>
      </c>
    </row>
    <row r="873" ht="15.75" customHeight="1">
      <c r="Q873" s="15">
        <f t="shared" si="19"/>
        <v>0</v>
      </c>
      <c r="W873" s="22">
        <f t="shared" si="24"/>
        <v>0</v>
      </c>
      <c r="X873" s="19">
        <f t="shared" si="25"/>
        <v>0</v>
      </c>
    </row>
    <row r="874" ht="15.75" customHeight="1">
      <c r="Q874" s="15">
        <f t="shared" si="19"/>
        <v>0</v>
      </c>
      <c r="W874" s="22">
        <f t="shared" si="24"/>
        <v>0</v>
      </c>
      <c r="X874" s="19">
        <f t="shared" si="25"/>
        <v>0</v>
      </c>
    </row>
    <row r="875" ht="15.75" customHeight="1">
      <c r="Q875" s="15">
        <f t="shared" si="19"/>
        <v>0</v>
      </c>
      <c r="W875" s="22">
        <f t="shared" si="24"/>
        <v>0</v>
      </c>
      <c r="X875" s="19">
        <f t="shared" si="25"/>
        <v>0</v>
      </c>
    </row>
    <row r="876" ht="15.75" customHeight="1">
      <c r="Q876" s="15">
        <f t="shared" si="19"/>
        <v>0</v>
      </c>
      <c r="W876" s="22">
        <f t="shared" si="24"/>
        <v>0</v>
      </c>
      <c r="X876" s="19">
        <f t="shared" si="25"/>
        <v>0</v>
      </c>
    </row>
    <row r="877" ht="15.75" customHeight="1">
      <c r="Q877" s="15">
        <f t="shared" si="19"/>
        <v>0</v>
      </c>
      <c r="W877" s="22">
        <f t="shared" si="24"/>
        <v>0</v>
      </c>
      <c r="X877" s="19">
        <f t="shared" si="25"/>
        <v>0</v>
      </c>
    </row>
    <row r="878" ht="15.75" customHeight="1">
      <c r="Q878" s="15">
        <f t="shared" si="19"/>
        <v>0</v>
      </c>
      <c r="W878" s="22">
        <f t="shared" si="24"/>
        <v>0</v>
      </c>
      <c r="X878" s="19">
        <f t="shared" si="25"/>
        <v>0</v>
      </c>
    </row>
    <row r="879" ht="15.75" customHeight="1">
      <c r="Q879" s="15">
        <f t="shared" si="19"/>
        <v>0</v>
      </c>
      <c r="W879" s="22">
        <f t="shared" si="24"/>
        <v>0</v>
      </c>
      <c r="X879" s="19">
        <f t="shared" si="25"/>
        <v>0</v>
      </c>
    </row>
    <row r="880" ht="15.75" customHeight="1">
      <c r="Q880" s="15">
        <f t="shared" si="19"/>
        <v>0</v>
      </c>
      <c r="W880" s="22">
        <f t="shared" si="24"/>
        <v>0</v>
      </c>
      <c r="X880" s="19">
        <f t="shared" si="25"/>
        <v>0</v>
      </c>
    </row>
    <row r="881" ht="15.75" customHeight="1">
      <c r="Q881" s="15">
        <f t="shared" si="19"/>
        <v>0</v>
      </c>
      <c r="W881" s="22">
        <f t="shared" si="24"/>
        <v>0</v>
      </c>
      <c r="X881" s="19">
        <f t="shared" si="25"/>
        <v>0</v>
      </c>
    </row>
    <row r="882" ht="15.75" customHeight="1">
      <c r="Q882" s="15">
        <f t="shared" si="19"/>
        <v>0</v>
      </c>
      <c r="W882" s="22">
        <f t="shared" si="24"/>
        <v>0</v>
      </c>
      <c r="X882" s="19">
        <f t="shared" si="25"/>
        <v>0</v>
      </c>
    </row>
    <row r="883" ht="15.75" customHeight="1">
      <c r="Q883" s="15">
        <f t="shared" si="19"/>
        <v>0</v>
      </c>
      <c r="W883" s="22">
        <f t="shared" si="24"/>
        <v>0</v>
      </c>
      <c r="X883" s="19">
        <f t="shared" si="25"/>
        <v>0</v>
      </c>
    </row>
    <row r="884" ht="15.75" customHeight="1">
      <c r="Q884" s="15">
        <f t="shared" si="19"/>
        <v>0</v>
      </c>
      <c r="W884" s="22">
        <f t="shared" si="24"/>
        <v>0</v>
      </c>
      <c r="X884" s="19">
        <f t="shared" si="25"/>
        <v>0</v>
      </c>
    </row>
    <row r="885" ht="15.75" customHeight="1">
      <c r="Q885" s="15">
        <f t="shared" si="19"/>
        <v>0</v>
      </c>
      <c r="W885" s="22">
        <f t="shared" si="24"/>
        <v>0</v>
      </c>
      <c r="X885" s="19">
        <f t="shared" si="25"/>
        <v>0</v>
      </c>
    </row>
    <row r="886" ht="15.75" customHeight="1">
      <c r="Q886" s="15">
        <f t="shared" si="19"/>
        <v>0</v>
      </c>
      <c r="W886" s="22">
        <f t="shared" si="24"/>
        <v>0</v>
      </c>
      <c r="X886" s="19">
        <f t="shared" si="25"/>
        <v>0</v>
      </c>
    </row>
    <row r="887" ht="15.75" customHeight="1">
      <c r="Q887" s="15">
        <f t="shared" si="19"/>
        <v>0</v>
      </c>
      <c r="W887" s="22">
        <f t="shared" si="24"/>
        <v>0</v>
      </c>
      <c r="X887" s="19">
        <f t="shared" si="25"/>
        <v>0</v>
      </c>
    </row>
    <row r="888" ht="15.75" customHeight="1">
      <c r="Q888" s="15">
        <f t="shared" si="19"/>
        <v>0</v>
      </c>
      <c r="W888" s="22">
        <f t="shared" si="24"/>
        <v>0</v>
      </c>
      <c r="X888" s="19">
        <f t="shared" si="25"/>
        <v>0</v>
      </c>
    </row>
    <row r="889" ht="15.75" customHeight="1">
      <c r="Q889" s="15">
        <f t="shared" si="19"/>
        <v>0</v>
      </c>
      <c r="W889" s="22">
        <f t="shared" si="24"/>
        <v>0</v>
      </c>
      <c r="X889" s="19">
        <f t="shared" si="25"/>
        <v>0</v>
      </c>
    </row>
    <row r="890" ht="15.75" customHeight="1">
      <c r="Q890" s="15">
        <f t="shared" si="19"/>
        <v>0</v>
      </c>
      <c r="W890" s="22">
        <f t="shared" si="24"/>
        <v>0</v>
      </c>
      <c r="X890" s="19">
        <f t="shared" si="25"/>
        <v>0</v>
      </c>
    </row>
    <row r="891" ht="15.75" customHeight="1">
      <c r="Q891" s="15">
        <f t="shared" si="19"/>
        <v>0</v>
      </c>
      <c r="W891" s="22">
        <f t="shared" si="24"/>
        <v>0</v>
      </c>
      <c r="X891" s="19">
        <f t="shared" si="25"/>
        <v>0</v>
      </c>
    </row>
    <row r="892" ht="15.75" customHeight="1">
      <c r="Q892" s="15">
        <f t="shared" si="19"/>
        <v>0</v>
      </c>
      <c r="W892" s="22">
        <f t="shared" si="24"/>
        <v>0</v>
      </c>
      <c r="X892" s="19">
        <f t="shared" si="25"/>
        <v>0</v>
      </c>
    </row>
    <row r="893" ht="15.75" customHeight="1">
      <c r="Q893" s="15">
        <f t="shared" si="19"/>
        <v>0</v>
      </c>
      <c r="W893" s="22">
        <f t="shared" si="24"/>
        <v>0</v>
      </c>
      <c r="X893" s="19">
        <f t="shared" si="25"/>
        <v>0</v>
      </c>
    </row>
    <row r="894" ht="15.75" customHeight="1">
      <c r="Q894" s="15">
        <f t="shared" si="19"/>
        <v>0</v>
      </c>
      <c r="W894" s="22">
        <f t="shared" si="24"/>
        <v>0</v>
      </c>
      <c r="X894" s="19">
        <f t="shared" si="25"/>
        <v>0</v>
      </c>
    </row>
    <row r="895" ht="15.75" customHeight="1">
      <c r="Q895" s="15">
        <f t="shared" si="19"/>
        <v>0</v>
      </c>
      <c r="W895" s="22">
        <f t="shared" si="24"/>
        <v>0</v>
      </c>
      <c r="X895" s="19">
        <f t="shared" si="25"/>
        <v>0</v>
      </c>
    </row>
    <row r="896" ht="15.75" customHeight="1">
      <c r="Q896" s="15">
        <f t="shared" si="19"/>
        <v>0</v>
      </c>
      <c r="W896" s="22">
        <f t="shared" si="24"/>
        <v>0</v>
      </c>
      <c r="X896" s="19">
        <f t="shared" si="25"/>
        <v>0</v>
      </c>
    </row>
    <row r="897" ht="15.75" customHeight="1">
      <c r="Q897" s="15">
        <f t="shared" si="19"/>
        <v>0</v>
      </c>
      <c r="W897" s="22">
        <f t="shared" si="24"/>
        <v>0</v>
      </c>
      <c r="X897" s="19">
        <f t="shared" si="25"/>
        <v>0</v>
      </c>
    </row>
    <row r="898" ht="15.75" customHeight="1">
      <c r="Q898" s="15">
        <f t="shared" si="19"/>
        <v>0</v>
      </c>
      <c r="W898" s="22">
        <f t="shared" si="24"/>
        <v>0</v>
      </c>
      <c r="X898" s="19">
        <f t="shared" si="25"/>
        <v>0</v>
      </c>
    </row>
    <row r="899" ht="15.75" customHeight="1">
      <c r="Q899" s="15">
        <f t="shared" si="19"/>
        <v>0</v>
      </c>
      <c r="W899" s="22">
        <f t="shared" si="24"/>
        <v>0</v>
      </c>
      <c r="X899" s="19">
        <f t="shared" si="25"/>
        <v>0</v>
      </c>
    </row>
    <row r="900" ht="15.75" customHeight="1">
      <c r="Q900" s="15">
        <f t="shared" si="19"/>
        <v>0</v>
      </c>
      <c r="W900" s="22">
        <f t="shared" si="24"/>
        <v>0</v>
      </c>
      <c r="X900" s="19">
        <f t="shared" si="25"/>
        <v>0</v>
      </c>
    </row>
    <row r="901" ht="15.75" customHeight="1">
      <c r="Q901" s="15">
        <f t="shared" si="19"/>
        <v>0</v>
      </c>
      <c r="W901" s="22">
        <f t="shared" si="24"/>
        <v>0</v>
      </c>
      <c r="X901" s="19">
        <f t="shared" si="25"/>
        <v>0</v>
      </c>
    </row>
    <row r="902" ht="15.75" customHeight="1">
      <c r="Q902" s="15">
        <f t="shared" si="19"/>
        <v>0</v>
      </c>
      <c r="W902" s="22">
        <f t="shared" si="24"/>
        <v>0</v>
      </c>
      <c r="X902" s="19">
        <f t="shared" si="25"/>
        <v>0</v>
      </c>
    </row>
    <row r="903" ht="15.75" customHeight="1">
      <c r="Q903" s="15">
        <f t="shared" si="19"/>
        <v>0</v>
      </c>
      <c r="W903" s="22">
        <f t="shared" si="24"/>
        <v>0</v>
      </c>
      <c r="X903" s="19">
        <f t="shared" si="25"/>
        <v>0</v>
      </c>
    </row>
    <row r="904" ht="15.75" customHeight="1">
      <c r="Q904" s="15">
        <f t="shared" si="19"/>
        <v>0</v>
      </c>
      <c r="W904" s="22">
        <f t="shared" si="24"/>
        <v>0</v>
      </c>
      <c r="X904" s="19">
        <f t="shared" si="25"/>
        <v>0</v>
      </c>
    </row>
    <row r="905" ht="15.75" customHeight="1">
      <c r="Q905" s="15">
        <f t="shared" si="19"/>
        <v>0</v>
      </c>
      <c r="W905" s="22">
        <f t="shared" si="24"/>
        <v>0</v>
      </c>
      <c r="X905" s="19">
        <f t="shared" si="25"/>
        <v>0</v>
      </c>
    </row>
    <row r="906" ht="15.75" customHeight="1">
      <c r="Q906" s="15">
        <f t="shared" si="19"/>
        <v>0</v>
      </c>
      <c r="W906" s="22">
        <f t="shared" si="24"/>
        <v>0</v>
      </c>
      <c r="X906" s="19">
        <f t="shared" si="25"/>
        <v>0</v>
      </c>
    </row>
    <row r="907" ht="15.75" customHeight="1">
      <c r="Q907" s="15">
        <f t="shared" si="19"/>
        <v>0</v>
      </c>
      <c r="W907" s="22">
        <f t="shared" si="24"/>
        <v>0</v>
      </c>
      <c r="X907" s="19">
        <f t="shared" si="25"/>
        <v>0</v>
      </c>
    </row>
    <row r="908" ht="15.75" customHeight="1">
      <c r="Q908" s="15">
        <f t="shared" si="19"/>
        <v>0</v>
      </c>
      <c r="W908" s="22">
        <f t="shared" si="24"/>
        <v>0</v>
      </c>
      <c r="X908" s="19">
        <f t="shared" si="25"/>
        <v>0</v>
      </c>
    </row>
    <row r="909" ht="15.75" customHeight="1">
      <c r="Q909" s="15">
        <f t="shared" si="19"/>
        <v>0</v>
      </c>
      <c r="W909" s="22">
        <f t="shared" si="24"/>
        <v>0</v>
      </c>
      <c r="X909" s="19">
        <f t="shared" si="25"/>
        <v>0</v>
      </c>
    </row>
    <row r="910" ht="15.75" customHeight="1">
      <c r="Q910" s="15">
        <f t="shared" si="19"/>
        <v>0</v>
      </c>
      <c r="W910" s="22">
        <f t="shared" si="24"/>
        <v>0</v>
      </c>
      <c r="X910" s="19">
        <f t="shared" si="25"/>
        <v>0</v>
      </c>
    </row>
    <row r="911" ht="15.75" customHeight="1">
      <c r="Q911" s="15">
        <f t="shared" si="19"/>
        <v>0</v>
      </c>
      <c r="W911" s="22">
        <f t="shared" si="24"/>
        <v>0</v>
      </c>
      <c r="X911" s="19">
        <f t="shared" si="25"/>
        <v>0</v>
      </c>
    </row>
    <row r="912" ht="15.75" customHeight="1">
      <c r="Q912" s="15">
        <f t="shared" si="19"/>
        <v>0</v>
      </c>
      <c r="W912" s="22">
        <f t="shared" si="24"/>
        <v>0</v>
      </c>
      <c r="X912" s="19">
        <f t="shared" si="25"/>
        <v>0</v>
      </c>
    </row>
    <row r="913" ht="15.75" customHeight="1">
      <c r="Q913" s="15">
        <f t="shared" si="19"/>
        <v>0</v>
      </c>
      <c r="W913" s="22">
        <f t="shared" si="24"/>
        <v>0</v>
      </c>
      <c r="X913" s="19">
        <f t="shared" si="25"/>
        <v>0</v>
      </c>
    </row>
    <row r="914" ht="15.75" customHeight="1">
      <c r="Q914" s="15">
        <f t="shared" si="19"/>
        <v>0</v>
      </c>
      <c r="W914" s="22">
        <f t="shared" si="24"/>
        <v>0</v>
      </c>
      <c r="X914" s="19">
        <f t="shared" si="25"/>
        <v>0</v>
      </c>
    </row>
    <row r="915" ht="15.75" customHeight="1">
      <c r="Q915" s="15">
        <f t="shared" si="19"/>
        <v>0</v>
      </c>
      <c r="W915" s="22">
        <f t="shared" si="24"/>
        <v>0</v>
      </c>
      <c r="X915" s="19">
        <f t="shared" si="25"/>
        <v>0</v>
      </c>
    </row>
    <row r="916" ht="15.75" customHeight="1">
      <c r="Q916" s="15">
        <f t="shared" si="19"/>
        <v>0</v>
      </c>
      <c r="W916" s="22">
        <f t="shared" si="24"/>
        <v>0</v>
      </c>
      <c r="X916" s="19">
        <f t="shared" si="25"/>
        <v>0</v>
      </c>
    </row>
    <row r="917" ht="15.75" customHeight="1">
      <c r="Q917" s="15">
        <f t="shared" si="19"/>
        <v>0</v>
      </c>
      <c r="W917" s="22">
        <f t="shared" si="24"/>
        <v>0</v>
      </c>
      <c r="X917" s="19">
        <f t="shared" si="25"/>
        <v>0</v>
      </c>
    </row>
    <row r="918" ht="15.75" customHeight="1">
      <c r="Q918" s="15">
        <f t="shared" si="19"/>
        <v>0</v>
      </c>
      <c r="W918" s="22">
        <f t="shared" si="24"/>
        <v>0</v>
      </c>
      <c r="X918" s="19">
        <f t="shared" si="25"/>
        <v>0</v>
      </c>
    </row>
    <row r="919" ht="15.75" customHeight="1">
      <c r="Q919" s="15">
        <f t="shared" si="19"/>
        <v>0</v>
      </c>
      <c r="W919" s="22">
        <f t="shared" si="24"/>
        <v>0</v>
      </c>
      <c r="X919" s="19">
        <f t="shared" si="25"/>
        <v>0</v>
      </c>
    </row>
    <row r="920" ht="15.75" customHeight="1">
      <c r="Q920" s="15">
        <f t="shared" si="19"/>
        <v>0</v>
      </c>
      <c r="W920" s="22">
        <f t="shared" si="24"/>
        <v>0</v>
      </c>
      <c r="X920" s="19">
        <f t="shared" si="25"/>
        <v>0</v>
      </c>
    </row>
    <row r="921" ht="15.75" customHeight="1">
      <c r="Q921" s="15">
        <f t="shared" si="19"/>
        <v>0</v>
      </c>
      <c r="W921" s="22">
        <f t="shared" si="24"/>
        <v>0</v>
      </c>
      <c r="X921" s="19">
        <f t="shared" si="25"/>
        <v>0</v>
      </c>
    </row>
    <row r="922" ht="15.75" customHeight="1">
      <c r="Q922" s="15">
        <f t="shared" si="19"/>
        <v>0</v>
      </c>
      <c r="W922" s="22">
        <f t="shared" si="24"/>
        <v>0</v>
      </c>
      <c r="X922" s="19">
        <f t="shared" si="25"/>
        <v>0</v>
      </c>
    </row>
    <row r="923" ht="15.75" customHeight="1">
      <c r="Q923" s="15">
        <f t="shared" si="19"/>
        <v>0</v>
      </c>
      <c r="W923" s="22">
        <f t="shared" si="24"/>
        <v>0</v>
      </c>
      <c r="X923" s="19">
        <f t="shared" si="25"/>
        <v>0</v>
      </c>
    </row>
    <row r="924" ht="15.75" customHeight="1">
      <c r="Q924" s="15">
        <f t="shared" si="19"/>
        <v>0</v>
      </c>
      <c r="W924" s="22">
        <f t="shared" si="24"/>
        <v>0</v>
      </c>
      <c r="X924" s="19">
        <f t="shared" si="25"/>
        <v>0</v>
      </c>
    </row>
    <row r="925" ht="15.75" customHeight="1">
      <c r="Q925" s="15">
        <f t="shared" si="19"/>
        <v>0</v>
      </c>
      <c r="W925" s="22">
        <f t="shared" si="24"/>
        <v>0</v>
      </c>
      <c r="X925" s="19">
        <f t="shared" si="25"/>
        <v>0</v>
      </c>
    </row>
    <row r="926" ht="15.75" customHeight="1">
      <c r="Q926" s="15">
        <f t="shared" si="19"/>
        <v>0</v>
      </c>
      <c r="W926" s="22">
        <f t="shared" si="24"/>
        <v>0</v>
      </c>
      <c r="X926" s="19">
        <f t="shared" si="25"/>
        <v>0</v>
      </c>
    </row>
    <row r="927" ht="15.75" customHeight="1">
      <c r="Q927" s="15">
        <f t="shared" si="19"/>
        <v>0</v>
      </c>
      <c r="W927" s="22">
        <f t="shared" si="24"/>
        <v>0</v>
      </c>
      <c r="X927" s="19">
        <f t="shared" si="25"/>
        <v>0</v>
      </c>
    </row>
    <row r="928" ht="15.75" customHeight="1">
      <c r="Q928" s="15">
        <f t="shared" si="19"/>
        <v>0</v>
      </c>
      <c r="W928" s="22">
        <f t="shared" si="24"/>
        <v>0</v>
      </c>
      <c r="X928" s="19">
        <f t="shared" si="25"/>
        <v>0</v>
      </c>
    </row>
    <row r="929" ht="15.75" customHeight="1">
      <c r="Q929" s="15">
        <f t="shared" si="19"/>
        <v>0</v>
      </c>
      <c r="W929" s="22">
        <f t="shared" si="24"/>
        <v>0</v>
      </c>
      <c r="X929" s="19">
        <f t="shared" si="25"/>
        <v>0</v>
      </c>
    </row>
    <row r="930" ht="15.75" customHeight="1">
      <c r="Q930" s="15">
        <f t="shared" si="19"/>
        <v>0</v>
      </c>
      <c r="W930" s="22">
        <f t="shared" si="24"/>
        <v>0</v>
      </c>
      <c r="X930" s="19">
        <f t="shared" si="25"/>
        <v>0</v>
      </c>
    </row>
    <row r="931" ht="15.75" customHeight="1">
      <c r="Q931" s="15">
        <f t="shared" si="19"/>
        <v>0</v>
      </c>
      <c r="W931" s="22">
        <f t="shared" si="24"/>
        <v>0</v>
      </c>
      <c r="X931" s="19">
        <f t="shared" si="25"/>
        <v>0</v>
      </c>
    </row>
    <row r="932" ht="15.75" customHeight="1">
      <c r="Q932" s="15">
        <f t="shared" si="19"/>
        <v>0</v>
      </c>
      <c r="W932" s="22">
        <f t="shared" si="24"/>
        <v>0</v>
      </c>
      <c r="X932" s="19">
        <f t="shared" si="25"/>
        <v>0</v>
      </c>
    </row>
    <row r="933" ht="15.75" customHeight="1">
      <c r="Q933" s="15">
        <f t="shared" si="19"/>
        <v>0</v>
      </c>
      <c r="W933" s="22">
        <f t="shared" si="24"/>
        <v>0</v>
      </c>
      <c r="X933" s="19">
        <f t="shared" si="25"/>
        <v>0</v>
      </c>
    </row>
    <row r="934" ht="15.75" customHeight="1">
      <c r="Q934" s="15">
        <f t="shared" si="19"/>
        <v>0</v>
      </c>
      <c r="W934" s="22">
        <f t="shared" si="24"/>
        <v>0</v>
      </c>
      <c r="X934" s="19">
        <f t="shared" si="25"/>
        <v>0</v>
      </c>
    </row>
    <row r="935" ht="15.75" customHeight="1">
      <c r="Q935" s="15">
        <f t="shared" si="19"/>
        <v>0</v>
      </c>
      <c r="W935" s="22">
        <f t="shared" si="24"/>
        <v>0</v>
      </c>
      <c r="X935" s="19">
        <f t="shared" si="25"/>
        <v>0</v>
      </c>
    </row>
    <row r="936" ht="15.75" customHeight="1">
      <c r="Q936" s="15">
        <f t="shared" si="19"/>
        <v>0</v>
      </c>
      <c r="W936" s="22">
        <f t="shared" si="24"/>
        <v>0</v>
      </c>
      <c r="X936" s="19">
        <f t="shared" si="25"/>
        <v>0</v>
      </c>
    </row>
    <row r="937" ht="15.75" customHeight="1">
      <c r="Q937" s="15">
        <f t="shared" si="19"/>
        <v>0</v>
      </c>
      <c r="W937" s="22">
        <f t="shared" si="24"/>
        <v>0</v>
      </c>
      <c r="X937" s="19">
        <f t="shared" si="25"/>
        <v>0</v>
      </c>
    </row>
    <row r="938" ht="15.75" customHeight="1">
      <c r="Q938" s="15">
        <f t="shared" si="19"/>
        <v>0</v>
      </c>
      <c r="W938" s="22">
        <f t="shared" si="24"/>
        <v>0</v>
      </c>
      <c r="X938" s="19">
        <f t="shared" si="25"/>
        <v>0</v>
      </c>
    </row>
    <row r="939" ht="15.75" customHeight="1">
      <c r="Q939" s="15">
        <f t="shared" si="19"/>
        <v>0</v>
      </c>
      <c r="W939" s="22">
        <f t="shared" si="24"/>
        <v>0</v>
      </c>
      <c r="X939" s="19">
        <f t="shared" si="25"/>
        <v>0</v>
      </c>
    </row>
    <row r="940" ht="15.75" customHeight="1">
      <c r="Q940" s="15">
        <f t="shared" si="19"/>
        <v>0</v>
      </c>
      <c r="W940" s="22">
        <f t="shared" si="24"/>
        <v>0</v>
      </c>
      <c r="X940" s="19">
        <f t="shared" si="25"/>
        <v>0</v>
      </c>
    </row>
    <row r="941" ht="15.75" customHeight="1">
      <c r="Q941" s="15">
        <f t="shared" si="19"/>
        <v>0</v>
      </c>
      <c r="W941" s="22">
        <f t="shared" si="24"/>
        <v>0</v>
      </c>
      <c r="X941" s="19">
        <f t="shared" si="25"/>
        <v>0</v>
      </c>
    </row>
    <row r="942" ht="15.75" customHeight="1">
      <c r="Q942" s="15">
        <f t="shared" si="19"/>
        <v>0</v>
      </c>
      <c r="W942" s="22">
        <f t="shared" si="24"/>
        <v>0</v>
      </c>
      <c r="X942" s="19">
        <f t="shared" si="25"/>
        <v>0</v>
      </c>
    </row>
    <row r="943" ht="15.75" customHeight="1">
      <c r="Q943" s="15">
        <f t="shared" si="19"/>
        <v>0</v>
      </c>
      <c r="W943" s="22">
        <f t="shared" si="24"/>
        <v>0</v>
      </c>
      <c r="X943" s="19">
        <f t="shared" si="25"/>
        <v>0</v>
      </c>
    </row>
    <row r="944" ht="15.75" customHeight="1">
      <c r="Q944" s="15">
        <f t="shared" si="19"/>
        <v>0</v>
      </c>
      <c r="W944" s="22">
        <f t="shared" si="24"/>
        <v>0</v>
      </c>
      <c r="X944" s="19">
        <f t="shared" si="25"/>
        <v>0</v>
      </c>
    </row>
    <row r="945" ht="15.75" customHeight="1">
      <c r="Q945" s="15">
        <f t="shared" si="19"/>
        <v>0</v>
      </c>
      <c r="W945" s="22">
        <f t="shared" si="24"/>
        <v>0</v>
      </c>
      <c r="X945" s="19">
        <f t="shared" si="25"/>
        <v>0</v>
      </c>
    </row>
    <row r="946" ht="15.75" customHeight="1">
      <c r="Q946" s="15">
        <f t="shared" si="19"/>
        <v>0</v>
      </c>
      <c r="W946" s="22">
        <f t="shared" si="24"/>
        <v>0</v>
      </c>
      <c r="X946" s="19">
        <f t="shared" si="25"/>
        <v>0</v>
      </c>
    </row>
    <row r="947" ht="15.75" customHeight="1">
      <c r="Q947" s="15">
        <f t="shared" si="19"/>
        <v>0</v>
      </c>
      <c r="W947" s="22">
        <f t="shared" si="24"/>
        <v>0</v>
      </c>
      <c r="X947" s="19">
        <f t="shared" si="25"/>
        <v>0</v>
      </c>
    </row>
    <row r="948" ht="15.75" customHeight="1">
      <c r="Q948" s="15">
        <f t="shared" si="19"/>
        <v>0</v>
      </c>
      <c r="W948" s="22">
        <f t="shared" si="24"/>
        <v>0</v>
      </c>
      <c r="X948" s="19">
        <f t="shared" si="25"/>
        <v>0</v>
      </c>
    </row>
    <row r="949" ht="15.75" customHeight="1">
      <c r="Q949" s="15">
        <f t="shared" si="19"/>
        <v>0</v>
      </c>
      <c r="W949" s="22">
        <f t="shared" si="24"/>
        <v>0</v>
      </c>
      <c r="X949" s="19">
        <f t="shared" si="25"/>
        <v>0</v>
      </c>
    </row>
    <row r="950" ht="15.75" customHeight="1">
      <c r="Q950" s="15">
        <f t="shared" si="19"/>
        <v>0</v>
      </c>
      <c r="W950" s="22">
        <f t="shared" si="24"/>
        <v>0</v>
      </c>
      <c r="X950" s="19">
        <f t="shared" si="25"/>
        <v>0</v>
      </c>
    </row>
    <row r="951" ht="15.75" customHeight="1">
      <c r="Q951" s="15">
        <f t="shared" si="19"/>
        <v>0</v>
      </c>
      <c r="W951" s="22">
        <f t="shared" si="24"/>
        <v>0</v>
      </c>
      <c r="X951" s="19">
        <f t="shared" si="25"/>
        <v>0</v>
      </c>
    </row>
    <row r="952" ht="15.75" customHeight="1">
      <c r="Q952" s="15">
        <f t="shared" si="19"/>
        <v>0</v>
      </c>
      <c r="W952" s="22">
        <f t="shared" si="24"/>
        <v>0</v>
      </c>
      <c r="X952" s="19">
        <f t="shared" si="25"/>
        <v>0</v>
      </c>
    </row>
    <row r="953" ht="15.75" customHeight="1">
      <c r="Q953" s="15">
        <f t="shared" si="19"/>
        <v>0</v>
      </c>
      <c r="W953" s="22">
        <f t="shared" si="24"/>
        <v>0</v>
      </c>
      <c r="X953" s="19">
        <f t="shared" si="25"/>
        <v>0</v>
      </c>
    </row>
    <row r="954" ht="15.75" customHeight="1">
      <c r="Q954" s="15">
        <f t="shared" si="19"/>
        <v>0</v>
      </c>
      <c r="W954" s="22">
        <f t="shared" si="24"/>
        <v>0</v>
      </c>
      <c r="X954" s="19">
        <f t="shared" si="25"/>
        <v>0</v>
      </c>
    </row>
    <row r="955" ht="15.75" customHeight="1">
      <c r="Q955" s="15">
        <f t="shared" si="19"/>
        <v>0</v>
      </c>
      <c r="W955" s="22">
        <f t="shared" si="24"/>
        <v>0</v>
      </c>
      <c r="X955" s="19">
        <f t="shared" si="25"/>
        <v>0</v>
      </c>
    </row>
    <row r="956" ht="15.75" customHeight="1">
      <c r="Q956" s="15">
        <f t="shared" si="19"/>
        <v>0</v>
      </c>
      <c r="W956" s="22">
        <f t="shared" si="24"/>
        <v>0</v>
      </c>
      <c r="X956" s="19">
        <f t="shared" si="25"/>
        <v>0</v>
      </c>
    </row>
    <row r="957" ht="15.75" customHeight="1">
      <c r="Q957" s="15">
        <f t="shared" si="19"/>
        <v>0</v>
      </c>
      <c r="W957" s="22">
        <f t="shared" si="24"/>
        <v>0</v>
      </c>
      <c r="X957" s="19">
        <f t="shared" si="25"/>
        <v>0</v>
      </c>
    </row>
    <row r="958" ht="15.75" customHeight="1">
      <c r="Q958" s="15">
        <f t="shared" si="19"/>
        <v>0</v>
      </c>
      <c r="W958" s="22">
        <f t="shared" si="24"/>
        <v>0</v>
      </c>
      <c r="X958" s="19">
        <f t="shared" si="25"/>
        <v>0</v>
      </c>
    </row>
    <row r="959" ht="15.75" customHeight="1">
      <c r="Q959" s="15">
        <f t="shared" si="19"/>
        <v>0</v>
      </c>
      <c r="W959" s="22">
        <f t="shared" si="24"/>
        <v>0</v>
      </c>
      <c r="X959" s="19">
        <f t="shared" si="25"/>
        <v>0</v>
      </c>
    </row>
    <row r="960" ht="15.75" customHeight="1">
      <c r="Q960" s="15">
        <f t="shared" si="19"/>
        <v>0</v>
      </c>
      <c r="W960" s="22">
        <f t="shared" si="24"/>
        <v>0</v>
      </c>
      <c r="X960" s="19">
        <f t="shared" si="25"/>
        <v>0</v>
      </c>
    </row>
    <row r="961" ht="15.75" customHeight="1">
      <c r="Q961" s="15">
        <f t="shared" si="19"/>
        <v>0</v>
      </c>
      <c r="W961" s="22">
        <f t="shared" si="24"/>
        <v>0</v>
      </c>
      <c r="X961" s="19">
        <f t="shared" si="25"/>
        <v>0</v>
      </c>
    </row>
    <row r="962" ht="15.75" customHeight="1">
      <c r="Q962" s="15">
        <f t="shared" si="19"/>
        <v>0</v>
      </c>
      <c r="W962" s="22">
        <f t="shared" si="24"/>
        <v>0</v>
      </c>
      <c r="X962" s="19">
        <f t="shared" si="25"/>
        <v>0</v>
      </c>
    </row>
    <row r="963" ht="15.75" customHeight="1">
      <c r="Q963" s="15">
        <f t="shared" si="19"/>
        <v>0</v>
      </c>
      <c r="W963" s="22">
        <f t="shared" si="24"/>
        <v>0</v>
      </c>
      <c r="X963" s="19">
        <f t="shared" si="25"/>
        <v>0</v>
      </c>
    </row>
    <row r="964" ht="15.75" customHeight="1">
      <c r="Q964" s="15">
        <f t="shared" si="19"/>
        <v>0</v>
      </c>
      <c r="W964" s="22">
        <f t="shared" si="24"/>
        <v>0</v>
      </c>
      <c r="X964" s="19">
        <f t="shared" si="25"/>
        <v>0</v>
      </c>
    </row>
    <row r="965" ht="15.75" customHeight="1">
      <c r="Q965" s="15">
        <f t="shared" si="19"/>
        <v>0</v>
      </c>
      <c r="W965" s="22">
        <f t="shared" si="24"/>
        <v>0</v>
      </c>
      <c r="X965" s="19">
        <f t="shared" si="25"/>
        <v>0</v>
      </c>
    </row>
    <row r="966" ht="15.75" customHeight="1">
      <c r="Q966" s="15">
        <f t="shared" si="19"/>
        <v>0</v>
      </c>
      <c r="W966" s="22">
        <f t="shared" si="24"/>
        <v>0</v>
      </c>
      <c r="X966" s="19">
        <f t="shared" si="25"/>
        <v>0</v>
      </c>
    </row>
    <row r="967" ht="15.75" customHeight="1">
      <c r="Q967" s="15">
        <f t="shared" si="19"/>
        <v>0</v>
      </c>
      <c r="W967" s="22">
        <f t="shared" si="24"/>
        <v>0</v>
      </c>
      <c r="X967" s="19">
        <f t="shared" si="25"/>
        <v>0</v>
      </c>
    </row>
    <row r="968" ht="15.75" customHeight="1">
      <c r="Q968" s="15">
        <f t="shared" si="19"/>
        <v>0</v>
      </c>
      <c r="W968" s="22">
        <f t="shared" si="24"/>
        <v>0</v>
      </c>
      <c r="X968" s="19">
        <f t="shared" si="25"/>
        <v>0</v>
      </c>
    </row>
    <row r="969" ht="15.75" customHeight="1">
      <c r="Q969" s="15">
        <f t="shared" si="19"/>
        <v>0</v>
      </c>
      <c r="W969" s="22">
        <f t="shared" si="24"/>
        <v>0</v>
      </c>
      <c r="X969" s="19">
        <f t="shared" si="25"/>
        <v>0</v>
      </c>
    </row>
    <row r="970" ht="15.75" customHeight="1">
      <c r="Q970" s="15">
        <f t="shared" si="19"/>
        <v>0</v>
      </c>
      <c r="W970" s="22">
        <f t="shared" si="24"/>
        <v>0</v>
      </c>
      <c r="X970" s="19">
        <f t="shared" si="25"/>
        <v>0</v>
      </c>
    </row>
    <row r="971" ht="15.75" customHeight="1">
      <c r="Q971" s="15">
        <f t="shared" si="19"/>
        <v>0</v>
      </c>
      <c r="W971" s="22">
        <f t="shared" si="24"/>
        <v>0</v>
      </c>
      <c r="X971" s="19">
        <f t="shared" si="25"/>
        <v>0</v>
      </c>
    </row>
    <row r="972" ht="15.75" customHeight="1">
      <c r="Q972" s="15">
        <f t="shared" si="19"/>
        <v>0</v>
      </c>
      <c r="W972" s="22">
        <f t="shared" si="24"/>
        <v>0</v>
      </c>
      <c r="X972" s="19">
        <f t="shared" si="25"/>
        <v>0</v>
      </c>
    </row>
    <row r="973" ht="15.75" customHeight="1">
      <c r="Q973" s="15">
        <f t="shared" si="19"/>
        <v>0</v>
      </c>
      <c r="W973" s="22">
        <f t="shared" si="24"/>
        <v>0</v>
      </c>
      <c r="X973" s="19">
        <f t="shared" si="25"/>
        <v>0</v>
      </c>
    </row>
    <row r="974" ht="15.75" customHeight="1">
      <c r="Q974" s="15">
        <f t="shared" si="19"/>
        <v>0</v>
      </c>
      <c r="W974" s="22">
        <f t="shared" si="24"/>
        <v>0</v>
      </c>
      <c r="X974" s="19">
        <f t="shared" si="25"/>
        <v>0</v>
      </c>
    </row>
    <row r="975" ht="15.75" customHeight="1">
      <c r="Q975" s="15">
        <f t="shared" si="19"/>
        <v>0</v>
      </c>
      <c r="W975" s="22">
        <f t="shared" si="24"/>
        <v>0</v>
      </c>
      <c r="X975" s="19">
        <f t="shared" si="25"/>
        <v>0</v>
      </c>
    </row>
    <row r="976" ht="15.75" customHeight="1">
      <c r="Q976" s="15">
        <f t="shared" si="19"/>
        <v>0</v>
      </c>
      <c r="W976" s="22">
        <f t="shared" si="24"/>
        <v>0</v>
      </c>
      <c r="X976" s="19">
        <f t="shared" si="25"/>
        <v>0</v>
      </c>
    </row>
    <row r="977" ht="15.75" customHeight="1">
      <c r="Q977" s="15">
        <f t="shared" si="19"/>
        <v>0</v>
      </c>
      <c r="W977" s="22">
        <f t="shared" si="24"/>
        <v>0</v>
      </c>
      <c r="X977" s="19">
        <f t="shared" si="25"/>
        <v>0</v>
      </c>
    </row>
    <row r="978" ht="15.75" customHeight="1">
      <c r="Q978" s="15">
        <f t="shared" si="19"/>
        <v>0</v>
      </c>
      <c r="W978" s="22">
        <f t="shared" si="24"/>
        <v>0</v>
      </c>
      <c r="X978" s="19">
        <f t="shared" si="25"/>
        <v>0</v>
      </c>
    </row>
    <row r="979" ht="15.75" customHeight="1">
      <c r="Q979" s="15">
        <f t="shared" si="19"/>
        <v>0</v>
      </c>
      <c r="W979" s="22">
        <f t="shared" si="24"/>
        <v>0</v>
      </c>
      <c r="X979" s="19">
        <f t="shared" si="25"/>
        <v>0</v>
      </c>
    </row>
    <row r="980" ht="15.75" customHeight="1">
      <c r="Q980" s="15">
        <f t="shared" si="19"/>
        <v>0</v>
      </c>
      <c r="W980" s="22">
        <f t="shared" si="24"/>
        <v>0</v>
      </c>
      <c r="X980" s="19">
        <f t="shared" si="25"/>
        <v>0</v>
      </c>
    </row>
    <row r="981" ht="15.75" customHeight="1">
      <c r="Q981" s="15">
        <f t="shared" si="19"/>
        <v>0</v>
      </c>
      <c r="W981" s="22">
        <f t="shared" si="24"/>
        <v>0</v>
      </c>
      <c r="X981" s="19">
        <f t="shared" si="25"/>
        <v>0</v>
      </c>
    </row>
    <row r="982" ht="15.75" customHeight="1">
      <c r="Q982" s="15">
        <f t="shared" si="19"/>
        <v>0</v>
      </c>
      <c r="W982" s="22">
        <f t="shared" si="24"/>
        <v>0</v>
      </c>
      <c r="X982" s="19">
        <f t="shared" si="25"/>
        <v>0</v>
      </c>
    </row>
    <row r="983" ht="15.75" customHeight="1">
      <c r="Q983" s="15">
        <f t="shared" si="19"/>
        <v>0</v>
      </c>
      <c r="W983" s="22">
        <f t="shared" si="24"/>
        <v>0</v>
      </c>
      <c r="X983" s="19">
        <f t="shared" si="25"/>
        <v>0</v>
      </c>
    </row>
    <row r="984" ht="15.75" customHeight="1">
      <c r="Q984" s="15">
        <f t="shared" si="19"/>
        <v>0</v>
      </c>
      <c r="W984" s="22">
        <f t="shared" si="24"/>
        <v>0</v>
      </c>
      <c r="X984" s="19">
        <f t="shared" si="25"/>
        <v>0</v>
      </c>
    </row>
    <row r="985" ht="15.75" customHeight="1">
      <c r="Q985" s="15">
        <f t="shared" si="19"/>
        <v>0</v>
      </c>
      <c r="W985" s="22">
        <f t="shared" si="24"/>
        <v>0</v>
      </c>
      <c r="X985" s="19">
        <f t="shared" si="25"/>
        <v>0</v>
      </c>
    </row>
    <row r="986" ht="15.75" customHeight="1">
      <c r="Q986" s="15">
        <f t="shared" si="19"/>
        <v>0</v>
      </c>
      <c r="W986" s="22">
        <f t="shared" si="24"/>
        <v>0</v>
      </c>
      <c r="X986" s="19">
        <f t="shared" si="25"/>
        <v>0</v>
      </c>
    </row>
    <row r="987" ht="15.75" customHeight="1">
      <c r="Q987" s="15">
        <f t="shared" si="19"/>
        <v>0</v>
      </c>
      <c r="W987" s="22">
        <f t="shared" si="24"/>
        <v>0</v>
      </c>
      <c r="X987" s="19">
        <f t="shared" si="25"/>
        <v>0</v>
      </c>
    </row>
    <row r="988" ht="15.75" customHeight="1">
      <c r="Q988" s="15">
        <f t="shared" si="19"/>
        <v>0</v>
      </c>
      <c r="W988" s="22">
        <f t="shared" si="24"/>
        <v>0</v>
      </c>
      <c r="X988" s="19">
        <f t="shared" si="25"/>
        <v>0</v>
      </c>
    </row>
    <row r="989" ht="15.75" customHeight="1">
      <c r="Q989" s="15">
        <f t="shared" si="19"/>
        <v>0</v>
      </c>
      <c r="W989" s="22">
        <f t="shared" si="24"/>
        <v>0</v>
      </c>
      <c r="X989" s="19">
        <f t="shared" si="25"/>
        <v>0</v>
      </c>
    </row>
    <row r="990" ht="15.75" customHeight="1">
      <c r="Q990" s="15">
        <f t="shared" si="19"/>
        <v>0</v>
      </c>
      <c r="W990" s="22">
        <f t="shared" si="24"/>
        <v>0</v>
      </c>
      <c r="X990" s="19">
        <f t="shared" si="25"/>
        <v>0</v>
      </c>
    </row>
    <row r="991" ht="15.75" customHeight="1">
      <c r="Q991" s="15">
        <f t="shared" si="19"/>
        <v>0</v>
      </c>
      <c r="W991" s="22">
        <f t="shared" si="24"/>
        <v>0</v>
      </c>
      <c r="X991" s="19">
        <f t="shared" si="25"/>
        <v>0</v>
      </c>
    </row>
    <row r="992" ht="15.75" customHeight="1">
      <c r="Q992" s="15">
        <f t="shared" si="19"/>
        <v>0</v>
      </c>
      <c r="W992" s="22">
        <f t="shared" si="24"/>
        <v>0</v>
      </c>
      <c r="X992" s="19">
        <f t="shared" si="25"/>
        <v>0</v>
      </c>
    </row>
    <row r="993" ht="15.75" customHeight="1">
      <c r="Q993" s="15">
        <f t="shared" si="19"/>
        <v>0</v>
      </c>
      <c r="W993" s="22">
        <f t="shared" si="24"/>
        <v>0</v>
      </c>
      <c r="X993" s="19">
        <f t="shared" si="25"/>
        <v>0</v>
      </c>
    </row>
    <row r="994" ht="15.75" customHeight="1">
      <c r="Q994" s="15">
        <f t="shared" si="19"/>
        <v>0</v>
      </c>
      <c r="W994" s="22">
        <f t="shared" si="24"/>
        <v>0</v>
      </c>
      <c r="X994" s="19">
        <f t="shared" si="25"/>
        <v>0</v>
      </c>
    </row>
    <row r="995" ht="15.75" customHeight="1">
      <c r="Q995" s="15">
        <f t="shared" si="19"/>
        <v>0</v>
      </c>
      <c r="W995" s="22">
        <f t="shared" si="24"/>
        <v>0</v>
      </c>
      <c r="X995" s="19">
        <f t="shared" si="25"/>
        <v>0</v>
      </c>
    </row>
    <row r="996" ht="15.75" customHeight="1">
      <c r="Q996" s="15">
        <f t="shared" si="19"/>
        <v>0</v>
      </c>
      <c r="W996" s="22">
        <f t="shared" si="24"/>
        <v>0</v>
      </c>
      <c r="X996" s="19">
        <f t="shared" si="25"/>
        <v>0</v>
      </c>
    </row>
    <row r="997" ht="15.75" customHeight="1">
      <c r="Q997" s="15">
        <f t="shared" si="19"/>
        <v>0</v>
      </c>
      <c r="W997" s="22">
        <f t="shared" si="24"/>
        <v>0</v>
      </c>
      <c r="X997" s="19">
        <f t="shared" si="25"/>
        <v>0</v>
      </c>
    </row>
    <row r="998" ht="15.75" customHeight="1">
      <c r="Q998" s="15">
        <f t="shared" si="19"/>
        <v>0</v>
      </c>
      <c r="W998" s="22">
        <f t="shared" si="24"/>
        <v>0</v>
      </c>
      <c r="X998" s="19">
        <f t="shared" si="25"/>
        <v>0</v>
      </c>
    </row>
    <row r="999" ht="15.75" customHeight="1">
      <c r="Q999" s="15">
        <f t="shared" si="19"/>
        <v>0</v>
      </c>
      <c r="W999" s="22">
        <f t="shared" si="24"/>
        <v>0</v>
      </c>
      <c r="X999" s="19">
        <f t="shared" si="25"/>
        <v>0</v>
      </c>
    </row>
    <row r="1000" ht="15.75" customHeight="1">
      <c r="Q1000" s="15">
        <f t="shared" si="19"/>
        <v>0</v>
      </c>
      <c r="W1000" s="22">
        <f t="shared" si="24"/>
        <v>0</v>
      </c>
      <c r="X1000" s="19">
        <f t="shared" si="25"/>
        <v>0</v>
      </c>
    </row>
    <row r="1001" ht="15.75" customHeight="1">
      <c r="Q1001" s="15">
        <f t="shared" si="19"/>
        <v>0</v>
      </c>
      <c r="W1001" s="22">
        <f t="shared" si="24"/>
        <v>0</v>
      </c>
      <c r="X1001" s="19">
        <f t="shared" si="25"/>
        <v>0</v>
      </c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6">
    <mergeCell ref="AA16:AB16"/>
    <mergeCell ref="AA23:AB23"/>
    <mergeCell ref="AA29:AB29"/>
    <mergeCell ref="AA37:AB37"/>
    <mergeCell ref="AA47:AB47"/>
    <mergeCell ref="AA58:AB58"/>
  </mergeCells>
  <dataValidations>
    <dataValidation type="list" allowBlank="1" showErrorMessage="1" sqref="AB7">
      <formula1>"Interior HP 2c walls,Interior Super Paint 2c walls,Interior Duration 2c walls"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23" t="s">
        <v>109</v>
      </c>
      <c r="C2" s="10">
        <v>12.0</v>
      </c>
      <c r="D2" s="10">
        <v>11.0</v>
      </c>
      <c r="E2" s="10">
        <v>8.0</v>
      </c>
      <c r="F2" s="11"/>
      <c r="G2" s="11" t="b">
        <v>1</v>
      </c>
      <c r="H2" s="12" t="b">
        <v>0</v>
      </c>
      <c r="I2" s="3" t="b">
        <v>1</v>
      </c>
      <c r="J2" s="3" t="b">
        <v>0</v>
      </c>
      <c r="K2" s="3" t="b">
        <v>1</v>
      </c>
      <c r="L2" s="8">
        <v>1.0</v>
      </c>
      <c r="M2" s="13">
        <f t="shared" ref="M2:M4" si="1">IF(G2,(C2*E2*2)+(D2*E2*2),0)</f>
        <v>368</v>
      </c>
      <c r="N2" s="13">
        <f t="shared" ref="N2:N4" si="2">IF(H2,C2*D2,0)</f>
        <v>0</v>
      </c>
      <c r="O2" s="13">
        <f t="shared" ref="O2:O4" si="3">(C2+D2)*2</f>
        <v>46</v>
      </c>
      <c r="P2" s="14">
        <f t="shared" ref="P2:P4" si="4">M2*$AB$8</f>
        <v>441.6</v>
      </c>
      <c r="Q2" s="15">
        <f>IFERROR(P2*0.35,0)</f>
        <v>154.56</v>
      </c>
      <c r="R2" s="14">
        <f t="shared" ref="R2:R4" si="5">N2*$AB$9</f>
        <v>0</v>
      </c>
      <c r="S2" s="14">
        <f t="shared" ref="S2:S4" si="6">IF(I2,C2*D2*$AB$13,0)</f>
        <v>1056</v>
      </c>
      <c r="T2" s="14">
        <f t="shared" ref="T2:T4" si="7">F2*$AB$10</f>
        <v>0</v>
      </c>
      <c r="U2" s="14">
        <f t="shared" ref="U2:U4" si="8">IF(K2,IF(L2&gt;0,O2*$AB$11*L2,0),0)</f>
        <v>92</v>
      </c>
      <c r="V2" s="14">
        <f t="shared" ref="V2:V4" si="9">IF(J2,O2*$AB$12,0)</f>
        <v>0</v>
      </c>
      <c r="W2" s="14">
        <f t="shared" ref="W2:W4" si="10">SUM(P2,R2:V2)</f>
        <v>1589.6</v>
      </c>
      <c r="X2" s="16">
        <f t="shared" ref="X2:X4" si="11">IFERROR((W2*$AB$48)/$AB$49,0)</f>
        <v>16.95573333</v>
      </c>
      <c r="AA2" s="18" t="s">
        <v>28</v>
      </c>
      <c r="AB2" s="1">
        <v>1.0</v>
      </c>
      <c r="AC2" s="2" t="s">
        <v>26</v>
      </c>
    </row>
    <row r="3" ht="15.75" customHeight="1">
      <c r="B3" s="23" t="s">
        <v>106</v>
      </c>
      <c r="C3" s="10">
        <v>9.0</v>
      </c>
      <c r="D3" s="10">
        <v>11.0</v>
      </c>
      <c r="E3" s="10">
        <v>8.0</v>
      </c>
      <c r="F3" s="11"/>
      <c r="G3" s="11" t="b">
        <v>1</v>
      </c>
      <c r="H3" s="12" t="b">
        <v>0</v>
      </c>
      <c r="I3" s="3" t="b">
        <v>1</v>
      </c>
      <c r="J3" s="3" t="b">
        <v>0</v>
      </c>
      <c r="K3" s="3" t="b">
        <v>1</v>
      </c>
      <c r="L3" s="8">
        <v>1.0</v>
      </c>
      <c r="M3" s="13">
        <f t="shared" si="1"/>
        <v>320</v>
      </c>
      <c r="N3" s="13">
        <f t="shared" si="2"/>
        <v>0</v>
      </c>
      <c r="O3" s="13">
        <f t="shared" si="3"/>
        <v>40</v>
      </c>
      <c r="P3" s="14">
        <f t="shared" si="4"/>
        <v>384</v>
      </c>
      <c r="Q3" s="15">
        <f t="shared" ref="Q3:Q4" si="12">IFERROR(P3*0.35,0)</f>
        <v>134.4</v>
      </c>
      <c r="R3" s="14">
        <f t="shared" si="5"/>
        <v>0</v>
      </c>
      <c r="S3" s="14">
        <f t="shared" si="6"/>
        <v>792</v>
      </c>
      <c r="T3" s="14">
        <f t="shared" si="7"/>
        <v>0</v>
      </c>
      <c r="U3" s="14">
        <f t="shared" si="8"/>
        <v>80</v>
      </c>
      <c r="V3" s="14">
        <f t="shared" si="9"/>
        <v>0</v>
      </c>
      <c r="W3" s="14">
        <f t="shared" si="10"/>
        <v>1256</v>
      </c>
      <c r="X3" s="19">
        <f t="shared" si="11"/>
        <v>13.39733333</v>
      </c>
      <c r="AA3" s="8" t="s">
        <v>30</v>
      </c>
      <c r="AB3" s="3">
        <v>1.1</v>
      </c>
      <c r="AC3" s="20" t="s">
        <v>26</v>
      </c>
    </row>
    <row r="4" ht="15.75" customHeight="1">
      <c r="B4" s="23" t="s">
        <v>110</v>
      </c>
      <c r="C4" s="10">
        <v>9.0</v>
      </c>
      <c r="D4" s="10">
        <v>11.0</v>
      </c>
      <c r="E4" s="10">
        <v>8.0</v>
      </c>
      <c r="F4" s="11"/>
      <c r="G4" s="11" t="b">
        <v>1</v>
      </c>
      <c r="H4" s="12" t="b">
        <v>0</v>
      </c>
      <c r="I4" s="3" t="b">
        <v>1</v>
      </c>
      <c r="J4" s="3" t="b">
        <v>0</v>
      </c>
      <c r="K4" s="3" t="b">
        <v>1</v>
      </c>
      <c r="L4" s="8">
        <v>1.0</v>
      </c>
      <c r="M4" s="13">
        <f t="shared" si="1"/>
        <v>320</v>
      </c>
      <c r="N4" s="13">
        <f t="shared" si="2"/>
        <v>0</v>
      </c>
      <c r="O4" s="13">
        <f t="shared" si="3"/>
        <v>40</v>
      </c>
      <c r="P4" s="14">
        <f t="shared" si="4"/>
        <v>384</v>
      </c>
      <c r="Q4" s="15">
        <f t="shared" si="12"/>
        <v>134.4</v>
      </c>
      <c r="R4" s="14">
        <f t="shared" si="5"/>
        <v>0</v>
      </c>
      <c r="S4" s="14">
        <f t="shared" si="6"/>
        <v>792</v>
      </c>
      <c r="T4" s="14">
        <f t="shared" si="7"/>
        <v>0</v>
      </c>
      <c r="U4" s="14">
        <f t="shared" si="8"/>
        <v>80</v>
      </c>
      <c r="V4" s="14">
        <f t="shared" si="9"/>
        <v>0</v>
      </c>
      <c r="W4" s="14">
        <f t="shared" si="10"/>
        <v>1256</v>
      </c>
      <c r="X4" s="19">
        <f t="shared" si="11"/>
        <v>13.39733333</v>
      </c>
      <c r="AA4" s="8" t="s">
        <v>31</v>
      </c>
      <c r="AB4" s="3">
        <v>1.2</v>
      </c>
      <c r="AC4" s="20" t="s">
        <v>26</v>
      </c>
    </row>
    <row r="5" ht="15.75" customHeight="1">
      <c r="B5" s="9" t="s">
        <v>111</v>
      </c>
      <c r="C5" s="10">
        <v>5.0</v>
      </c>
      <c r="D5" s="10">
        <v>8.0</v>
      </c>
      <c r="E5" s="10">
        <v>8.0</v>
      </c>
      <c r="F5" s="21"/>
      <c r="G5" s="11" t="b">
        <v>1</v>
      </c>
      <c r="H5" s="12" t="b">
        <v>1</v>
      </c>
      <c r="I5" s="3" t="b">
        <v>1</v>
      </c>
      <c r="J5" s="3" t="b">
        <v>0</v>
      </c>
      <c r="K5" s="3" t="b">
        <v>1</v>
      </c>
      <c r="L5" s="3">
        <v>1.0</v>
      </c>
      <c r="M5" s="13">
        <f t="shared" ref="M5:X5" si="13">M6</f>
        <v>192</v>
      </c>
      <c r="N5" s="13">
        <f t="shared" si="13"/>
        <v>35</v>
      </c>
      <c r="O5" s="13">
        <f t="shared" si="13"/>
        <v>24</v>
      </c>
      <c r="P5" s="14">
        <f t="shared" si="13"/>
        <v>230.4</v>
      </c>
      <c r="Q5" s="15">
        <f t="shared" si="13"/>
        <v>80.64</v>
      </c>
      <c r="R5" s="14">
        <f t="shared" si="13"/>
        <v>42</v>
      </c>
      <c r="S5" s="14">
        <f t="shared" si="13"/>
        <v>280</v>
      </c>
      <c r="T5" s="14">
        <f t="shared" si="13"/>
        <v>0</v>
      </c>
      <c r="U5" s="14">
        <f t="shared" si="13"/>
        <v>48</v>
      </c>
      <c r="V5" s="14">
        <f t="shared" si="13"/>
        <v>0</v>
      </c>
      <c r="W5" s="14">
        <f t="shared" si="13"/>
        <v>600.4</v>
      </c>
      <c r="X5" s="19">
        <f t="shared" si="13"/>
        <v>6.404266667</v>
      </c>
      <c r="AA5" s="8"/>
      <c r="AB5" s="8"/>
      <c r="AC5" s="20"/>
    </row>
    <row r="6" ht="15.75" customHeight="1">
      <c r="B6" s="23" t="s">
        <v>105</v>
      </c>
      <c r="C6" s="10">
        <v>7.0</v>
      </c>
      <c r="D6" s="10">
        <v>5.0</v>
      </c>
      <c r="E6" s="10">
        <v>8.0</v>
      </c>
      <c r="F6" s="21"/>
      <c r="G6" s="11" t="b">
        <v>1</v>
      </c>
      <c r="H6" s="12" t="b">
        <v>1</v>
      </c>
      <c r="I6" s="3" t="b">
        <v>1</v>
      </c>
      <c r="J6" s="3" t="b">
        <v>0</v>
      </c>
      <c r="K6" s="3" t="b">
        <v>1</v>
      </c>
      <c r="L6" s="8">
        <v>1.0</v>
      </c>
      <c r="M6" s="13">
        <f t="shared" ref="M6:M50" si="14">IF(G6,(C6*E6*2)+(D6*E6*2),0)</f>
        <v>192</v>
      </c>
      <c r="N6" s="13">
        <f t="shared" ref="N6:N50" si="15">IF(H6,C6*D6,0)</f>
        <v>35</v>
      </c>
      <c r="O6" s="13">
        <f t="shared" ref="O6:O50" si="16">(C6+D6)*2</f>
        <v>24</v>
      </c>
      <c r="P6" s="14">
        <f t="shared" ref="P6:P50" si="17">M6*$AB$8</f>
        <v>230.4</v>
      </c>
      <c r="Q6" s="15">
        <f t="shared" ref="Q6:Q1001" si="18">IFERROR(P6*0.35,0)</f>
        <v>80.64</v>
      </c>
      <c r="R6" s="14">
        <f t="shared" ref="R6:R50" si="19">N6*$AB$9</f>
        <v>42</v>
      </c>
      <c r="S6" s="14">
        <f t="shared" ref="S6:S50" si="20">IF(I6,C6*D6*$AB$13,0)</f>
        <v>280</v>
      </c>
      <c r="T6" s="14">
        <f t="shared" ref="T6:T50" si="21">F6*$AB$10</f>
        <v>0</v>
      </c>
      <c r="U6" s="14">
        <f t="shared" ref="U6:U50" si="22">IF(K6,IF(L6&gt;0,O6*$AB$11*L6,0),0)</f>
        <v>48</v>
      </c>
      <c r="V6" s="14">
        <f t="shared" ref="V6:V50" si="23">IF(J6,O6*$AB$12,0)</f>
        <v>0</v>
      </c>
      <c r="W6" s="14">
        <f t="shared" ref="W6:W1001" si="24">SUM(P6,R6:V6)</f>
        <v>600.4</v>
      </c>
      <c r="X6" s="19">
        <f t="shared" ref="X6:X1001" si="25">IFERROR((W6*$AB$48)/$AB$49,0)</f>
        <v>6.404266667</v>
      </c>
      <c r="AA6" s="8" t="s">
        <v>26</v>
      </c>
      <c r="AB6" s="8" t="s">
        <v>26</v>
      </c>
      <c r="AC6" s="20" t="s">
        <v>26</v>
      </c>
    </row>
    <row r="7" ht="15.75" customHeight="1">
      <c r="B7" s="23" t="s">
        <v>104</v>
      </c>
      <c r="C7" s="10">
        <v>15.0</v>
      </c>
      <c r="D7" s="10">
        <v>3.0</v>
      </c>
      <c r="E7" s="10">
        <v>8.0</v>
      </c>
      <c r="F7" s="21"/>
      <c r="G7" s="11" t="b">
        <v>1</v>
      </c>
      <c r="H7" s="12" t="b">
        <v>0</v>
      </c>
      <c r="I7" s="3" t="b">
        <v>1</v>
      </c>
      <c r="J7" s="3" t="b">
        <v>0</v>
      </c>
      <c r="K7" s="3" t="b">
        <v>1</v>
      </c>
      <c r="L7" s="8">
        <v>1.0</v>
      </c>
      <c r="M7" s="13">
        <f t="shared" si="14"/>
        <v>288</v>
      </c>
      <c r="N7" s="13">
        <f t="shared" si="15"/>
        <v>0</v>
      </c>
      <c r="O7" s="13">
        <f t="shared" si="16"/>
        <v>36</v>
      </c>
      <c r="P7" s="14">
        <f t="shared" si="17"/>
        <v>345.6</v>
      </c>
      <c r="Q7" s="15">
        <f t="shared" si="18"/>
        <v>120.96</v>
      </c>
      <c r="R7" s="14">
        <f t="shared" si="19"/>
        <v>0</v>
      </c>
      <c r="S7" s="14">
        <f t="shared" si="20"/>
        <v>360</v>
      </c>
      <c r="T7" s="14">
        <f t="shared" si="21"/>
        <v>0</v>
      </c>
      <c r="U7" s="14">
        <f t="shared" si="22"/>
        <v>72</v>
      </c>
      <c r="V7" s="14">
        <f t="shared" si="23"/>
        <v>0</v>
      </c>
      <c r="W7" s="14">
        <f t="shared" si="24"/>
        <v>777.6</v>
      </c>
      <c r="X7" s="19">
        <f t="shared" si="25"/>
        <v>8.2944</v>
      </c>
      <c r="AA7" s="8" t="s">
        <v>34</v>
      </c>
      <c r="AB7" s="3" t="s">
        <v>31</v>
      </c>
      <c r="AC7" s="20" t="s">
        <v>26</v>
      </c>
    </row>
    <row r="8" ht="15.75" customHeight="1">
      <c r="B8" s="23" t="s">
        <v>112</v>
      </c>
      <c r="C8" s="11">
        <v>17.0</v>
      </c>
      <c r="D8" s="11">
        <v>11.0</v>
      </c>
      <c r="E8" s="11">
        <v>8.0</v>
      </c>
      <c r="F8" s="21"/>
      <c r="G8" s="11" t="b">
        <v>1</v>
      </c>
      <c r="H8" s="12" t="b">
        <v>0</v>
      </c>
      <c r="I8" s="3" t="b">
        <v>1</v>
      </c>
      <c r="J8" s="3" t="b">
        <v>0</v>
      </c>
      <c r="K8" s="3" t="b">
        <v>1</v>
      </c>
      <c r="L8" s="8">
        <v>1.0</v>
      </c>
      <c r="M8" s="13">
        <f t="shared" si="14"/>
        <v>448</v>
      </c>
      <c r="N8" s="13">
        <f t="shared" si="15"/>
        <v>0</v>
      </c>
      <c r="O8" s="13">
        <f t="shared" si="16"/>
        <v>56</v>
      </c>
      <c r="P8" s="14">
        <f t="shared" si="17"/>
        <v>537.6</v>
      </c>
      <c r="Q8" s="15">
        <f t="shared" si="18"/>
        <v>188.16</v>
      </c>
      <c r="R8" s="14">
        <f t="shared" si="19"/>
        <v>0</v>
      </c>
      <c r="S8" s="14">
        <f t="shared" si="20"/>
        <v>1496</v>
      </c>
      <c r="T8" s="14">
        <f t="shared" si="21"/>
        <v>0</v>
      </c>
      <c r="U8" s="14">
        <f t="shared" si="22"/>
        <v>112</v>
      </c>
      <c r="V8" s="14">
        <f t="shared" si="23"/>
        <v>0</v>
      </c>
      <c r="W8" s="14">
        <f t="shared" si="24"/>
        <v>2145.6</v>
      </c>
      <c r="X8" s="19">
        <f t="shared" si="25"/>
        <v>22.8864</v>
      </c>
      <c r="AA8" s="8" t="s">
        <v>36</v>
      </c>
      <c r="AB8" s="22">
        <f>IFERROR(VLOOKUP(AB7,AA2:AB4,2,FALSE),0)</f>
        <v>1.2</v>
      </c>
      <c r="AC8" s="20" t="s">
        <v>26</v>
      </c>
    </row>
    <row r="9" ht="15.75" customHeight="1">
      <c r="B9" s="23" t="s">
        <v>113</v>
      </c>
      <c r="C9" s="11">
        <v>9.0</v>
      </c>
      <c r="D9" s="11">
        <v>11.0</v>
      </c>
      <c r="E9" s="11">
        <v>8.0</v>
      </c>
      <c r="F9" s="21"/>
      <c r="G9" s="11" t="b">
        <v>1</v>
      </c>
      <c r="H9" s="12" t="b">
        <v>0</v>
      </c>
      <c r="I9" s="3" t="b">
        <v>1</v>
      </c>
      <c r="J9" s="3" t="b">
        <v>0</v>
      </c>
      <c r="K9" s="3" t="b">
        <v>1</v>
      </c>
      <c r="L9" s="8">
        <v>1.0</v>
      </c>
      <c r="M9" s="13">
        <f t="shared" si="14"/>
        <v>320</v>
      </c>
      <c r="N9" s="13">
        <f t="shared" si="15"/>
        <v>0</v>
      </c>
      <c r="O9" s="13">
        <f t="shared" si="16"/>
        <v>40</v>
      </c>
      <c r="P9" s="14">
        <f t="shared" si="17"/>
        <v>384</v>
      </c>
      <c r="Q9" s="15">
        <f t="shared" si="18"/>
        <v>134.4</v>
      </c>
      <c r="R9" s="14">
        <f t="shared" si="19"/>
        <v>0</v>
      </c>
      <c r="S9" s="14">
        <f t="shared" si="20"/>
        <v>792</v>
      </c>
      <c r="T9" s="14">
        <f t="shared" si="21"/>
        <v>0</v>
      </c>
      <c r="U9" s="14">
        <f t="shared" si="22"/>
        <v>80</v>
      </c>
      <c r="V9" s="14">
        <f t="shared" si="23"/>
        <v>0</v>
      </c>
      <c r="W9" s="14">
        <f t="shared" si="24"/>
        <v>1256</v>
      </c>
      <c r="X9" s="19">
        <f t="shared" si="25"/>
        <v>13.39733333</v>
      </c>
      <c r="AA9" s="8" t="s">
        <v>38</v>
      </c>
      <c r="AB9" s="3">
        <v>1.2</v>
      </c>
      <c r="AC9" s="20" t="s">
        <v>26</v>
      </c>
    </row>
    <row r="10" ht="15.75" customHeight="1">
      <c r="B10" s="23" t="s">
        <v>114</v>
      </c>
      <c r="C10" s="11">
        <v>7.0</v>
      </c>
      <c r="D10" s="11">
        <v>6.0</v>
      </c>
      <c r="E10" s="11">
        <v>11.0</v>
      </c>
      <c r="F10" s="21"/>
      <c r="G10" s="11" t="b">
        <v>1</v>
      </c>
      <c r="H10" s="12" t="b">
        <v>0</v>
      </c>
      <c r="I10" s="3" t="b">
        <v>1</v>
      </c>
      <c r="J10" s="3" t="b">
        <v>0</v>
      </c>
      <c r="K10" s="3" t="b">
        <v>1</v>
      </c>
      <c r="L10" s="8">
        <v>1.0</v>
      </c>
      <c r="M10" s="13">
        <f t="shared" si="14"/>
        <v>286</v>
      </c>
      <c r="N10" s="13">
        <f t="shared" si="15"/>
        <v>0</v>
      </c>
      <c r="O10" s="13">
        <f t="shared" si="16"/>
        <v>26</v>
      </c>
      <c r="P10" s="14">
        <f t="shared" si="17"/>
        <v>343.2</v>
      </c>
      <c r="Q10" s="15">
        <f t="shared" si="18"/>
        <v>120.12</v>
      </c>
      <c r="R10" s="14">
        <f t="shared" si="19"/>
        <v>0</v>
      </c>
      <c r="S10" s="14">
        <f t="shared" si="20"/>
        <v>336</v>
      </c>
      <c r="T10" s="14">
        <f t="shared" si="21"/>
        <v>0</v>
      </c>
      <c r="U10" s="14">
        <f t="shared" si="22"/>
        <v>52</v>
      </c>
      <c r="V10" s="14">
        <f t="shared" si="23"/>
        <v>0</v>
      </c>
      <c r="W10" s="14">
        <f t="shared" si="24"/>
        <v>731.2</v>
      </c>
      <c r="X10" s="19">
        <f t="shared" si="25"/>
        <v>7.799466667</v>
      </c>
      <c r="AA10" s="8" t="s">
        <v>40</v>
      </c>
      <c r="AB10" s="3">
        <v>90.0</v>
      </c>
      <c r="AC10" s="24" t="s">
        <v>26</v>
      </c>
    </row>
    <row r="11" ht="15.75" customHeight="1">
      <c r="B11" s="59" t="s">
        <v>47</v>
      </c>
      <c r="C11" s="11">
        <v>13.0</v>
      </c>
      <c r="D11" s="11">
        <v>11.0</v>
      </c>
      <c r="E11" s="11">
        <v>8.0</v>
      </c>
      <c r="F11" s="21"/>
      <c r="G11" s="11" t="b">
        <v>1</v>
      </c>
      <c r="H11" s="12" t="b">
        <v>1</v>
      </c>
      <c r="I11" s="3" t="b">
        <v>1</v>
      </c>
      <c r="J11" s="3" t="b">
        <v>0</v>
      </c>
      <c r="K11" s="3" t="b">
        <v>1</v>
      </c>
      <c r="L11" s="8">
        <v>1.0</v>
      </c>
      <c r="M11" s="13">
        <f t="shared" si="14"/>
        <v>384</v>
      </c>
      <c r="N11" s="13">
        <f t="shared" si="15"/>
        <v>143</v>
      </c>
      <c r="O11" s="13">
        <f t="shared" si="16"/>
        <v>48</v>
      </c>
      <c r="P11" s="14">
        <f t="shared" si="17"/>
        <v>460.8</v>
      </c>
      <c r="Q11" s="15">
        <f t="shared" si="18"/>
        <v>161.28</v>
      </c>
      <c r="R11" s="14">
        <f t="shared" si="19"/>
        <v>171.6</v>
      </c>
      <c r="S11" s="14">
        <f t="shared" si="20"/>
        <v>1144</v>
      </c>
      <c r="T11" s="14">
        <f t="shared" si="21"/>
        <v>0</v>
      </c>
      <c r="U11" s="14">
        <f t="shared" si="22"/>
        <v>96</v>
      </c>
      <c r="V11" s="14">
        <f t="shared" si="23"/>
        <v>0</v>
      </c>
      <c r="W11" s="14">
        <f t="shared" si="24"/>
        <v>1872.4</v>
      </c>
      <c r="X11" s="19">
        <f t="shared" si="25"/>
        <v>19.97226667</v>
      </c>
      <c r="AA11" s="8" t="s">
        <v>42</v>
      </c>
      <c r="AB11" s="8">
        <v>2.0</v>
      </c>
    </row>
    <row r="12" ht="15.75" customHeight="1">
      <c r="B12" s="60"/>
      <c r="C12" s="11"/>
      <c r="D12" s="11"/>
      <c r="E12" s="11"/>
      <c r="F12" s="21"/>
      <c r="G12" s="11" t="b">
        <v>0</v>
      </c>
      <c r="H12" s="12" t="b">
        <v>0</v>
      </c>
      <c r="I12" s="8" t="b">
        <v>0</v>
      </c>
      <c r="J12" s="3" t="b">
        <v>0</v>
      </c>
      <c r="K12" s="3" t="b">
        <v>0</v>
      </c>
      <c r="L12" s="8">
        <v>1.0</v>
      </c>
      <c r="M12" s="13">
        <f t="shared" si="14"/>
        <v>0</v>
      </c>
      <c r="N12" s="13">
        <f t="shared" si="15"/>
        <v>0</v>
      </c>
      <c r="O12" s="13">
        <f t="shared" si="16"/>
        <v>0</v>
      </c>
      <c r="P12" s="14">
        <f t="shared" si="17"/>
        <v>0</v>
      </c>
      <c r="Q12" s="15">
        <f t="shared" si="18"/>
        <v>0</v>
      </c>
      <c r="R12" s="14">
        <f t="shared" si="19"/>
        <v>0</v>
      </c>
      <c r="S12" s="14">
        <f t="shared" si="20"/>
        <v>0</v>
      </c>
      <c r="T12" s="14">
        <f t="shared" si="21"/>
        <v>0</v>
      </c>
      <c r="U12" s="14">
        <f t="shared" si="22"/>
        <v>0</v>
      </c>
      <c r="V12" s="14">
        <f t="shared" si="23"/>
        <v>0</v>
      </c>
      <c r="W12" s="14">
        <f t="shared" si="24"/>
        <v>0</v>
      </c>
      <c r="X12" s="19">
        <f t="shared" si="25"/>
        <v>0</v>
      </c>
      <c r="AA12" s="8" t="s">
        <v>44</v>
      </c>
      <c r="AB12" s="3">
        <v>1.1</v>
      </c>
    </row>
    <row r="13" ht="15.75" customHeight="1">
      <c r="B13" s="61"/>
      <c r="C13" s="11"/>
      <c r="D13" s="11"/>
      <c r="E13" s="11"/>
      <c r="F13" s="21"/>
      <c r="G13" s="11" t="b">
        <v>0</v>
      </c>
      <c r="H13" s="12" t="b">
        <v>0</v>
      </c>
      <c r="I13" s="3" t="b">
        <v>0</v>
      </c>
      <c r="J13" s="3" t="b">
        <v>0</v>
      </c>
      <c r="K13" s="3" t="b">
        <v>0</v>
      </c>
      <c r="L13" s="8">
        <v>1.0</v>
      </c>
      <c r="M13" s="13">
        <f t="shared" si="14"/>
        <v>0</v>
      </c>
      <c r="N13" s="13">
        <f t="shared" si="15"/>
        <v>0</v>
      </c>
      <c r="O13" s="13">
        <f t="shared" si="16"/>
        <v>0</v>
      </c>
      <c r="P13" s="14">
        <f t="shared" si="17"/>
        <v>0</v>
      </c>
      <c r="Q13" s="15">
        <f t="shared" si="18"/>
        <v>0</v>
      </c>
      <c r="R13" s="14">
        <f t="shared" si="19"/>
        <v>0</v>
      </c>
      <c r="S13" s="14">
        <f t="shared" si="20"/>
        <v>0</v>
      </c>
      <c r="T13" s="14">
        <f t="shared" si="21"/>
        <v>0</v>
      </c>
      <c r="U13" s="14">
        <f t="shared" si="22"/>
        <v>0</v>
      </c>
      <c r="V13" s="14">
        <f t="shared" si="23"/>
        <v>0</v>
      </c>
      <c r="W13" s="14">
        <f t="shared" si="24"/>
        <v>0</v>
      </c>
      <c r="X13" s="19">
        <f t="shared" si="25"/>
        <v>0</v>
      </c>
      <c r="AA13" s="8" t="s">
        <v>46</v>
      </c>
      <c r="AB13" s="3">
        <v>8.0</v>
      </c>
    </row>
    <row r="14" ht="21.0" customHeight="1">
      <c r="B14" s="60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4"/>
        <v>0</v>
      </c>
      <c r="N14" s="13">
        <f t="shared" si="15"/>
        <v>0</v>
      </c>
      <c r="O14" s="13">
        <f t="shared" si="16"/>
        <v>0</v>
      </c>
      <c r="P14" s="14">
        <f t="shared" si="17"/>
        <v>0</v>
      </c>
      <c r="Q14" s="15">
        <f t="shared" si="18"/>
        <v>0</v>
      </c>
      <c r="R14" s="14">
        <f t="shared" si="19"/>
        <v>0</v>
      </c>
      <c r="S14" s="14">
        <f t="shared" si="20"/>
        <v>0</v>
      </c>
      <c r="T14" s="14">
        <f t="shared" si="21"/>
        <v>0</v>
      </c>
      <c r="U14" s="14">
        <f t="shared" si="22"/>
        <v>0</v>
      </c>
      <c r="V14" s="14">
        <f t="shared" si="23"/>
        <v>0</v>
      </c>
      <c r="W14" s="14">
        <f t="shared" si="24"/>
        <v>0</v>
      </c>
      <c r="X14" s="19">
        <f t="shared" si="25"/>
        <v>0</v>
      </c>
      <c r="AA14" s="3" t="s">
        <v>48</v>
      </c>
      <c r="AB14" s="3">
        <v>185.0</v>
      </c>
    </row>
    <row r="15" ht="15.75" customHeight="1">
      <c r="B15" s="6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4"/>
        <v>0</v>
      </c>
      <c r="N15" s="13">
        <f t="shared" si="15"/>
        <v>0</v>
      </c>
      <c r="O15" s="13">
        <f t="shared" si="16"/>
        <v>0</v>
      </c>
      <c r="P15" s="14">
        <f t="shared" si="17"/>
        <v>0</v>
      </c>
      <c r="Q15" s="15">
        <f t="shared" si="18"/>
        <v>0</v>
      </c>
      <c r="R15" s="14">
        <f t="shared" si="19"/>
        <v>0</v>
      </c>
      <c r="S15" s="14">
        <f t="shared" si="20"/>
        <v>0</v>
      </c>
      <c r="T15" s="14">
        <f t="shared" si="21"/>
        <v>0</v>
      </c>
      <c r="U15" s="14">
        <f t="shared" si="22"/>
        <v>0</v>
      </c>
      <c r="V15" s="14">
        <f t="shared" si="23"/>
        <v>0</v>
      </c>
      <c r="W15" s="14">
        <f t="shared" si="24"/>
        <v>0</v>
      </c>
      <c r="X15" s="19">
        <f t="shared" si="25"/>
        <v>0</v>
      </c>
    </row>
    <row r="16" ht="15.75" customHeight="1">
      <c r="B16" s="60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4"/>
        <v>0</v>
      </c>
      <c r="N16" s="13">
        <f t="shared" si="15"/>
        <v>0</v>
      </c>
      <c r="O16" s="13">
        <f t="shared" si="16"/>
        <v>0</v>
      </c>
      <c r="P16" s="14">
        <f t="shared" si="17"/>
        <v>0</v>
      </c>
      <c r="Q16" s="15">
        <f t="shared" si="18"/>
        <v>0</v>
      </c>
      <c r="R16" s="14">
        <f t="shared" si="19"/>
        <v>0</v>
      </c>
      <c r="S16" s="14">
        <f t="shared" si="20"/>
        <v>0</v>
      </c>
      <c r="T16" s="14">
        <f t="shared" si="21"/>
        <v>0</v>
      </c>
      <c r="U16" s="14">
        <f t="shared" si="22"/>
        <v>0</v>
      </c>
      <c r="V16" s="14">
        <f t="shared" si="23"/>
        <v>0</v>
      </c>
      <c r="W16" s="14">
        <f t="shared" si="24"/>
        <v>0</v>
      </c>
      <c r="X16" s="19">
        <f t="shared" si="25"/>
        <v>0</v>
      </c>
      <c r="AA16" s="25" t="s">
        <v>51</v>
      </c>
      <c r="AB16" s="26"/>
    </row>
    <row r="17" ht="15.75" customHeight="1">
      <c r="A17" s="27"/>
      <c r="B17" s="61"/>
      <c r="C17" s="11"/>
      <c r="D17" s="11"/>
      <c r="E17" s="11"/>
      <c r="F17" s="21"/>
      <c r="G17" s="11" t="b">
        <v>0</v>
      </c>
      <c r="H17" s="12" t="b">
        <v>0</v>
      </c>
      <c r="I17" s="8" t="b">
        <v>0</v>
      </c>
      <c r="J17" s="3" t="b">
        <v>0</v>
      </c>
      <c r="K17" s="3" t="b">
        <v>0</v>
      </c>
      <c r="L17" s="8">
        <v>1.0</v>
      </c>
      <c r="M17" s="13">
        <f t="shared" si="14"/>
        <v>0</v>
      </c>
      <c r="N17" s="13">
        <f t="shared" si="15"/>
        <v>0</v>
      </c>
      <c r="O17" s="13">
        <f t="shared" si="16"/>
        <v>0</v>
      </c>
      <c r="P17" s="14">
        <f t="shared" si="17"/>
        <v>0</v>
      </c>
      <c r="Q17" s="15">
        <f t="shared" si="18"/>
        <v>0</v>
      </c>
      <c r="R17" s="14">
        <f t="shared" si="19"/>
        <v>0</v>
      </c>
      <c r="S17" s="14">
        <f t="shared" si="20"/>
        <v>0</v>
      </c>
      <c r="T17" s="14">
        <f t="shared" si="21"/>
        <v>0</v>
      </c>
      <c r="U17" s="14">
        <f t="shared" si="22"/>
        <v>0</v>
      </c>
      <c r="V17" s="14">
        <f t="shared" si="23"/>
        <v>0</v>
      </c>
      <c r="W17" s="14">
        <f t="shared" si="24"/>
        <v>0</v>
      </c>
      <c r="X17" s="19">
        <f t="shared" si="25"/>
        <v>0</v>
      </c>
      <c r="AA17" s="28" t="s">
        <v>52</v>
      </c>
      <c r="AB17" s="29">
        <f>SUM(M2:M1001)</f>
        <v>3118</v>
      </c>
    </row>
    <row r="18" ht="15.75" customHeight="1">
      <c r="A18" s="21">
        <v>16.0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4"/>
        <v>0</v>
      </c>
      <c r="N18" s="13">
        <f t="shared" si="15"/>
        <v>0</v>
      </c>
      <c r="O18" s="13">
        <f t="shared" si="16"/>
        <v>0</v>
      </c>
      <c r="P18" s="14">
        <f t="shared" si="17"/>
        <v>0</v>
      </c>
      <c r="Q18" s="15">
        <f t="shared" si="18"/>
        <v>0</v>
      </c>
      <c r="R18" s="14">
        <f t="shared" si="19"/>
        <v>0</v>
      </c>
      <c r="S18" s="14">
        <f t="shared" si="20"/>
        <v>0</v>
      </c>
      <c r="T18" s="14">
        <f t="shared" si="21"/>
        <v>0</v>
      </c>
      <c r="U18" s="14">
        <f t="shared" si="22"/>
        <v>0</v>
      </c>
      <c r="V18" s="14">
        <f t="shared" si="23"/>
        <v>0</v>
      </c>
      <c r="W18" s="14">
        <f t="shared" si="24"/>
        <v>0</v>
      </c>
      <c r="X18" s="19">
        <f t="shared" si="25"/>
        <v>0</v>
      </c>
      <c r="AA18" s="28" t="s">
        <v>54</v>
      </c>
      <c r="AB18" s="29">
        <f>SUM(N2:N1001)</f>
        <v>213</v>
      </c>
    </row>
    <row r="19" ht="15.75" customHeight="1">
      <c r="A19" s="21">
        <v>17.0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4"/>
        <v>0</v>
      </c>
      <c r="N19" s="13">
        <f t="shared" si="15"/>
        <v>0</v>
      </c>
      <c r="O19" s="13">
        <f t="shared" si="16"/>
        <v>0</v>
      </c>
      <c r="P19" s="14">
        <f t="shared" si="17"/>
        <v>0</v>
      </c>
      <c r="Q19" s="15">
        <f t="shared" si="18"/>
        <v>0</v>
      </c>
      <c r="R19" s="14">
        <f t="shared" si="19"/>
        <v>0</v>
      </c>
      <c r="S19" s="14">
        <f t="shared" si="20"/>
        <v>0</v>
      </c>
      <c r="T19" s="14">
        <f t="shared" si="21"/>
        <v>0</v>
      </c>
      <c r="U19" s="14">
        <f t="shared" si="22"/>
        <v>0</v>
      </c>
      <c r="V19" s="14">
        <f t="shared" si="23"/>
        <v>0</v>
      </c>
      <c r="W19" s="14">
        <f t="shared" si="24"/>
        <v>0</v>
      </c>
      <c r="X19" s="19">
        <f t="shared" si="25"/>
        <v>0</v>
      </c>
      <c r="AA19" s="28" t="s">
        <v>56</v>
      </c>
      <c r="AB19" s="29">
        <f>SUM(F2:F1001)</f>
        <v>0</v>
      </c>
    </row>
    <row r="20" ht="18.0" customHeight="1">
      <c r="A20" s="21">
        <v>18.0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4"/>
        <v>0</v>
      </c>
      <c r="N20" s="13">
        <f t="shared" si="15"/>
        <v>0</v>
      </c>
      <c r="O20" s="13">
        <f t="shared" si="16"/>
        <v>0</v>
      </c>
      <c r="P20" s="14">
        <f t="shared" si="17"/>
        <v>0</v>
      </c>
      <c r="Q20" s="15">
        <f t="shared" si="18"/>
        <v>0</v>
      </c>
      <c r="R20" s="14">
        <f t="shared" si="19"/>
        <v>0</v>
      </c>
      <c r="S20" s="14">
        <f t="shared" si="20"/>
        <v>0</v>
      </c>
      <c r="T20" s="14">
        <f t="shared" si="21"/>
        <v>0</v>
      </c>
      <c r="U20" s="14">
        <f t="shared" si="22"/>
        <v>0</v>
      </c>
      <c r="V20" s="14">
        <f t="shared" si="23"/>
        <v>0</v>
      </c>
      <c r="W20" s="14">
        <f t="shared" si="24"/>
        <v>0</v>
      </c>
      <c r="X20" s="19">
        <f t="shared" si="25"/>
        <v>0</v>
      </c>
      <c r="AA20" s="28" t="s">
        <v>58</v>
      </c>
      <c r="AB20" s="30">
        <f>SUMPRODUCT((K2:K1001=TRUE)*(L2:L1001&gt;0)*O2:O1001)</f>
        <v>380</v>
      </c>
    </row>
    <row r="21" ht="21.0" customHeight="1">
      <c r="A21" s="31">
        <v>19.0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4"/>
        <v>0</v>
      </c>
      <c r="N21" s="13">
        <f t="shared" si="15"/>
        <v>0</v>
      </c>
      <c r="O21" s="13">
        <f t="shared" si="16"/>
        <v>0</v>
      </c>
      <c r="P21" s="14">
        <f t="shared" si="17"/>
        <v>0</v>
      </c>
      <c r="Q21" s="15">
        <f t="shared" si="18"/>
        <v>0</v>
      </c>
      <c r="R21" s="14">
        <f t="shared" si="19"/>
        <v>0</v>
      </c>
      <c r="S21" s="14">
        <f t="shared" si="20"/>
        <v>0</v>
      </c>
      <c r="T21" s="14">
        <f t="shared" si="21"/>
        <v>0</v>
      </c>
      <c r="U21" s="14">
        <f t="shared" si="22"/>
        <v>0</v>
      </c>
      <c r="V21" s="14">
        <f t="shared" si="23"/>
        <v>0</v>
      </c>
      <c r="W21" s="14">
        <f t="shared" si="24"/>
        <v>0</v>
      </c>
      <c r="X21" s="19">
        <f t="shared" si="25"/>
        <v>0</v>
      </c>
      <c r="AA21" s="32" t="s">
        <v>60</v>
      </c>
      <c r="AB21" s="33">
        <f>SUMPRODUCT((J2:J1001=TRUE)*O2:O1001)</f>
        <v>0</v>
      </c>
    </row>
    <row r="22" ht="15.75" customHeight="1">
      <c r="A22" s="31">
        <v>20.0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4"/>
        <v>0</v>
      </c>
      <c r="N22" s="13">
        <f t="shared" si="15"/>
        <v>0</v>
      </c>
      <c r="O22" s="13">
        <f t="shared" si="16"/>
        <v>0</v>
      </c>
      <c r="P22" s="14">
        <f t="shared" si="17"/>
        <v>0</v>
      </c>
      <c r="Q22" s="15">
        <f t="shared" si="18"/>
        <v>0</v>
      </c>
      <c r="R22" s="14">
        <f t="shared" si="19"/>
        <v>0</v>
      </c>
      <c r="S22" s="14">
        <f t="shared" si="20"/>
        <v>0</v>
      </c>
      <c r="T22" s="14">
        <f t="shared" si="21"/>
        <v>0</v>
      </c>
      <c r="U22" s="14">
        <f t="shared" si="22"/>
        <v>0</v>
      </c>
      <c r="V22" s="14">
        <f t="shared" si="23"/>
        <v>0</v>
      </c>
      <c r="W22" s="14">
        <f t="shared" si="24"/>
        <v>0</v>
      </c>
      <c r="X22" s="19">
        <f t="shared" si="25"/>
        <v>0</v>
      </c>
      <c r="AA22" s="34" t="s">
        <v>26</v>
      </c>
      <c r="AB22" s="34" t="s">
        <v>26</v>
      </c>
    </row>
    <row r="23" ht="15.75" customHeight="1">
      <c r="A23" s="31">
        <v>21.0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4"/>
        <v>0</v>
      </c>
      <c r="N23" s="13">
        <f t="shared" si="15"/>
        <v>0</v>
      </c>
      <c r="O23" s="13">
        <f t="shared" si="16"/>
        <v>0</v>
      </c>
      <c r="P23" s="14">
        <f t="shared" si="17"/>
        <v>0</v>
      </c>
      <c r="Q23" s="15">
        <f t="shared" si="18"/>
        <v>0</v>
      </c>
      <c r="R23" s="14">
        <f t="shared" si="19"/>
        <v>0</v>
      </c>
      <c r="S23" s="14">
        <f t="shared" si="20"/>
        <v>0</v>
      </c>
      <c r="T23" s="14">
        <f t="shared" si="21"/>
        <v>0</v>
      </c>
      <c r="U23" s="14">
        <f t="shared" si="22"/>
        <v>0</v>
      </c>
      <c r="V23" s="14">
        <f t="shared" si="23"/>
        <v>0</v>
      </c>
      <c r="W23" s="14">
        <f t="shared" si="24"/>
        <v>0</v>
      </c>
      <c r="X23" s="19">
        <f t="shared" si="25"/>
        <v>0</v>
      </c>
      <c r="AA23" s="25" t="s">
        <v>61</v>
      </c>
      <c r="AB23" s="26"/>
    </row>
    <row r="24" ht="15.75" customHeight="1">
      <c r="A24" s="31">
        <v>22.0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4"/>
        <v>0</v>
      </c>
      <c r="N24" s="13">
        <f t="shared" si="15"/>
        <v>0</v>
      </c>
      <c r="O24" s="13">
        <f t="shared" si="16"/>
        <v>0</v>
      </c>
      <c r="P24" s="14">
        <f t="shared" si="17"/>
        <v>0</v>
      </c>
      <c r="Q24" s="15">
        <f t="shared" si="18"/>
        <v>0</v>
      </c>
      <c r="R24" s="14">
        <f t="shared" si="19"/>
        <v>0</v>
      </c>
      <c r="S24" s="14">
        <f t="shared" si="20"/>
        <v>0</v>
      </c>
      <c r="T24" s="14">
        <f t="shared" si="21"/>
        <v>0</v>
      </c>
      <c r="U24" s="14">
        <f t="shared" si="22"/>
        <v>0</v>
      </c>
      <c r="V24" s="14">
        <f t="shared" si="23"/>
        <v>0</v>
      </c>
      <c r="W24" s="14">
        <f t="shared" si="24"/>
        <v>0</v>
      </c>
      <c r="X24" s="19">
        <f t="shared" si="25"/>
        <v>0</v>
      </c>
      <c r="AA24" s="28" t="s">
        <v>62</v>
      </c>
      <c r="AB24" s="35">
        <v>350.0</v>
      </c>
    </row>
    <row r="25" ht="15.75" customHeight="1">
      <c r="A25" s="11">
        <v>23.0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4"/>
        <v>0</v>
      </c>
      <c r="N25" s="13">
        <f t="shared" si="15"/>
        <v>0</v>
      </c>
      <c r="O25" s="13">
        <f t="shared" si="16"/>
        <v>0</v>
      </c>
      <c r="P25" s="14">
        <f t="shared" si="17"/>
        <v>0</v>
      </c>
      <c r="Q25" s="15">
        <f t="shared" si="18"/>
        <v>0</v>
      </c>
      <c r="R25" s="14">
        <f t="shared" si="19"/>
        <v>0</v>
      </c>
      <c r="S25" s="14">
        <f t="shared" si="20"/>
        <v>0</v>
      </c>
      <c r="T25" s="14">
        <f t="shared" si="21"/>
        <v>0</v>
      </c>
      <c r="U25" s="14">
        <f t="shared" si="22"/>
        <v>0</v>
      </c>
      <c r="V25" s="14">
        <f t="shared" si="23"/>
        <v>0</v>
      </c>
      <c r="W25" s="14">
        <f t="shared" si="24"/>
        <v>0</v>
      </c>
      <c r="X25" s="19">
        <f t="shared" si="25"/>
        <v>0</v>
      </c>
      <c r="AA25" s="28" t="s">
        <v>63</v>
      </c>
      <c r="AB25" s="35">
        <v>40.0</v>
      </c>
    </row>
    <row r="26" ht="12.75" customHeight="1">
      <c r="A26" s="11">
        <v>24.0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4"/>
        <v>0</v>
      </c>
      <c r="N26" s="13">
        <f t="shared" si="15"/>
        <v>0</v>
      </c>
      <c r="O26" s="13">
        <f t="shared" si="16"/>
        <v>0</v>
      </c>
      <c r="P26" s="14">
        <f t="shared" si="17"/>
        <v>0</v>
      </c>
      <c r="Q26" s="15">
        <f t="shared" si="18"/>
        <v>0</v>
      </c>
      <c r="R26" s="14">
        <f t="shared" si="19"/>
        <v>0</v>
      </c>
      <c r="S26" s="14">
        <f t="shared" si="20"/>
        <v>0</v>
      </c>
      <c r="T26" s="14">
        <f t="shared" si="21"/>
        <v>0</v>
      </c>
      <c r="U26" s="14">
        <f t="shared" si="22"/>
        <v>0</v>
      </c>
      <c r="V26" s="14">
        <f t="shared" si="23"/>
        <v>0</v>
      </c>
      <c r="W26" s="14">
        <f t="shared" si="24"/>
        <v>0</v>
      </c>
      <c r="X26" s="19">
        <f t="shared" si="25"/>
        <v>0</v>
      </c>
      <c r="AA26" s="28" t="s">
        <v>64</v>
      </c>
      <c r="AB26" s="35">
        <v>5.0</v>
      </c>
    </row>
    <row r="27" ht="21.0" customHeight="1">
      <c r="A27" s="31">
        <v>25.0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4"/>
        <v>0</v>
      </c>
      <c r="N27" s="13">
        <f t="shared" si="15"/>
        <v>0</v>
      </c>
      <c r="O27" s="13">
        <f t="shared" si="16"/>
        <v>0</v>
      </c>
      <c r="P27" s="14">
        <f t="shared" si="17"/>
        <v>0</v>
      </c>
      <c r="Q27" s="15">
        <f t="shared" si="18"/>
        <v>0</v>
      </c>
      <c r="R27" s="14">
        <f t="shared" si="19"/>
        <v>0</v>
      </c>
      <c r="S27" s="14">
        <f t="shared" si="20"/>
        <v>0</v>
      </c>
      <c r="T27" s="14">
        <f t="shared" si="21"/>
        <v>0</v>
      </c>
      <c r="U27" s="14">
        <f t="shared" si="22"/>
        <v>0</v>
      </c>
      <c r="V27" s="14">
        <f t="shared" si="23"/>
        <v>0</v>
      </c>
      <c r="W27" s="14">
        <f t="shared" si="24"/>
        <v>0</v>
      </c>
      <c r="X27" s="19">
        <f t="shared" si="25"/>
        <v>0</v>
      </c>
      <c r="AA27" s="32" t="s">
        <v>65</v>
      </c>
      <c r="AB27" s="36">
        <v>4.0</v>
      </c>
    </row>
    <row r="28" ht="15.75" customHeight="1">
      <c r="A28" s="31">
        <v>26.0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4"/>
        <v>0</v>
      </c>
      <c r="N28" s="13">
        <f t="shared" si="15"/>
        <v>0</v>
      </c>
      <c r="O28" s="13">
        <f t="shared" si="16"/>
        <v>0</v>
      </c>
      <c r="P28" s="14">
        <f t="shared" si="17"/>
        <v>0</v>
      </c>
      <c r="Q28" s="15">
        <f t="shared" si="18"/>
        <v>0</v>
      </c>
      <c r="R28" s="14">
        <f t="shared" si="19"/>
        <v>0</v>
      </c>
      <c r="S28" s="14">
        <f t="shared" si="20"/>
        <v>0</v>
      </c>
      <c r="T28" s="14">
        <f t="shared" si="21"/>
        <v>0</v>
      </c>
      <c r="U28" s="14">
        <f t="shared" si="22"/>
        <v>0</v>
      </c>
      <c r="V28" s="14">
        <f t="shared" si="23"/>
        <v>0</v>
      </c>
      <c r="W28" s="14">
        <f t="shared" si="24"/>
        <v>0</v>
      </c>
      <c r="X28" s="19">
        <f t="shared" si="25"/>
        <v>0</v>
      </c>
      <c r="AA28" s="34" t="s">
        <v>26</v>
      </c>
      <c r="AB28" s="34" t="s">
        <v>26</v>
      </c>
    </row>
    <row r="29" ht="15.75" customHeight="1">
      <c r="A29" s="31">
        <v>27.0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4"/>
        <v>0</v>
      </c>
      <c r="N29" s="13">
        <f t="shared" si="15"/>
        <v>0</v>
      </c>
      <c r="O29" s="13">
        <f t="shared" si="16"/>
        <v>0</v>
      </c>
      <c r="P29" s="14">
        <f t="shared" si="17"/>
        <v>0</v>
      </c>
      <c r="Q29" s="15">
        <f t="shared" si="18"/>
        <v>0</v>
      </c>
      <c r="R29" s="14">
        <f t="shared" si="19"/>
        <v>0</v>
      </c>
      <c r="S29" s="14">
        <f t="shared" si="20"/>
        <v>0</v>
      </c>
      <c r="T29" s="14">
        <f t="shared" si="21"/>
        <v>0</v>
      </c>
      <c r="U29" s="14">
        <f t="shared" si="22"/>
        <v>0</v>
      </c>
      <c r="V29" s="14">
        <f t="shared" si="23"/>
        <v>0</v>
      </c>
      <c r="W29" s="14">
        <f t="shared" si="24"/>
        <v>0</v>
      </c>
      <c r="X29" s="19">
        <f t="shared" si="25"/>
        <v>0</v>
      </c>
      <c r="AA29" s="25" t="s">
        <v>66</v>
      </c>
      <c r="AB29" s="26"/>
    </row>
    <row r="30" ht="15.75" customHeight="1">
      <c r="A30" s="31">
        <v>28.0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4"/>
        <v>0</v>
      </c>
      <c r="N30" s="13">
        <f t="shared" si="15"/>
        <v>0</v>
      </c>
      <c r="O30" s="13">
        <f t="shared" si="16"/>
        <v>0</v>
      </c>
      <c r="P30" s="14">
        <f t="shared" si="17"/>
        <v>0</v>
      </c>
      <c r="Q30" s="15">
        <f t="shared" si="18"/>
        <v>0</v>
      </c>
      <c r="R30" s="14">
        <f t="shared" si="19"/>
        <v>0</v>
      </c>
      <c r="S30" s="14">
        <f t="shared" si="20"/>
        <v>0</v>
      </c>
      <c r="T30" s="14">
        <f t="shared" si="21"/>
        <v>0</v>
      </c>
      <c r="U30" s="14">
        <f t="shared" si="22"/>
        <v>0</v>
      </c>
      <c r="V30" s="14">
        <f t="shared" si="23"/>
        <v>0</v>
      </c>
      <c r="W30" s="14">
        <f t="shared" si="24"/>
        <v>0</v>
      </c>
      <c r="X30" s="19">
        <f t="shared" si="25"/>
        <v>0</v>
      </c>
      <c r="AA30" s="37" t="s">
        <v>67</v>
      </c>
      <c r="AB30" s="30">
        <v>2.0</v>
      </c>
    </row>
    <row r="31" ht="15.75" customHeight="1">
      <c r="A31" s="31">
        <v>29.0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4"/>
        <v>0</v>
      </c>
      <c r="N31" s="13">
        <f t="shared" si="15"/>
        <v>0</v>
      </c>
      <c r="O31" s="13">
        <f t="shared" si="16"/>
        <v>0</v>
      </c>
      <c r="P31" s="14">
        <f t="shared" si="17"/>
        <v>0</v>
      </c>
      <c r="Q31" s="15">
        <f t="shared" si="18"/>
        <v>0</v>
      </c>
      <c r="R31" s="14">
        <f t="shared" si="19"/>
        <v>0</v>
      </c>
      <c r="S31" s="14">
        <f t="shared" si="20"/>
        <v>0</v>
      </c>
      <c r="T31" s="14">
        <f t="shared" si="21"/>
        <v>0</v>
      </c>
      <c r="U31" s="14">
        <f t="shared" si="22"/>
        <v>0</v>
      </c>
      <c r="V31" s="14">
        <f t="shared" si="23"/>
        <v>0</v>
      </c>
      <c r="W31" s="14">
        <f t="shared" si="24"/>
        <v>0</v>
      </c>
      <c r="X31" s="19">
        <f t="shared" si="25"/>
        <v>0</v>
      </c>
      <c r="AA31" s="37" t="s">
        <v>68</v>
      </c>
      <c r="AB31" s="30">
        <f>IFERROR(AB18/AB24,0)</f>
        <v>0.6085714286</v>
      </c>
    </row>
    <row r="32" ht="15.75" customHeight="1">
      <c r="A32" s="31">
        <v>30.0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4"/>
        <v>0</v>
      </c>
      <c r="N32" s="13">
        <f t="shared" si="15"/>
        <v>0</v>
      </c>
      <c r="O32" s="13">
        <f t="shared" si="16"/>
        <v>0</v>
      </c>
      <c r="P32" s="14">
        <f t="shared" si="17"/>
        <v>0</v>
      </c>
      <c r="Q32" s="15">
        <f t="shared" si="18"/>
        <v>0</v>
      </c>
      <c r="R32" s="14">
        <f t="shared" si="19"/>
        <v>0</v>
      </c>
      <c r="S32" s="14">
        <f t="shared" si="20"/>
        <v>0</v>
      </c>
      <c r="T32" s="14">
        <f t="shared" si="21"/>
        <v>0</v>
      </c>
      <c r="U32" s="14">
        <f t="shared" si="22"/>
        <v>0</v>
      </c>
      <c r="V32" s="14">
        <f t="shared" si="23"/>
        <v>0</v>
      </c>
      <c r="W32" s="14">
        <f t="shared" si="24"/>
        <v>0</v>
      </c>
      <c r="X32" s="19">
        <f t="shared" si="25"/>
        <v>0</v>
      </c>
      <c r="AA32" s="37" t="s">
        <v>69</v>
      </c>
      <c r="AB32" s="29">
        <f>IFERROR((AB19*AB25)/AB24,0)</f>
        <v>0</v>
      </c>
    </row>
    <row r="33">
      <c r="A33" s="31">
        <v>31.0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4"/>
        <v>0</v>
      </c>
      <c r="N33" s="13">
        <f t="shared" si="15"/>
        <v>0</v>
      </c>
      <c r="O33" s="13">
        <f t="shared" si="16"/>
        <v>0</v>
      </c>
      <c r="P33" s="14">
        <f t="shared" si="17"/>
        <v>0</v>
      </c>
      <c r="Q33" s="15">
        <f t="shared" si="18"/>
        <v>0</v>
      </c>
      <c r="R33" s="14">
        <f t="shared" si="19"/>
        <v>0</v>
      </c>
      <c r="S33" s="14">
        <f t="shared" si="20"/>
        <v>0</v>
      </c>
      <c r="T33" s="14">
        <f t="shared" si="21"/>
        <v>0</v>
      </c>
      <c r="U33" s="14">
        <f t="shared" si="22"/>
        <v>0</v>
      </c>
      <c r="V33" s="14">
        <f t="shared" si="23"/>
        <v>0</v>
      </c>
      <c r="W33" s="14">
        <f t="shared" si="24"/>
        <v>0</v>
      </c>
      <c r="X33" s="19">
        <f t="shared" si="25"/>
        <v>0</v>
      </c>
      <c r="AA33" s="37" t="s">
        <v>70</v>
      </c>
      <c r="AB33" s="30">
        <v>1.5</v>
      </c>
    </row>
    <row r="34">
      <c r="A34" s="31">
        <v>32.0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4"/>
        <v>0</v>
      </c>
      <c r="N34" s="13">
        <f t="shared" si="15"/>
        <v>0</v>
      </c>
      <c r="O34" s="13">
        <f t="shared" si="16"/>
        <v>0</v>
      </c>
      <c r="P34" s="14">
        <f t="shared" si="17"/>
        <v>0</v>
      </c>
      <c r="Q34" s="15">
        <f t="shared" si="18"/>
        <v>0</v>
      </c>
      <c r="R34" s="14">
        <f t="shared" si="19"/>
        <v>0</v>
      </c>
      <c r="S34" s="14">
        <f t="shared" si="20"/>
        <v>0</v>
      </c>
      <c r="T34" s="14">
        <f t="shared" si="21"/>
        <v>0</v>
      </c>
      <c r="U34" s="14">
        <f t="shared" si="22"/>
        <v>0</v>
      </c>
      <c r="V34" s="14">
        <f t="shared" si="23"/>
        <v>0</v>
      </c>
      <c r="W34" s="14">
        <f t="shared" si="24"/>
        <v>0</v>
      </c>
      <c r="X34" s="19">
        <f t="shared" si="25"/>
        <v>0</v>
      </c>
      <c r="AA34" s="32" t="s">
        <v>71</v>
      </c>
      <c r="AB34" s="33">
        <f>IFERROR((AB21*(AB27/12))/AB24,0)</f>
        <v>0</v>
      </c>
    </row>
    <row r="35" ht="15.75" customHeight="1">
      <c r="A35" s="31">
        <v>33.0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4"/>
        <v>0</v>
      </c>
      <c r="N35" s="13">
        <f t="shared" si="15"/>
        <v>0</v>
      </c>
      <c r="O35" s="13">
        <f t="shared" si="16"/>
        <v>0</v>
      </c>
      <c r="P35" s="14">
        <f t="shared" si="17"/>
        <v>0</v>
      </c>
      <c r="Q35" s="15">
        <f t="shared" si="18"/>
        <v>0</v>
      </c>
      <c r="R35" s="14">
        <f t="shared" si="19"/>
        <v>0</v>
      </c>
      <c r="S35" s="14">
        <f t="shared" si="20"/>
        <v>0</v>
      </c>
      <c r="T35" s="14">
        <f t="shared" si="21"/>
        <v>0</v>
      </c>
      <c r="U35" s="14">
        <f t="shared" si="22"/>
        <v>0</v>
      </c>
      <c r="V35" s="14">
        <f t="shared" si="23"/>
        <v>0</v>
      </c>
      <c r="W35" s="14">
        <f t="shared" si="24"/>
        <v>0</v>
      </c>
      <c r="X35" s="19">
        <f t="shared" si="25"/>
        <v>0</v>
      </c>
      <c r="AA35" s="38" t="s">
        <v>21</v>
      </c>
      <c r="AB35" s="39">
        <f>SUM(AB30:AB34)</f>
        <v>4.108571429</v>
      </c>
    </row>
    <row r="36" ht="15.75" customHeight="1">
      <c r="A36" s="31">
        <v>34.0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4"/>
        <v>0</v>
      </c>
      <c r="N36" s="13">
        <f t="shared" si="15"/>
        <v>0</v>
      </c>
      <c r="O36" s="13">
        <f t="shared" si="16"/>
        <v>0</v>
      </c>
      <c r="P36" s="14">
        <f t="shared" si="17"/>
        <v>0</v>
      </c>
      <c r="Q36" s="15">
        <f t="shared" si="18"/>
        <v>0</v>
      </c>
      <c r="R36" s="14">
        <f t="shared" si="19"/>
        <v>0</v>
      </c>
      <c r="S36" s="14">
        <f t="shared" si="20"/>
        <v>0</v>
      </c>
      <c r="T36" s="14">
        <f t="shared" si="21"/>
        <v>0</v>
      </c>
      <c r="U36" s="14">
        <f t="shared" si="22"/>
        <v>0</v>
      </c>
      <c r="V36" s="14">
        <f t="shared" si="23"/>
        <v>0</v>
      </c>
      <c r="W36" s="14">
        <f t="shared" si="24"/>
        <v>0</v>
      </c>
      <c r="X36" s="19">
        <f t="shared" si="25"/>
        <v>0</v>
      </c>
    </row>
    <row r="37" ht="15.75" customHeight="1">
      <c r="A37" s="31">
        <v>35.0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4"/>
        <v>0</v>
      </c>
      <c r="N37" s="13">
        <f t="shared" si="15"/>
        <v>0</v>
      </c>
      <c r="O37" s="13">
        <f t="shared" si="16"/>
        <v>0</v>
      </c>
      <c r="P37" s="14">
        <f t="shared" si="17"/>
        <v>0</v>
      </c>
      <c r="Q37" s="15">
        <f t="shared" si="18"/>
        <v>0</v>
      </c>
      <c r="R37" s="14">
        <f t="shared" si="19"/>
        <v>0</v>
      </c>
      <c r="S37" s="14">
        <f t="shared" si="20"/>
        <v>0</v>
      </c>
      <c r="T37" s="14">
        <f t="shared" si="21"/>
        <v>0</v>
      </c>
      <c r="U37" s="14">
        <f t="shared" si="22"/>
        <v>0</v>
      </c>
      <c r="V37" s="14">
        <f t="shared" si="23"/>
        <v>0</v>
      </c>
      <c r="W37" s="14">
        <f t="shared" si="24"/>
        <v>0</v>
      </c>
      <c r="X37" s="19">
        <f t="shared" si="25"/>
        <v>0</v>
      </c>
      <c r="AA37" s="25" t="s">
        <v>72</v>
      </c>
      <c r="AB37" s="26"/>
    </row>
    <row r="38" ht="15.75" customHeight="1">
      <c r="A38" s="31">
        <v>36.0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4"/>
        <v>0</v>
      </c>
      <c r="N38" s="13">
        <f t="shared" si="15"/>
        <v>0</v>
      </c>
      <c r="O38" s="13">
        <f t="shared" si="16"/>
        <v>0</v>
      </c>
      <c r="P38" s="14">
        <f t="shared" si="17"/>
        <v>0</v>
      </c>
      <c r="Q38" s="15">
        <f t="shared" si="18"/>
        <v>0</v>
      </c>
      <c r="R38" s="14">
        <f t="shared" si="19"/>
        <v>0</v>
      </c>
      <c r="S38" s="14">
        <f t="shared" si="20"/>
        <v>0</v>
      </c>
      <c r="T38" s="14">
        <f t="shared" si="21"/>
        <v>0</v>
      </c>
      <c r="U38" s="14">
        <f t="shared" si="22"/>
        <v>0</v>
      </c>
      <c r="V38" s="14">
        <f t="shared" si="23"/>
        <v>0</v>
      </c>
      <c r="W38" s="14">
        <f t="shared" si="24"/>
        <v>0</v>
      </c>
      <c r="X38" s="19">
        <f t="shared" si="25"/>
        <v>0</v>
      </c>
      <c r="AA38" s="37" t="s">
        <v>73</v>
      </c>
      <c r="AB38" s="40">
        <f>COUNTIF(C2:C1001,"&gt;0")</f>
        <v>10</v>
      </c>
    </row>
    <row r="39" ht="15.75" customHeight="1">
      <c r="A39" s="31">
        <v>37.0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4"/>
        <v>0</v>
      </c>
      <c r="N39" s="13">
        <f t="shared" si="15"/>
        <v>0</v>
      </c>
      <c r="O39" s="13">
        <f t="shared" si="16"/>
        <v>0</v>
      </c>
      <c r="P39" s="14">
        <f t="shared" si="17"/>
        <v>0</v>
      </c>
      <c r="Q39" s="15">
        <f t="shared" si="18"/>
        <v>0</v>
      </c>
      <c r="R39" s="14">
        <f t="shared" si="19"/>
        <v>0</v>
      </c>
      <c r="S39" s="14">
        <f t="shared" si="20"/>
        <v>0</v>
      </c>
      <c r="T39" s="14">
        <f t="shared" si="21"/>
        <v>0</v>
      </c>
      <c r="U39" s="14">
        <f t="shared" si="22"/>
        <v>0</v>
      </c>
      <c r="V39" s="14">
        <f t="shared" si="23"/>
        <v>0</v>
      </c>
      <c r="W39" s="14">
        <f t="shared" si="24"/>
        <v>0</v>
      </c>
      <c r="X39" s="19">
        <f t="shared" si="25"/>
        <v>0</v>
      </c>
      <c r="AA39" s="37" t="s">
        <v>74</v>
      </c>
      <c r="AB39" s="41">
        <f>SUM(P2:P1001)</f>
        <v>3741.6</v>
      </c>
    </row>
    <row r="40" ht="15.75" customHeight="1">
      <c r="A40" s="31">
        <v>38.0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4"/>
        <v>0</v>
      </c>
      <c r="N40" s="13">
        <f t="shared" si="15"/>
        <v>0</v>
      </c>
      <c r="O40" s="13">
        <f t="shared" si="16"/>
        <v>0</v>
      </c>
      <c r="P40" s="14">
        <f t="shared" si="17"/>
        <v>0</v>
      </c>
      <c r="Q40" s="15">
        <f t="shared" si="18"/>
        <v>0</v>
      </c>
      <c r="R40" s="14">
        <f t="shared" si="19"/>
        <v>0</v>
      </c>
      <c r="S40" s="14">
        <f t="shared" si="20"/>
        <v>0</v>
      </c>
      <c r="T40" s="14">
        <f t="shared" si="21"/>
        <v>0</v>
      </c>
      <c r="U40" s="14">
        <f t="shared" si="22"/>
        <v>0</v>
      </c>
      <c r="V40" s="14">
        <f t="shared" si="23"/>
        <v>0</v>
      </c>
      <c r="W40" s="14">
        <f t="shared" si="24"/>
        <v>0</v>
      </c>
      <c r="X40" s="19">
        <f t="shared" si="25"/>
        <v>0</v>
      </c>
      <c r="AA40" s="37" t="s">
        <v>75</v>
      </c>
      <c r="AB40" s="41">
        <f>SUM(R2:R1001)</f>
        <v>255.6</v>
      </c>
    </row>
    <row r="41" ht="15.75" customHeight="1">
      <c r="A41" s="31">
        <v>39.0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4"/>
        <v>0</v>
      </c>
      <c r="N41" s="13">
        <f t="shared" si="15"/>
        <v>0</v>
      </c>
      <c r="O41" s="13">
        <f t="shared" si="16"/>
        <v>0</v>
      </c>
      <c r="P41" s="14">
        <f t="shared" si="17"/>
        <v>0</v>
      </c>
      <c r="Q41" s="15">
        <f t="shared" si="18"/>
        <v>0</v>
      </c>
      <c r="R41" s="14">
        <f t="shared" si="19"/>
        <v>0</v>
      </c>
      <c r="S41" s="14">
        <f t="shared" si="20"/>
        <v>0</v>
      </c>
      <c r="T41" s="14">
        <f t="shared" si="21"/>
        <v>0</v>
      </c>
      <c r="U41" s="14">
        <f t="shared" si="22"/>
        <v>0</v>
      </c>
      <c r="V41" s="14">
        <f t="shared" si="23"/>
        <v>0</v>
      </c>
      <c r="W41" s="14">
        <f t="shared" si="24"/>
        <v>0</v>
      </c>
      <c r="X41" s="19">
        <f t="shared" si="25"/>
        <v>0</v>
      </c>
      <c r="AA41" s="37" t="s">
        <v>76</v>
      </c>
      <c r="AB41" s="41">
        <f>SUM(S2:S1001)</f>
        <v>7328</v>
      </c>
    </row>
    <row r="42" ht="15.75" customHeight="1">
      <c r="A42" s="31">
        <v>40.0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4"/>
        <v>0</v>
      </c>
      <c r="N42" s="13">
        <f t="shared" si="15"/>
        <v>0</v>
      </c>
      <c r="O42" s="13">
        <f t="shared" si="16"/>
        <v>0</v>
      </c>
      <c r="P42" s="14">
        <f t="shared" si="17"/>
        <v>0</v>
      </c>
      <c r="Q42" s="15">
        <f t="shared" si="18"/>
        <v>0</v>
      </c>
      <c r="R42" s="14">
        <f t="shared" si="19"/>
        <v>0</v>
      </c>
      <c r="S42" s="14">
        <f t="shared" si="20"/>
        <v>0</v>
      </c>
      <c r="T42" s="14">
        <f t="shared" si="21"/>
        <v>0</v>
      </c>
      <c r="U42" s="14">
        <f t="shared" si="22"/>
        <v>0</v>
      </c>
      <c r="V42" s="14">
        <f t="shared" si="23"/>
        <v>0</v>
      </c>
      <c r="W42" s="14">
        <f t="shared" si="24"/>
        <v>0</v>
      </c>
      <c r="X42" s="19">
        <f t="shared" si="25"/>
        <v>0</v>
      </c>
      <c r="AA42" s="37" t="s">
        <v>4</v>
      </c>
      <c r="AB42" s="41">
        <f>SUM(T2:T1001)</f>
        <v>0</v>
      </c>
    </row>
    <row r="43" ht="15.75" customHeight="1">
      <c r="A43" s="31">
        <v>41.0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4"/>
        <v>0</v>
      </c>
      <c r="N43" s="13">
        <f t="shared" si="15"/>
        <v>0</v>
      </c>
      <c r="O43" s="13">
        <f t="shared" si="16"/>
        <v>0</v>
      </c>
      <c r="P43" s="14">
        <f t="shared" si="17"/>
        <v>0</v>
      </c>
      <c r="Q43" s="15">
        <f t="shared" si="18"/>
        <v>0</v>
      </c>
      <c r="R43" s="14">
        <f t="shared" si="19"/>
        <v>0</v>
      </c>
      <c r="S43" s="14">
        <f t="shared" si="20"/>
        <v>0</v>
      </c>
      <c r="T43" s="14">
        <f t="shared" si="21"/>
        <v>0</v>
      </c>
      <c r="U43" s="14">
        <f t="shared" si="22"/>
        <v>0</v>
      </c>
      <c r="V43" s="14">
        <f t="shared" si="23"/>
        <v>0</v>
      </c>
      <c r="W43" s="14">
        <f t="shared" si="24"/>
        <v>0</v>
      </c>
      <c r="X43" s="19">
        <f t="shared" si="25"/>
        <v>0</v>
      </c>
      <c r="AA43" s="37" t="s">
        <v>77</v>
      </c>
      <c r="AB43" s="41">
        <f>SUM(U2:U1001)</f>
        <v>760</v>
      </c>
    </row>
    <row r="44" ht="21.0" customHeight="1">
      <c r="A44" s="31">
        <v>42.0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4"/>
        <v>0</v>
      </c>
      <c r="N44" s="13">
        <f t="shared" si="15"/>
        <v>0</v>
      </c>
      <c r="O44" s="13">
        <f t="shared" si="16"/>
        <v>0</v>
      </c>
      <c r="P44" s="14">
        <f t="shared" si="17"/>
        <v>0</v>
      </c>
      <c r="Q44" s="15">
        <f t="shared" si="18"/>
        <v>0</v>
      </c>
      <c r="R44" s="14">
        <f t="shared" si="19"/>
        <v>0</v>
      </c>
      <c r="S44" s="14">
        <f t="shared" si="20"/>
        <v>0</v>
      </c>
      <c r="T44" s="14">
        <f t="shared" si="21"/>
        <v>0</v>
      </c>
      <c r="U44" s="14">
        <f t="shared" si="22"/>
        <v>0</v>
      </c>
      <c r="V44" s="14">
        <f t="shared" si="23"/>
        <v>0</v>
      </c>
      <c r="W44" s="14">
        <f t="shared" si="24"/>
        <v>0</v>
      </c>
      <c r="X44" s="19">
        <f t="shared" si="25"/>
        <v>0</v>
      </c>
      <c r="AA44" s="37" t="s">
        <v>78</v>
      </c>
      <c r="AB44" s="41">
        <f>SUM(V2:V1001)</f>
        <v>0</v>
      </c>
    </row>
    <row r="45" ht="15.75" customHeight="1">
      <c r="A45" s="31">
        <v>43.0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4"/>
        <v>0</v>
      </c>
      <c r="N45" s="13">
        <f t="shared" si="15"/>
        <v>0</v>
      </c>
      <c r="O45" s="13">
        <f t="shared" si="16"/>
        <v>0</v>
      </c>
      <c r="P45" s="14">
        <f t="shared" si="17"/>
        <v>0</v>
      </c>
      <c r="Q45" s="15">
        <f t="shared" si="18"/>
        <v>0</v>
      </c>
      <c r="R45" s="14">
        <f t="shared" si="19"/>
        <v>0</v>
      </c>
      <c r="S45" s="14">
        <f t="shared" si="20"/>
        <v>0</v>
      </c>
      <c r="T45" s="14">
        <f t="shared" si="21"/>
        <v>0</v>
      </c>
      <c r="U45" s="14">
        <f t="shared" si="22"/>
        <v>0</v>
      </c>
      <c r="V45" s="14">
        <f t="shared" si="23"/>
        <v>0</v>
      </c>
      <c r="W45" s="14">
        <f t="shared" si="24"/>
        <v>0</v>
      </c>
      <c r="X45" s="19">
        <f t="shared" si="25"/>
        <v>0</v>
      </c>
      <c r="AA45" s="42" t="s">
        <v>79</v>
      </c>
      <c r="AB45" s="43"/>
    </row>
    <row r="46" ht="15.75" customHeight="1">
      <c r="A46" s="31">
        <v>44.0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4"/>
        <v>0</v>
      </c>
      <c r="N46" s="13">
        <f t="shared" si="15"/>
        <v>0</v>
      </c>
      <c r="O46" s="13">
        <f t="shared" si="16"/>
        <v>0</v>
      </c>
      <c r="P46" s="14">
        <f t="shared" si="17"/>
        <v>0</v>
      </c>
      <c r="Q46" s="15">
        <f t="shared" si="18"/>
        <v>0</v>
      </c>
      <c r="R46" s="14">
        <f t="shared" si="19"/>
        <v>0</v>
      </c>
      <c r="S46" s="14">
        <f t="shared" si="20"/>
        <v>0</v>
      </c>
      <c r="T46" s="14">
        <f t="shared" si="21"/>
        <v>0</v>
      </c>
      <c r="U46" s="14">
        <f t="shared" si="22"/>
        <v>0</v>
      </c>
      <c r="V46" s="14">
        <f t="shared" si="23"/>
        <v>0</v>
      </c>
      <c r="W46" s="14">
        <f t="shared" si="24"/>
        <v>0</v>
      </c>
      <c r="X46" s="19">
        <f t="shared" si="25"/>
        <v>0</v>
      </c>
      <c r="AA46" s="44" t="s">
        <v>80</v>
      </c>
      <c r="AB46" s="45">
        <f>SUM(Q2:Q1001)</f>
        <v>1309.56</v>
      </c>
    </row>
    <row r="47" ht="15.75" customHeight="1">
      <c r="A47" s="31">
        <v>45.0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4"/>
        <v>0</v>
      </c>
      <c r="N47" s="13">
        <f t="shared" si="15"/>
        <v>0</v>
      </c>
      <c r="O47" s="13">
        <f t="shared" si="16"/>
        <v>0</v>
      </c>
      <c r="P47" s="14">
        <f t="shared" si="17"/>
        <v>0</v>
      </c>
      <c r="Q47" s="15">
        <f t="shared" si="18"/>
        <v>0</v>
      </c>
      <c r="R47" s="14">
        <f t="shared" si="19"/>
        <v>0</v>
      </c>
      <c r="S47" s="14">
        <f t="shared" si="20"/>
        <v>0</v>
      </c>
      <c r="T47" s="14">
        <f t="shared" si="21"/>
        <v>0</v>
      </c>
      <c r="U47" s="14">
        <f t="shared" si="22"/>
        <v>0</v>
      </c>
      <c r="V47" s="14">
        <f t="shared" si="23"/>
        <v>0</v>
      </c>
      <c r="W47" s="14">
        <f t="shared" si="24"/>
        <v>0</v>
      </c>
      <c r="X47" s="19">
        <f t="shared" si="25"/>
        <v>0</v>
      </c>
      <c r="AA47" s="46" t="s">
        <v>81</v>
      </c>
      <c r="AB47" s="26"/>
    </row>
    <row r="48" ht="15.75" customHeight="1">
      <c r="A48" s="31">
        <v>46.0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4"/>
        <v>0</v>
      </c>
      <c r="N48" s="13">
        <f t="shared" si="15"/>
        <v>0</v>
      </c>
      <c r="O48" s="13">
        <f t="shared" si="16"/>
        <v>0</v>
      </c>
      <c r="P48" s="14">
        <f t="shared" si="17"/>
        <v>0</v>
      </c>
      <c r="Q48" s="15">
        <f t="shared" si="18"/>
        <v>0</v>
      </c>
      <c r="R48" s="14">
        <f t="shared" si="19"/>
        <v>0</v>
      </c>
      <c r="S48" s="14">
        <f t="shared" si="20"/>
        <v>0</v>
      </c>
      <c r="T48" s="14">
        <f t="shared" si="21"/>
        <v>0</v>
      </c>
      <c r="U48" s="14">
        <f t="shared" si="22"/>
        <v>0</v>
      </c>
      <c r="V48" s="14">
        <f t="shared" si="23"/>
        <v>0</v>
      </c>
      <c r="W48" s="14">
        <f t="shared" si="24"/>
        <v>0</v>
      </c>
      <c r="X48" s="19">
        <f t="shared" si="25"/>
        <v>0</v>
      </c>
      <c r="AA48" s="47" t="s">
        <v>82</v>
      </c>
      <c r="AB48" s="48">
        <v>0.4</v>
      </c>
    </row>
    <row r="49" ht="15.75" customHeight="1">
      <c r="A49" s="31">
        <v>47.0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4"/>
        <v>0</v>
      </c>
      <c r="N49" s="13">
        <f t="shared" si="15"/>
        <v>0</v>
      </c>
      <c r="O49" s="13">
        <f t="shared" si="16"/>
        <v>0</v>
      </c>
      <c r="P49" s="14">
        <f t="shared" si="17"/>
        <v>0</v>
      </c>
      <c r="Q49" s="15">
        <f t="shared" si="18"/>
        <v>0</v>
      </c>
      <c r="R49" s="14">
        <f t="shared" si="19"/>
        <v>0</v>
      </c>
      <c r="S49" s="14">
        <f t="shared" si="20"/>
        <v>0</v>
      </c>
      <c r="T49" s="14">
        <f t="shared" si="21"/>
        <v>0</v>
      </c>
      <c r="U49" s="14">
        <f t="shared" si="22"/>
        <v>0</v>
      </c>
      <c r="V49" s="14">
        <f t="shared" si="23"/>
        <v>0</v>
      </c>
      <c r="W49" s="14">
        <f t="shared" si="24"/>
        <v>0</v>
      </c>
      <c r="X49" s="19">
        <f t="shared" si="25"/>
        <v>0</v>
      </c>
      <c r="AA49" s="47" t="s">
        <v>83</v>
      </c>
      <c r="AB49" s="49">
        <v>37.5</v>
      </c>
    </row>
    <row r="50" ht="15.75" customHeight="1">
      <c r="A50" s="31">
        <v>48.0</v>
      </c>
      <c r="B50" s="21"/>
      <c r="C50" s="21"/>
      <c r="D50" s="21"/>
      <c r="E50" s="21"/>
      <c r="F50" s="21"/>
      <c r="G50" s="31" t="b">
        <v>1</v>
      </c>
      <c r="H50" s="12" t="b">
        <v>0</v>
      </c>
      <c r="I50" s="3" t="b">
        <v>0</v>
      </c>
      <c r="J50" s="3" t="b">
        <v>0</v>
      </c>
      <c r="K50" s="3" t="b">
        <v>0</v>
      </c>
      <c r="L50" s="8">
        <v>1.0</v>
      </c>
      <c r="M50" s="13">
        <f t="shared" si="14"/>
        <v>0</v>
      </c>
      <c r="N50" s="13">
        <f t="shared" si="15"/>
        <v>0</v>
      </c>
      <c r="O50" s="13">
        <f t="shared" si="16"/>
        <v>0</v>
      </c>
      <c r="P50" s="14">
        <f t="shared" si="17"/>
        <v>0</v>
      </c>
      <c r="Q50" s="15">
        <f t="shared" si="18"/>
        <v>0</v>
      </c>
      <c r="R50" s="14">
        <f t="shared" si="19"/>
        <v>0</v>
      </c>
      <c r="S50" s="14">
        <f t="shared" si="20"/>
        <v>0</v>
      </c>
      <c r="T50" s="14">
        <f t="shared" si="21"/>
        <v>0</v>
      </c>
      <c r="U50" s="14">
        <f t="shared" si="22"/>
        <v>0</v>
      </c>
      <c r="V50" s="14">
        <f t="shared" si="23"/>
        <v>0</v>
      </c>
      <c r="W50" s="14">
        <f t="shared" si="24"/>
        <v>0</v>
      </c>
      <c r="X50" s="19">
        <f t="shared" si="25"/>
        <v>0</v>
      </c>
      <c r="AA50" s="47" t="s">
        <v>74</v>
      </c>
      <c r="AB50" s="50">
        <f t="shared" ref="AB50:AB56" si="26">IFERROR((AB39*$AB$48)/$AB$49,0)</f>
        <v>39.9104</v>
      </c>
    </row>
    <row r="51" ht="15.75" customHeight="1">
      <c r="A51" s="31"/>
      <c r="B51" s="21"/>
      <c r="C51" s="21"/>
      <c r="D51" s="21"/>
      <c r="E51" s="21"/>
      <c r="F51" s="21"/>
      <c r="G51" s="31"/>
      <c r="H51" s="12"/>
      <c r="M51" s="13"/>
      <c r="N51" s="13"/>
      <c r="O51" s="13"/>
      <c r="P51" s="14"/>
      <c r="Q51" s="15">
        <f t="shared" si="18"/>
        <v>0</v>
      </c>
      <c r="R51" s="14"/>
      <c r="S51" s="14"/>
      <c r="T51" s="14"/>
      <c r="U51" s="14"/>
      <c r="V51" s="14"/>
      <c r="W51" s="14">
        <f t="shared" si="24"/>
        <v>0</v>
      </c>
      <c r="X51" s="19">
        <f t="shared" si="25"/>
        <v>0</v>
      </c>
      <c r="AA51" s="47" t="s">
        <v>75</v>
      </c>
      <c r="AB51" s="50">
        <f t="shared" si="26"/>
        <v>2.7264</v>
      </c>
    </row>
    <row r="52" ht="15.75" customHeight="1">
      <c r="A52" s="31" t="s">
        <v>26</v>
      </c>
      <c r="B52" s="31" t="s">
        <v>26</v>
      </c>
      <c r="C52" s="31" t="s">
        <v>26</v>
      </c>
      <c r="D52" s="31" t="s">
        <v>26</v>
      </c>
      <c r="E52" s="31" t="s">
        <v>26</v>
      </c>
      <c r="F52" s="31" t="s">
        <v>26</v>
      </c>
      <c r="G52" s="31" t="s">
        <v>26</v>
      </c>
      <c r="H52" s="31" t="s">
        <v>26</v>
      </c>
      <c r="I52" s="8" t="s">
        <v>26</v>
      </c>
      <c r="J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20" t="s">
        <v>26</v>
      </c>
      <c r="Q52" s="51">
        <f t="shared" si="18"/>
        <v>0</v>
      </c>
      <c r="R52" s="52" t="s">
        <v>26</v>
      </c>
      <c r="S52" s="20" t="s">
        <v>26</v>
      </c>
      <c r="T52" s="20" t="s">
        <v>26</v>
      </c>
      <c r="U52" s="20" t="s">
        <v>26</v>
      </c>
      <c r="V52" s="20" t="s">
        <v>26</v>
      </c>
      <c r="W52" s="20">
        <f t="shared" si="24"/>
        <v>0</v>
      </c>
      <c r="X52" s="19">
        <f t="shared" si="25"/>
        <v>0</v>
      </c>
      <c r="AA52" s="47" t="s">
        <v>76</v>
      </c>
      <c r="AB52" s="50">
        <f t="shared" si="26"/>
        <v>78.16533333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18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24"/>
        <v>0</v>
      </c>
      <c r="X53" s="19">
        <f t="shared" si="25"/>
        <v>0</v>
      </c>
      <c r="AA53" s="47" t="s">
        <v>4</v>
      </c>
      <c r="AB53" s="50">
        <f t="shared" si="26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18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24"/>
        <v>0</v>
      </c>
      <c r="X54" s="19">
        <f t="shared" si="25"/>
        <v>0</v>
      </c>
      <c r="AA54" s="47" t="s">
        <v>77</v>
      </c>
      <c r="AB54" s="50">
        <f t="shared" si="26"/>
        <v>8.106666667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18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24"/>
        <v>0</v>
      </c>
      <c r="X55" s="19">
        <f t="shared" si="25"/>
        <v>0</v>
      </c>
      <c r="AA55" s="53" t="s">
        <v>78</v>
      </c>
      <c r="AB55" s="54">
        <f t="shared" si="26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18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24"/>
        <v>0</v>
      </c>
      <c r="X56" s="19">
        <f t="shared" si="25"/>
        <v>0</v>
      </c>
      <c r="AA56" s="55" t="s">
        <v>84</v>
      </c>
      <c r="AB56" s="56">
        <f t="shared" si="26"/>
        <v>0</v>
      </c>
    </row>
    <row r="57" ht="15.75" customHeight="1">
      <c r="A57" s="8" t="s">
        <v>26</v>
      </c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18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24"/>
        <v>0</v>
      </c>
      <c r="X57" s="19">
        <f t="shared" si="25"/>
        <v>0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18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24"/>
        <v>0</v>
      </c>
      <c r="X58" s="19">
        <f t="shared" si="25"/>
        <v>0</v>
      </c>
      <c r="AA58" s="57"/>
      <c r="AB58" s="26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18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24"/>
        <v>0</v>
      </c>
      <c r="X59" s="19">
        <f t="shared" si="25"/>
        <v>0</v>
      </c>
      <c r="AA59" s="37"/>
      <c r="AB59" s="41"/>
    </row>
    <row r="60" ht="15.75" customHeight="1"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18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24"/>
        <v>0</v>
      </c>
      <c r="X60" s="19">
        <f t="shared" si="25"/>
        <v>0</v>
      </c>
      <c r="AA60" s="37"/>
      <c r="AB60" s="41"/>
    </row>
    <row r="61" ht="15.75" customHeight="1">
      <c r="A61" s="31"/>
      <c r="B61" s="8" t="s">
        <v>26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51">
        <f t="shared" si="18"/>
        <v>0</v>
      </c>
      <c r="R61" s="8" t="s">
        <v>26</v>
      </c>
      <c r="S61" s="8" t="s">
        <v>26</v>
      </c>
      <c r="T61" s="8" t="s">
        <v>26</v>
      </c>
      <c r="U61" s="8" t="s">
        <v>26</v>
      </c>
      <c r="V61" s="8" t="s">
        <v>26</v>
      </c>
      <c r="W61" s="8">
        <f t="shared" si="24"/>
        <v>0</v>
      </c>
      <c r="X61" s="19">
        <f t="shared" si="25"/>
        <v>0</v>
      </c>
      <c r="AA61" s="37"/>
      <c r="AB61" s="41"/>
    </row>
    <row r="62" ht="15.75" customHeight="1">
      <c r="Q62" s="15">
        <f t="shared" si="18"/>
        <v>0</v>
      </c>
      <c r="W62" s="22">
        <f t="shared" si="24"/>
        <v>0</v>
      </c>
      <c r="X62" s="19">
        <f t="shared" si="25"/>
        <v>0</v>
      </c>
      <c r="AA62" s="37"/>
      <c r="AB62" s="41"/>
    </row>
    <row r="63" ht="15.75" customHeight="1">
      <c r="A63" s="21"/>
      <c r="Q63" s="15">
        <f t="shared" si="18"/>
        <v>0</v>
      </c>
      <c r="W63" s="22">
        <f t="shared" si="24"/>
        <v>0</v>
      </c>
      <c r="X63" s="19">
        <f t="shared" si="25"/>
        <v>0</v>
      </c>
      <c r="AA63" s="37"/>
      <c r="AB63" s="41"/>
    </row>
    <row r="64" ht="15.75" customHeight="1">
      <c r="A64" s="21"/>
      <c r="Q64" s="15">
        <f t="shared" si="18"/>
        <v>0</v>
      </c>
      <c r="W64" s="22">
        <f t="shared" si="24"/>
        <v>0</v>
      </c>
      <c r="X64" s="19">
        <f t="shared" si="25"/>
        <v>0</v>
      </c>
      <c r="AA64" s="37"/>
      <c r="AB64" s="41"/>
    </row>
    <row r="65" ht="15.75" customHeight="1">
      <c r="Q65" s="15">
        <f t="shared" si="18"/>
        <v>0</v>
      </c>
      <c r="W65" s="22">
        <f t="shared" si="24"/>
        <v>0</v>
      </c>
      <c r="X65" s="19">
        <f t="shared" si="25"/>
        <v>0</v>
      </c>
      <c r="AA65" s="42"/>
      <c r="AB65" s="43"/>
    </row>
    <row r="66" ht="15.75" customHeight="1">
      <c r="Q66" s="15">
        <f t="shared" si="18"/>
        <v>0</v>
      </c>
      <c r="W66" s="22">
        <f t="shared" si="24"/>
        <v>0</v>
      </c>
      <c r="X66" s="19">
        <f t="shared" si="25"/>
        <v>0</v>
      </c>
      <c r="AA66" s="44"/>
      <c r="AB66" s="45"/>
    </row>
    <row r="67" ht="15.75" customHeight="1">
      <c r="Q67" s="15">
        <f t="shared" si="18"/>
        <v>0</v>
      </c>
      <c r="W67" s="22">
        <f t="shared" si="24"/>
        <v>0</v>
      </c>
      <c r="X67" s="19">
        <f t="shared" si="25"/>
        <v>0</v>
      </c>
    </row>
    <row r="68" ht="15.75" customHeight="1">
      <c r="Q68" s="15">
        <f t="shared" si="18"/>
        <v>0</v>
      </c>
      <c r="W68" s="22">
        <f t="shared" si="24"/>
        <v>0</v>
      </c>
      <c r="X68" s="19">
        <f t="shared" si="25"/>
        <v>0</v>
      </c>
    </row>
    <row r="69" ht="15.75" customHeight="1">
      <c r="Q69" s="15">
        <f t="shared" si="18"/>
        <v>0</v>
      </c>
      <c r="W69" s="22">
        <f t="shared" si="24"/>
        <v>0</v>
      </c>
      <c r="X69" s="19">
        <f t="shared" si="25"/>
        <v>0</v>
      </c>
    </row>
    <row r="70" ht="15.75" customHeight="1">
      <c r="Q70" s="15">
        <f t="shared" si="18"/>
        <v>0</v>
      </c>
      <c r="W70" s="22">
        <f t="shared" si="24"/>
        <v>0</v>
      </c>
      <c r="X70" s="19">
        <f t="shared" si="25"/>
        <v>0</v>
      </c>
    </row>
    <row r="71" ht="15.75" customHeight="1">
      <c r="Q71" s="15">
        <f t="shared" si="18"/>
        <v>0</v>
      </c>
      <c r="W71" s="22">
        <f t="shared" si="24"/>
        <v>0</v>
      </c>
      <c r="X71" s="19">
        <f t="shared" si="25"/>
        <v>0</v>
      </c>
    </row>
    <row r="72" ht="15.75" customHeight="1">
      <c r="Q72" s="15">
        <f t="shared" si="18"/>
        <v>0</v>
      </c>
      <c r="W72" s="22">
        <f t="shared" si="24"/>
        <v>0</v>
      </c>
      <c r="X72" s="19">
        <f t="shared" si="25"/>
        <v>0</v>
      </c>
    </row>
    <row r="73" ht="15.75" customHeight="1">
      <c r="Q73" s="15">
        <f t="shared" si="18"/>
        <v>0</v>
      </c>
      <c r="W73" s="22">
        <f t="shared" si="24"/>
        <v>0</v>
      </c>
      <c r="X73" s="19">
        <f t="shared" si="25"/>
        <v>0</v>
      </c>
    </row>
    <row r="74" ht="15.75" customHeight="1">
      <c r="Q74" s="15">
        <f t="shared" si="18"/>
        <v>0</v>
      </c>
      <c r="W74" s="22">
        <f t="shared" si="24"/>
        <v>0</v>
      </c>
      <c r="X74" s="19">
        <f t="shared" si="25"/>
        <v>0</v>
      </c>
    </row>
    <row r="75" ht="15.75" customHeight="1">
      <c r="Q75" s="15">
        <f t="shared" si="18"/>
        <v>0</v>
      </c>
      <c r="W75" s="22">
        <f t="shared" si="24"/>
        <v>0</v>
      </c>
      <c r="X75" s="19">
        <f t="shared" si="25"/>
        <v>0</v>
      </c>
    </row>
    <row r="76" ht="15.75" customHeight="1">
      <c r="Q76" s="15">
        <f t="shared" si="18"/>
        <v>0</v>
      </c>
      <c r="W76" s="22">
        <f t="shared" si="24"/>
        <v>0</v>
      </c>
      <c r="X76" s="19">
        <f t="shared" si="25"/>
        <v>0</v>
      </c>
    </row>
    <row r="77" ht="15.75" customHeight="1">
      <c r="Q77" s="15">
        <f t="shared" si="18"/>
        <v>0</v>
      </c>
      <c r="W77" s="22">
        <f t="shared" si="24"/>
        <v>0</v>
      </c>
      <c r="X77" s="19">
        <f t="shared" si="25"/>
        <v>0</v>
      </c>
    </row>
    <row r="78" ht="15.75" customHeight="1">
      <c r="Q78" s="15">
        <f t="shared" si="18"/>
        <v>0</v>
      </c>
      <c r="W78" s="22">
        <f t="shared" si="24"/>
        <v>0</v>
      </c>
      <c r="X78" s="19">
        <f t="shared" si="25"/>
        <v>0</v>
      </c>
    </row>
    <row r="79" ht="15.75" customHeight="1">
      <c r="Q79" s="15">
        <f t="shared" si="18"/>
        <v>0</v>
      </c>
      <c r="W79" s="22">
        <f t="shared" si="24"/>
        <v>0</v>
      </c>
      <c r="X79" s="19">
        <f t="shared" si="25"/>
        <v>0</v>
      </c>
    </row>
    <row r="80" ht="15.75" customHeight="1">
      <c r="Q80" s="15">
        <f t="shared" si="18"/>
        <v>0</v>
      </c>
      <c r="W80" s="22">
        <f t="shared" si="24"/>
        <v>0</v>
      </c>
      <c r="X80" s="19">
        <f t="shared" si="25"/>
        <v>0</v>
      </c>
    </row>
    <row r="81" ht="15.75" customHeight="1">
      <c r="Q81" s="15">
        <f t="shared" si="18"/>
        <v>0</v>
      </c>
      <c r="W81" s="22">
        <f t="shared" si="24"/>
        <v>0</v>
      </c>
      <c r="X81" s="19">
        <f t="shared" si="25"/>
        <v>0</v>
      </c>
    </row>
    <row r="82" ht="15.75" customHeight="1">
      <c r="Q82" s="15">
        <f t="shared" si="18"/>
        <v>0</v>
      </c>
      <c r="W82" s="22">
        <f t="shared" si="24"/>
        <v>0</v>
      </c>
      <c r="X82" s="19">
        <f t="shared" si="25"/>
        <v>0</v>
      </c>
    </row>
    <row r="83" ht="15.75" customHeight="1">
      <c r="Q83" s="15">
        <f t="shared" si="18"/>
        <v>0</v>
      </c>
      <c r="W83" s="22">
        <f t="shared" si="24"/>
        <v>0</v>
      </c>
      <c r="X83" s="19">
        <f t="shared" si="25"/>
        <v>0</v>
      </c>
    </row>
    <row r="84" ht="15.75" customHeight="1">
      <c r="Q84" s="15">
        <f t="shared" si="18"/>
        <v>0</v>
      </c>
      <c r="W84" s="22">
        <f t="shared" si="24"/>
        <v>0</v>
      </c>
      <c r="X84" s="19">
        <f t="shared" si="25"/>
        <v>0</v>
      </c>
    </row>
    <row r="85" ht="15.75" customHeight="1">
      <c r="Q85" s="15">
        <f t="shared" si="18"/>
        <v>0</v>
      </c>
      <c r="W85" s="22">
        <f t="shared" si="24"/>
        <v>0</v>
      </c>
      <c r="X85" s="19">
        <f t="shared" si="25"/>
        <v>0</v>
      </c>
    </row>
    <row r="86" ht="15.75" customHeight="1">
      <c r="Q86" s="15">
        <f t="shared" si="18"/>
        <v>0</v>
      </c>
      <c r="W86" s="22">
        <f t="shared" si="24"/>
        <v>0</v>
      </c>
      <c r="X86" s="19">
        <f t="shared" si="25"/>
        <v>0</v>
      </c>
    </row>
    <row r="87" ht="15.75" customHeight="1">
      <c r="Q87" s="15">
        <f t="shared" si="18"/>
        <v>0</v>
      </c>
      <c r="W87" s="22">
        <f t="shared" si="24"/>
        <v>0</v>
      </c>
      <c r="X87" s="19">
        <f t="shared" si="25"/>
        <v>0</v>
      </c>
    </row>
    <row r="88" ht="15.75" customHeight="1">
      <c r="Q88" s="15">
        <f t="shared" si="18"/>
        <v>0</v>
      </c>
      <c r="W88" s="22">
        <f t="shared" si="24"/>
        <v>0</v>
      </c>
      <c r="X88" s="19">
        <f t="shared" si="25"/>
        <v>0</v>
      </c>
    </row>
    <row r="89" ht="15.75" customHeight="1">
      <c r="Q89" s="15">
        <f t="shared" si="18"/>
        <v>0</v>
      </c>
      <c r="W89" s="22">
        <f t="shared" si="24"/>
        <v>0</v>
      </c>
      <c r="X89" s="19">
        <f t="shared" si="25"/>
        <v>0</v>
      </c>
    </row>
    <row r="90" ht="15.75" customHeight="1">
      <c r="Q90" s="15">
        <f t="shared" si="18"/>
        <v>0</v>
      </c>
      <c r="W90" s="22">
        <f t="shared" si="24"/>
        <v>0</v>
      </c>
      <c r="X90" s="19">
        <f t="shared" si="25"/>
        <v>0</v>
      </c>
    </row>
    <row r="91" ht="15.75" customHeight="1">
      <c r="Q91" s="15">
        <f t="shared" si="18"/>
        <v>0</v>
      </c>
      <c r="W91" s="22">
        <f t="shared" si="24"/>
        <v>0</v>
      </c>
      <c r="X91" s="19">
        <f t="shared" si="25"/>
        <v>0</v>
      </c>
    </row>
    <row r="92" ht="15.75" customHeight="1">
      <c r="Q92" s="15">
        <f t="shared" si="18"/>
        <v>0</v>
      </c>
      <c r="W92" s="22">
        <f t="shared" si="24"/>
        <v>0</v>
      </c>
      <c r="X92" s="19">
        <f t="shared" si="25"/>
        <v>0</v>
      </c>
    </row>
    <row r="93" ht="15.75" customHeight="1">
      <c r="Q93" s="15">
        <f t="shared" si="18"/>
        <v>0</v>
      </c>
      <c r="W93" s="22">
        <f t="shared" si="24"/>
        <v>0</v>
      </c>
      <c r="X93" s="19">
        <f t="shared" si="25"/>
        <v>0</v>
      </c>
    </row>
    <row r="94" ht="15.75" customHeight="1">
      <c r="Q94" s="15">
        <f t="shared" si="18"/>
        <v>0</v>
      </c>
      <c r="W94" s="22">
        <f t="shared" si="24"/>
        <v>0</v>
      </c>
      <c r="X94" s="19">
        <f t="shared" si="25"/>
        <v>0</v>
      </c>
    </row>
    <row r="95" ht="15.75" customHeight="1">
      <c r="Q95" s="15">
        <f t="shared" si="18"/>
        <v>0</v>
      </c>
      <c r="W95" s="22">
        <f t="shared" si="24"/>
        <v>0</v>
      </c>
      <c r="X95" s="19">
        <f t="shared" si="25"/>
        <v>0</v>
      </c>
    </row>
    <row r="96" ht="15.75" customHeight="1">
      <c r="Q96" s="15">
        <f t="shared" si="18"/>
        <v>0</v>
      </c>
      <c r="W96" s="22">
        <f t="shared" si="24"/>
        <v>0</v>
      </c>
      <c r="X96" s="19">
        <f t="shared" si="25"/>
        <v>0</v>
      </c>
    </row>
    <row r="97" ht="15.75" customHeight="1">
      <c r="Q97" s="15">
        <f t="shared" si="18"/>
        <v>0</v>
      </c>
      <c r="W97" s="22">
        <f t="shared" si="24"/>
        <v>0</v>
      </c>
      <c r="X97" s="19">
        <f t="shared" si="25"/>
        <v>0</v>
      </c>
    </row>
    <row r="98" ht="15.75" customHeight="1">
      <c r="Q98" s="15">
        <f t="shared" si="18"/>
        <v>0</v>
      </c>
      <c r="W98" s="22">
        <f t="shared" si="24"/>
        <v>0</v>
      </c>
      <c r="X98" s="19">
        <f t="shared" si="25"/>
        <v>0</v>
      </c>
    </row>
    <row r="99" ht="15.75" customHeight="1">
      <c r="Q99" s="15">
        <f t="shared" si="18"/>
        <v>0</v>
      </c>
      <c r="W99" s="22">
        <f t="shared" si="24"/>
        <v>0</v>
      </c>
      <c r="X99" s="19">
        <f t="shared" si="25"/>
        <v>0</v>
      </c>
    </row>
    <row r="100" ht="15.75" customHeight="1">
      <c r="Q100" s="15">
        <f t="shared" si="18"/>
        <v>0</v>
      </c>
      <c r="W100" s="22">
        <f t="shared" si="24"/>
        <v>0</v>
      </c>
      <c r="X100" s="19">
        <f t="shared" si="25"/>
        <v>0</v>
      </c>
    </row>
    <row r="101" ht="15.75" customHeight="1">
      <c r="Q101" s="15">
        <f t="shared" si="18"/>
        <v>0</v>
      </c>
      <c r="W101" s="22">
        <f t="shared" si="24"/>
        <v>0</v>
      </c>
      <c r="X101" s="19">
        <f t="shared" si="25"/>
        <v>0</v>
      </c>
    </row>
    <row r="102" ht="15.75" customHeight="1">
      <c r="Q102" s="15">
        <f t="shared" si="18"/>
        <v>0</v>
      </c>
      <c r="W102" s="22">
        <f t="shared" si="24"/>
        <v>0</v>
      </c>
      <c r="X102" s="19">
        <f t="shared" si="25"/>
        <v>0</v>
      </c>
    </row>
    <row r="103" ht="15.75" customHeight="1">
      <c r="Q103" s="15">
        <f t="shared" si="18"/>
        <v>0</v>
      </c>
      <c r="W103" s="22">
        <f t="shared" si="24"/>
        <v>0</v>
      </c>
      <c r="X103" s="19">
        <f t="shared" si="25"/>
        <v>0</v>
      </c>
    </row>
    <row r="104" ht="15.75" customHeight="1">
      <c r="Q104" s="15">
        <f t="shared" si="18"/>
        <v>0</v>
      </c>
      <c r="W104" s="22">
        <f t="shared" si="24"/>
        <v>0</v>
      </c>
      <c r="X104" s="19">
        <f t="shared" si="25"/>
        <v>0</v>
      </c>
    </row>
    <row r="105" ht="15.75" customHeight="1">
      <c r="Q105" s="15">
        <f t="shared" si="18"/>
        <v>0</v>
      </c>
      <c r="W105" s="22">
        <f t="shared" si="24"/>
        <v>0</v>
      </c>
      <c r="X105" s="19">
        <f t="shared" si="25"/>
        <v>0</v>
      </c>
    </row>
    <row r="106" ht="15.75" customHeight="1">
      <c r="Q106" s="15">
        <f t="shared" si="18"/>
        <v>0</v>
      </c>
      <c r="W106" s="22">
        <f t="shared" si="24"/>
        <v>0</v>
      </c>
      <c r="X106" s="19">
        <f t="shared" si="25"/>
        <v>0</v>
      </c>
    </row>
    <row r="107" ht="15.75" customHeight="1">
      <c r="Q107" s="15">
        <f t="shared" si="18"/>
        <v>0</v>
      </c>
      <c r="W107" s="22">
        <f t="shared" si="24"/>
        <v>0</v>
      </c>
      <c r="X107" s="19">
        <f t="shared" si="25"/>
        <v>0</v>
      </c>
    </row>
    <row r="108" ht="15.75" customHeight="1">
      <c r="Q108" s="15">
        <f t="shared" si="18"/>
        <v>0</v>
      </c>
      <c r="W108" s="22">
        <f t="shared" si="24"/>
        <v>0</v>
      </c>
      <c r="X108" s="19">
        <f t="shared" si="25"/>
        <v>0</v>
      </c>
    </row>
    <row r="109" ht="15.75" customHeight="1">
      <c r="Q109" s="15">
        <f t="shared" si="18"/>
        <v>0</v>
      </c>
      <c r="W109" s="22">
        <f t="shared" si="24"/>
        <v>0</v>
      </c>
      <c r="X109" s="19">
        <f t="shared" si="25"/>
        <v>0</v>
      </c>
    </row>
    <row r="110" ht="15.75" customHeight="1">
      <c r="Q110" s="15">
        <f t="shared" si="18"/>
        <v>0</v>
      </c>
      <c r="W110" s="22">
        <f t="shared" si="24"/>
        <v>0</v>
      </c>
      <c r="X110" s="19">
        <f t="shared" si="25"/>
        <v>0</v>
      </c>
    </row>
    <row r="111" ht="15.75" customHeight="1">
      <c r="Q111" s="15">
        <f t="shared" si="18"/>
        <v>0</v>
      </c>
      <c r="W111" s="22">
        <f t="shared" si="24"/>
        <v>0</v>
      </c>
      <c r="X111" s="19">
        <f t="shared" si="25"/>
        <v>0</v>
      </c>
    </row>
    <row r="112" ht="15.75" customHeight="1">
      <c r="Q112" s="15">
        <f t="shared" si="18"/>
        <v>0</v>
      </c>
      <c r="W112" s="22">
        <f t="shared" si="24"/>
        <v>0</v>
      </c>
      <c r="X112" s="19">
        <f t="shared" si="25"/>
        <v>0</v>
      </c>
    </row>
    <row r="113" ht="15.75" customHeight="1">
      <c r="Q113" s="15">
        <f t="shared" si="18"/>
        <v>0</v>
      </c>
      <c r="W113" s="22">
        <f t="shared" si="24"/>
        <v>0</v>
      </c>
      <c r="X113" s="19">
        <f t="shared" si="25"/>
        <v>0</v>
      </c>
    </row>
    <row r="114" ht="15.75" customHeight="1">
      <c r="Q114" s="15">
        <f t="shared" si="18"/>
        <v>0</v>
      </c>
      <c r="W114" s="22">
        <f t="shared" si="24"/>
        <v>0</v>
      </c>
      <c r="X114" s="19">
        <f t="shared" si="25"/>
        <v>0</v>
      </c>
    </row>
    <row r="115" ht="15.75" customHeight="1">
      <c r="Q115" s="15">
        <f t="shared" si="18"/>
        <v>0</v>
      </c>
      <c r="W115" s="22">
        <f t="shared" si="24"/>
        <v>0</v>
      </c>
      <c r="X115" s="19">
        <f t="shared" si="25"/>
        <v>0</v>
      </c>
    </row>
    <row r="116" ht="15.75" customHeight="1">
      <c r="Q116" s="15">
        <f t="shared" si="18"/>
        <v>0</v>
      </c>
      <c r="W116" s="22">
        <f t="shared" si="24"/>
        <v>0</v>
      </c>
      <c r="X116" s="19">
        <f t="shared" si="25"/>
        <v>0</v>
      </c>
    </row>
    <row r="117" ht="15.75" customHeight="1">
      <c r="Q117" s="15">
        <f t="shared" si="18"/>
        <v>0</v>
      </c>
      <c r="W117" s="22">
        <f t="shared" si="24"/>
        <v>0</v>
      </c>
      <c r="X117" s="19">
        <f t="shared" si="25"/>
        <v>0</v>
      </c>
    </row>
    <row r="118" ht="15.75" customHeight="1">
      <c r="Q118" s="15">
        <f t="shared" si="18"/>
        <v>0</v>
      </c>
      <c r="W118" s="22">
        <f t="shared" si="24"/>
        <v>0</v>
      </c>
      <c r="X118" s="19">
        <f t="shared" si="25"/>
        <v>0</v>
      </c>
    </row>
    <row r="119" ht="15.75" customHeight="1">
      <c r="Q119" s="15">
        <f t="shared" si="18"/>
        <v>0</v>
      </c>
      <c r="W119" s="22">
        <f t="shared" si="24"/>
        <v>0</v>
      </c>
      <c r="X119" s="19">
        <f t="shared" si="25"/>
        <v>0</v>
      </c>
    </row>
    <row r="120" ht="15.75" customHeight="1">
      <c r="Q120" s="15">
        <f t="shared" si="18"/>
        <v>0</v>
      </c>
      <c r="W120" s="22">
        <f t="shared" si="24"/>
        <v>0</v>
      </c>
      <c r="X120" s="19">
        <f t="shared" si="25"/>
        <v>0</v>
      </c>
    </row>
    <row r="121" ht="15.75" customHeight="1">
      <c r="Q121" s="15">
        <f t="shared" si="18"/>
        <v>0</v>
      </c>
      <c r="W121" s="22">
        <f t="shared" si="24"/>
        <v>0</v>
      </c>
      <c r="X121" s="19">
        <f t="shared" si="25"/>
        <v>0</v>
      </c>
    </row>
    <row r="122" ht="15.75" customHeight="1">
      <c r="Q122" s="15">
        <f t="shared" si="18"/>
        <v>0</v>
      </c>
      <c r="W122" s="22">
        <f t="shared" si="24"/>
        <v>0</v>
      </c>
      <c r="X122" s="19">
        <f t="shared" si="25"/>
        <v>0</v>
      </c>
    </row>
    <row r="123" ht="15.75" customHeight="1">
      <c r="Q123" s="15">
        <f t="shared" si="18"/>
        <v>0</v>
      </c>
      <c r="W123" s="22">
        <f t="shared" si="24"/>
        <v>0</v>
      </c>
      <c r="X123" s="19">
        <f t="shared" si="25"/>
        <v>0</v>
      </c>
    </row>
    <row r="124" ht="15.75" customHeight="1">
      <c r="Q124" s="15">
        <f t="shared" si="18"/>
        <v>0</v>
      </c>
      <c r="W124" s="22">
        <f t="shared" si="24"/>
        <v>0</v>
      </c>
      <c r="X124" s="19">
        <f t="shared" si="25"/>
        <v>0</v>
      </c>
    </row>
    <row r="125" ht="15.75" customHeight="1">
      <c r="Q125" s="15">
        <f t="shared" si="18"/>
        <v>0</v>
      </c>
      <c r="W125" s="22">
        <f t="shared" si="24"/>
        <v>0</v>
      </c>
      <c r="X125" s="19">
        <f t="shared" si="25"/>
        <v>0</v>
      </c>
    </row>
    <row r="126" ht="15.75" customHeight="1">
      <c r="Q126" s="15">
        <f t="shared" si="18"/>
        <v>0</v>
      </c>
      <c r="W126" s="22">
        <f t="shared" si="24"/>
        <v>0</v>
      </c>
      <c r="X126" s="19">
        <f t="shared" si="25"/>
        <v>0</v>
      </c>
    </row>
    <row r="127" ht="15.75" customHeight="1">
      <c r="Q127" s="15">
        <f t="shared" si="18"/>
        <v>0</v>
      </c>
      <c r="W127" s="22">
        <f t="shared" si="24"/>
        <v>0</v>
      </c>
      <c r="X127" s="19">
        <f t="shared" si="25"/>
        <v>0</v>
      </c>
    </row>
    <row r="128" ht="15.75" customHeight="1">
      <c r="Q128" s="15">
        <f t="shared" si="18"/>
        <v>0</v>
      </c>
      <c r="W128" s="22">
        <f t="shared" si="24"/>
        <v>0</v>
      </c>
      <c r="X128" s="19">
        <f t="shared" si="25"/>
        <v>0</v>
      </c>
    </row>
    <row r="129" ht="15.75" customHeight="1">
      <c r="Q129" s="15">
        <f t="shared" si="18"/>
        <v>0</v>
      </c>
      <c r="W129" s="22">
        <f t="shared" si="24"/>
        <v>0</v>
      </c>
      <c r="X129" s="19">
        <f t="shared" si="25"/>
        <v>0</v>
      </c>
    </row>
    <row r="130" ht="15.75" customHeight="1">
      <c r="Q130" s="15">
        <f t="shared" si="18"/>
        <v>0</v>
      </c>
      <c r="W130" s="22">
        <f t="shared" si="24"/>
        <v>0</v>
      </c>
      <c r="X130" s="19">
        <f t="shared" si="25"/>
        <v>0</v>
      </c>
    </row>
    <row r="131" ht="15.75" customHeight="1">
      <c r="Q131" s="15">
        <f t="shared" si="18"/>
        <v>0</v>
      </c>
      <c r="W131" s="22">
        <f t="shared" si="24"/>
        <v>0</v>
      </c>
      <c r="X131" s="19">
        <f t="shared" si="25"/>
        <v>0</v>
      </c>
    </row>
    <row r="132" ht="15.75" customHeight="1">
      <c r="Q132" s="15">
        <f t="shared" si="18"/>
        <v>0</v>
      </c>
      <c r="W132" s="22">
        <f t="shared" si="24"/>
        <v>0</v>
      </c>
      <c r="X132" s="19">
        <f t="shared" si="25"/>
        <v>0</v>
      </c>
    </row>
    <row r="133" ht="15.75" customHeight="1">
      <c r="Q133" s="15">
        <f t="shared" si="18"/>
        <v>0</v>
      </c>
      <c r="W133" s="22">
        <f t="shared" si="24"/>
        <v>0</v>
      </c>
      <c r="X133" s="19">
        <f t="shared" si="25"/>
        <v>0</v>
      </c>
    </row>
    <row r="134" ht="15.75" customHeight="1">
      <c r="Q134" s="15">
        <f t="shared" si="18"/>
        <v>0</v>
      </c>
      <c r="W134" s="22">
        <f t="shared" si="24"/>
        <v>0</v>
      </c>
      <c r="X134" s="19">
        <f t="shared" si="25"/>
        <v>0</v>
      </c>
    </row>
    <row r="135" ht="15.75" customHeight="1">
      <c r="Q135" s="15">
        <f t="shared" si="18"/>
        <v>0</v>
      </c>
      <c r="W135" s="22">
        <f t="shared" si="24"/>
        <v>0</v>
      </c>
      <c r="X135" s="19">
        <f t="shared" si="25"/>
        <v>0</v>
      </c>
    </row>
    <row r="136" ht="15.75" customHeight="1">
      <c r="Q136" s="15">
        <f t="shared" si="18"/>
        <v>0</v>
      </c>
      <c r="W136" s="22">
        <f t="shared" si="24"/>
        <v>0</v>
      </c>
      <c r="X136" s="19">
        <f t="shared" si="25"/>
        <v>0</v>
      </c>
    </row>
    <row r="137" ht="15.75" customHeight="1">
      <c r="Q137" s="15">
        <f t="shared" si="18"/>
        <v>0</v>
      </c>
      <c r="W137" s="22">
        <f t="shared" si="24"/>
        <v>0</v>
      </c>
      <c r="X137" s="19">
        <f t="shared" si="25"/>
        <v>0</v>
      </c>
    </row>
    <row r="138" ht="15.75" customHeight="1">
      <c r="Q138" s="15">
        <f t="shared" si="18"/>
        <v>0</v>
      </c>
      <c r="W138" s="22">
        <f t="shared" si="24"/>
        <v>0</v>
      </c>
      <c r="X138" s="19">
        <f t="shared" si="25"/>
        <v>0</v>
      </c>
    </row>
    <row r="139" ht="15.75" customHeight="1">
      <c r="Q139" s="15">
        <f t="shared" si="18"/>
        <v>0</v>
      </c>
      <c r="W139" s="22">
        <f t="shared" si="24"/>
        <v>0</v>
      </c>
      <c r="X139" s="19">
        <f t="shared" si="25"/>
        <v>0</v>
      </c>
    </row>
    <row r="140" ht="15.75" customHeight="1">
      <c r="Q140" s="15">
        <f t="shared" si="18"/>
        <v>0</v>
      </c>
      <c r="W140" s="22">
        <f t="shared" si="24"/>
        <v>0</v>
      </c>
      <c r="X140" s="19">
        <f t="shared" si="25"/>
        <v>0</v>
      </c>
    </row>
    <row r="141" ht="15.75" customHeight="1">
      <c r="Q141" s="15">
        <f t="shared" si="18"/>
        <v>0</v>
      </c>
      <c r="W141" s="22">
        <f t="shared" si="24"/>
        <v>0</v>
      </c>
      <c r="X141" s="19">
        <f t="shared" si="25"/>
        <v>0</v>
      </c>
    </row>
    <row r="142" ht="15.75" customHeight="1">
      <c r="Q142" s="15">
        <f t="shared" si="18"/>
        <v>0</v>
      </c>
      <c r="W142" s="22">
        <f t="shared" si="24"/>
        <v>0</v>
      </c>
      <c r="X142" s="19">
        <f t="shared" si="25"/>
        <v>0</v>
      </c>
    </row>
    <row r="143" ht="15.75" customHeight="1">
      <c r="Q143" s="15">
        <f t="shared" si="18"/>
        <v>0</v>
      </c>
      <c r="W143" s="22">
        <f t="shared" si="24"/>
        <v>0</v>
      </c>
      <c r="X143" s="19">
        <f t="shared" si="25"/>
        <v>0</v>
      </c>
    </row>
    <row r="144" ht="15.75" customHeight="1">
      <c r="Q144" s="15">
        <f t="shared" si="18"/>
        <v>0</v>
      </c>
      <c r="W144" s="22">
        <f t="shared" si="24"/>
        <v>0</v>
      </c>
      <c r="X144" s="19">
        <f t="shared" si="25"/>
        <v>0</v>
      </c>
    </row>
    <row r="145" ht="15.75" customHeight="1">
      <c r="Q145" s="15">
        <f t="shared" si="18"/>
        <v>0</v>
      </c>
      <c r="W145" s="22">
        <f t="shared" si="24"/>
        <v>0</v>
      </c>
      <c r="X145" s="19">
        <f t="shared" si="25"/>
        <v>0</v>
      </c>
    </row>
    <row r="146" ht="15.75" customHeight="1">
      <c r="Q146" s="15">
        <f t="shared" si="18"/>
        <v>0</v>
      </c>
      <c r="W146" s="22">
        <f t="shared" si="24"/>
        <v>0</v>
      </c>
      <c r="X146" s="19">
        <f t="shared" si="25"/>
        <v>0</v>
      </c>
    </row>
    <row r="147" ht="15.75" customHeight="1">
      <c r="Q147" s="15">
        <f t="shared" si="18"/>
        <v>0</v>
      </c>
      <c r="W147" s="22">
        <f t="shared" si="24"/>
        <v>0</v>
      </c>
      <c r="X147" s="19">
        <f t="shared" si="25"/>
        <v>0</v>
      </c>
    </row>
    <row r="148" ht="15.75" customHeight="1">
      <c r="Q148" s="15">
        <f t="shared" si="18"/>
        <v>0</v>
      </c>
      <c r="W148" s="22">
        <f t="shared" si="24"/>
        <v>0</v>
      </c>
      <c r="X148" s="19">
        <f t="shared" si="25"/>
        <v>0</v>
      </c>
    </row>
    <row r="149" ht="15.75" customHeight="1">
      <c r="Q149" s="15">
        <f t="shared" si="18"/>
        <v>0</v>
      </c>
      <c r="W149" s="22">
        <f t="shared" si="24"/>
        <v>0</v>
      </c>
      <c r="X149" s="19">
        <f t="shared" si="25"/>
        <v>0</v>
      </c>
    </row>
    <row r="150" ht="15.75" customHeight="1">
      <c r="Q150" s="15">
        <f t="shared" si="18"/>
        <v>0</v>
      </c>
      <c r="W150" s="22">
        <f t="shared" si="24"/>
        <v>0</v>
      </c>
      <c r="X150" s="19">
        <f t="shared" si="25"/>
        <v>0</v>
      </c>
    </row>
    <row r="151" ht="15.75" customHeight="1">
      <c r="Q151" s="15">
        <f t="shared" si="18"/>
        <v>0</v>
      </c>
      <c r="W151" s="22">
        <f t="shared" si="24"/>
        <v>0</v>
      </c>
      <c r="X151" s="19">
        <f t="shared" si="25"/>
        <v>0</v>
      </c>
    </row>
    <row r="152" ht="15.75" customHeight="1">
      <c r="Q152" s="15">
        <f t="shared" si="18"/>
        <v>0</v>
      </c>
      <c r="W152" s="22">
        <f t="shared" si="24"/>
        <v>0</v>
      </c>
      <c r="X152" s="19">
        <f t="shared" si="25"/>
        <v>0</v>
      </c>
    </row>
    <row r="153" ht="15.75" customHeight="1">
      <c r="Q153" s="15">
        <f t="shared" si="18"/>
        <v>0</v>
      </c>
      <c r="W153" s="22">
        <f t="shared" si="24"/>
        <v>0</v>
      </c>
      <c r="X153" s="19">
        <f t="shared" si="25"/>
        <v>0</v>
      </c>
    </row>
    <row r="154" ht="15.75" customHeight="1">
      <c r="Q154" s="15">
        <f t="shared" si="18"/>
        <v>0</v>
      </c>
      <c r="W154" s="22">
        <f t="shared" si="24"/>
        <v>0</v>
      </c>
      <c r="X154" s="19">
        <f t="shared" si="25"/>
        <v>0</v>
      </c>
    </row>
    <row r="155" ht="15.75" customHeight="1">
      <c r="Q155" s="15">
        <f t="shared" si="18"/>
        <v>0</v>
      </c>
      <c r="W155" s="22">
        <f t="shared" si="24"/>
        <v>0</v>
      </c>
      <c r="X155" s="19">
        <f t="shared" si="25"/>
        <v>0</v>
      </c>
    </row>
    <row r="156" ht="15.75" customHeight="1">
      <c r="Q156" s="15">
        <f t="shared" si="18"/>
        <v>0</v>
      </c>
      <c r="W156" s="22">
        <f t="shared" si="24"/>
        <v>0</v>
      </c>
      <c r="X156" s="19">
        <f t="shared" si="25"/>
        <v>0</v>
      </c>
    </row>
    <row r="157" ht="15.75" customHeight="1">
      <c r="Q157" s="15">
        <f t="shared" si="18"/>
        <v>0</v>
      </c>
      <c r="W157" s="22">
        <f t="shared" si="24"/>
        <v>0</v>
      </c>
      <c r="X157" s="19">
        <f t="shared" si="25"/>
        <v>0</v>
      </c>
    </row>
    <row r="158" ht="15.75" customHeight="1">
      <c r="Q158" s="15">
        <f t="shared" si="18"/>
        <v>0</v>
      </c>
      <c r="W158" s="22">
        <f t="shared" si="24"/>
        <v>0</v>
      </c>
      <c r="X158" s="19">
        <f t="shared" si="25"/>
        <v>0</v>
      </c>
    </row>
    <row r="159" ht="15.75" customHeight="1">
      <c r="Q159" s="15">
        <f t="shared" si="18"/>
        <v>0</v>
      </c>
      <c r="W159" s="22">
        <f t="shared" si="24"/>
        <v>0</v>
      </c>
      <c r="X159" s="19">
        <f t="shared" si="25"/>
        <v>0</v>
      </c>
    </row>
    <row r="160" ht="15.75" customHeight="1">
      <c r="Q160" s="15">
        <f t="shared" si="18"/>
        <v>0</v>
      </c>
      <c r="W160" s="22">
        <f t="shared" si="24"/>
        <v>0</v>
      </c>
      <c r="X160" s="19">
        <f t="shared" si="25"/>
        <v>0</v>
      </c>
    </row>
    <row r="161" ht="15.75" customHeight="1">
      <c r="Q161" s="15">
        <f t="shared" si="18"/>
        <v>0</v>
      </c>
      <c r="W161" s="22">
        <f t="shared" si="24"/>
        <v>0</v>
      </c>
      <c r="X161" s="19">
        <f t="shared" si="25"/>
        <v>0</v>
      </c>
    </row>
    <row r="162" ht="15.75" customHeight="1">
      <c r="Q162" s="15">
        <f t="shared" si="18"/>
        <v>0</v>
      </c>
      <c r="W162" s="22">
        <f t="shared" si="24"/>
        <v>0</v>
      </c>
      <c r="X162" s="19">
        <f t="shared" si="25"/>
        <v>0</v>
      </c>
    </row>
    <row r="163" ht="15.75" customHeight="1">
      <c r="Q163" s="15">
        <f t="shared" si="18"/>
        <v>0</v>
      </c>
      <c r="W163" s="22">
        <f t="shared" si="24"/>
        <v>0</v>
      </c>
      <c r="X163" s="19">
        <f t="shared" si="25"/>
        <v>0</v>
      </c>
    </row>
    <row r="164" ht="15.75" customHeight="1">
      <c r="Q164" s="15">
        <f t="shared" si="18"/>
        <v>0</v>
      </c>
      <c r="W164" s="22">
        <f t="shared" si="24"/>
        <v>0</v>
      </c>
      <c r="X164" s="19">
        <f t="shared" si="25"/>
        <v>0</v>
      </c>
    </row>
    <row r="165" ht="15.75" customHeight="1">
      <c r="Q165" s="15">
        <f t="shared" si="18"/>
        <v>0</v>
      </c>
      <c r="W165" s="22">
        <f t="shared" si="24"/>
        <v>0</v>
      </c>
      <c r="X165" s="19">
        <f t="shared" si="25"/>
        <v>0</v>
      </c>
    </row>
    <row r="166" ht="15.75" customHeight="1">
      <c r="Q166" s="15">
        <f t="shared" si="18"/>
        <v>0</v>
      </c>
      <c r="W166" s="22">
        <f t="shared" si="24"/>
        <v>0</v>
      </c>
      <c r="X166" s="19">
        <f t="shared" si="25"/>
        <v>0</v>
      </c>
    </row>
    <row r="167" ht="15.75" customHeight="1">
      <c r="Q167" s="15">
        <f t="shared" si="18"/>
        <v>0</v>
      </c>
      <c r="W167" s="22">
        <f t="shared" si="24"/>
        <v>0</v>
      </c>
      <c r="X167" s="19">
        <f t="shared" si="25"/>
        <v>0</v>
      </c>
    </row>
    <row r="168" ht="15.75" customHeight="1">
      <c r="Q168" s="15">
        <f t="shared" si="18"/>
        <v>0</v>
      </c>
      <c r="W168" s="22">
        <f t="shared" si="24"/>
        <v>0</v>
      </c>
      <c r="X168" s="19">
        <f t="shared" si="25"/>
        <v>0</v>
      </c>
    </row>
    <row r="169" ht="15.75" customHeight="1">
      <c r="Q169" s="15">
        <f t="shared" si="18"/>
        <v>0</v>
      </c>
      <c r="W169" s="22">
        <f t="shared" si="24"/>
        <v>0</v>
      </c>
      <c r="X169" s="19">
        <f t="shared" si="25"/>
        <v>0</v>
      </c>
    </row>
    <row r="170" ht="15.75" customHeight="1">
      <c r="Q170" s="15">
        <f t="shared" si="18"/>
        <v>0</v>
      </c>
      <c r="W170" s="22">
        <f t="shared" si="24"/>
        <v>0</v>
      </c>
      <c r="X170" s="19">
        <f t="shared" si="25"/>
        <v>0</v>
      </c>
    </row>
    <row r="171" ht="15.75" customHeight="1">
      <c r="Q171" s="15">
        <f t="shared" si="18"/>
        <v>0</v>
      </c>
      <c r="W171" s="22">
        <f t="shared" si="24"/>
        <v>0</v>
      </c>
      <c r="X171" s="19">
        <f t="shared" si="25"/>
        <v>0</v>
      </c>
    </row>
    <row r="172" ht="15.75" customHeight="1">
      <c r="Q172" s="15">
        <f t="shared" si="18"/>
        <v>0</v>
      </c>
      <c r="W172" s="22">
        <f t="shared" si="24"/>
        <v>0</v>
      </c>
      <c r="X172" s="19">
        <f t="shared" si="25"/>
        <v>0</v>
      </c>
    </row>
    <row r="173" ht="15.75" customHeight="1">
      <c r="Q173" s="15">
        <f t="shared" si="18"/>
        <v>0</v>
      </c>
      <c r="W173" s="22">
        <f t="shared" si="24"/>
        <v>0</v>
      </c>
      <c r="X173" s="19">
        <f t="shared" si="25"/>
        <v>0</v>
      </c>
    </row>
    <row r="174" ht="15.75" customHeight="1">
      <c r="Q174" s="15">
        <f t="shared" si="18"/>
        <v>0</v>
      </c>
      <c r="W174" s="22">
        <f t="shared" si="24"/>
        <v>0</v>
      </c>
      <c r="X174" s="19">
        <f t="shared" si="25"/>
        <v>0</v>
      </c>
    </row>
    <row r="175" ht="15.75" customHeight="1">
      <c r="Q175" s="15">
        <f t="shared" si="18"/>
        <v>0</v>
      </c>
      <c r="W175" s="22">
        <f t="shared" si="24"/>
        <v>0</v>
      </c>
      <c r="X175" s="19">
        <f t="shared" si="25"/>
        <v>0</v>
      </c>
    </row>
    <row r="176" ht="15.75" customHeight="1">
      <c r="Q176" s="15">
        <f t="shared" si="18"/>
        <v>0</v>
      </c>
      <c r="W176" s="22">
        <f t="shared" si="24"/>
        <v>0</v>
      </c>
      <c r="X176" s="19">
        <f t="shared" si="25"/>
        <v>0</v>
      </c>
    </row>
    <row r="177" ht="15.75" customHeight="1">
      <c r="Q177" s="15">
        <f t="shared" si="18"/>
        <v>0</v>
      </c>
      <c r="W177" s="22">
        <f t="shared" si="24"/>
        <v>0</v>
      </c>
      <c r="X177" s="19">
        <f t="shared" si="25"/>
        <v>0</v>
      </c>
    </row>
    <row r="178" ht="15.75" customHeight="1">
      <c r="Q178" s="15">
        <f t="shared" si="18"/>
        <v>0</v>
      </c>
      <c r="W178" s="22">
        <f t="shared" si="24"/>
        <v>0</v>
      </c>
      <c r="X178" s="19">
        <f t="shared" si="25"/>
        <v>0</v>
      </c>
    </row>
    <row r="179" ht="15.75" customHeight="1">
      <c r="Q179" s="15">
        <f t="shared" si="18"/>
        <v>0</v>
      </c>
      <c r="W179" s="22">
        <f t="shared" si="24"/>
        <v>0</v>
      </c>
      <c r="X179" s="19">
        <f t="shared" si="25"/>
        <v>0</v>
      </c>
    </row>
    <row r="180" ht="15.75" customHeight="1">
      <c r="Q180" s="15">
        <f t="shared" si="18"/>
        <v>0</v>
      </c>
      <c r="W180" s="22">
        <f t="shared" si="24"/>
        <v>0</v>
      </c>
      <c r="X180" s="19">
        <f t="shared" si="25"/>
        <v>0</v>
      </c>
    </row>
    <row r="181" ht="15.75" customHeight="1">
      <c r="Q181" s="15">
        <f t="shared" si="18"/>
        <v>0</v>
      </c>
      <c r="W181" s="22">
        <f t="shared" si="24"/>
        <v>0</v>
      </c>
      <c r="X181" s="19">
        <f t="shared" si="25"/>
        <v>0</v>
      </c>
    </row>
    <row r="182" ht="15.75" customHeight="1">
      <c r="Q182" s="15">
        <f t="shared" si="18"/>
        <v>0</v>
      </c>
      <c r="W182" s="22">
        <f t="shared" si="24"/>
        <v>0</v>
      </c>
      <c r="X182" s="19">
        <f t="shared" si="25"/>
        <v>0</v>
      </c>
    </row>
    <row r="183" ht="15.75" customHeight="1">
      <c r="Q183" s="15">
        <f t="shared" si="18"/>
        <v>0</v>
      </c>
      <c r="W183" s="22">
        <f t="shared" si="24"/>
        <v>0</v>
      </c>
      <c r="X183" s="19">
        <f t="shared" si="25"/>
        <v>0</v>
      </c>
    </row>
    <row r="184" ht="15.75" customHeight="1">
      <c r="Q184" s="15">
        <f t="shared" si="18"/>
        <v>0</v>
      </c>
      <c r="W184" s="22">
        <f t="shared" si="24"/>
        <v>0</v>
      </c>
      <c r="X184" s="19">
        <f t="shared" si="25"/>
        <v>0</v>
      </c>
    </row>
    <row r="185" ht="15.75" customHeight="1">
      <c r="Q185" s="15">
        <f t="shared" si="18"/>
        <v>0</v>
      </c>
      <c r="W185" s="22">
        <f t="shared" si="24"/>
        <v>0</v>
      </c>
      <c r="X185" s="19">
        <f t="shared" si="25"/>
        <v>0</v>
      </c>
    </row>
    <row r="186" ht="15.75" customHeight="1">
      <c r="Q186" s="15">
        <f t="shared" si="18"/>
        <v>0</v>
      </c>
      <c r="W186" s="22">
        <f t="shared" si="24"/>
        <v>0</v>
      </c>
      <c r="X186" s="19">
        <f t="shared" si="25"/>
        <v>0</v>
      </c>
    </row>
    <row r="187" ht="15.75" customHeight="1">
      <c r="Q187" s="15">
        <f t="shared" si="18"/>
        <v>0</v>
      </c>
      <c r="W187" s="22">
        <f t="shared" si="24"/>
        <v>0</v>
      </c>
      <c r="X187" s="19">
        <f t="shared" si="25"/>
        <v>0</v>
      </c>
    </row>
    <row r="188" ht="15.75" customHeight="1">
      <c r="Q188" s="15">
        <f t="shared" si="18"/>
        <v>0</v>
      </c>
      <c r="W188" s="22">
        <f t="shared" si="24"/>
        <v>0</v>
      </c>
      <c r="X188" s="19">
        <f t="shared" si="25"/>
        <v>0</v>
      </c>
    </row>
    <row r="189" ht="15.75" customHeight="1">
      <c r="Q189" s="15">
        <f t="shared" si="18"/>
        <v>0</v>
      </c>
      <c r="W189" s="22">
        <f t="shared" si="24"/>
        <v>0</v>
      </c>
      <c r="X189" s="19">
        <f t="shared" si="25"/>
        <v>0</v>
      </c>
    </row>
    <row r="190" ht="15.75" customHeight="1">
      <c r="Q190" s="15">
        <f t="shared" si="18"/>
        <v>0</v>
      </c>
      <c r="W190" s="22">
        <f t="shared" si="24"/>
        <v>0</v>
      </c>
      <c r="X190" s="19">
        <f t="shared" si="25"/>
        <v>0</v>
      </c>
    </row>
    <row r="191" ht="15.75" customHeight="1">
      <c r="Q191" s="15">
        <f t="shared" si="18"/>
        <v>0</v>
      </c>
      <c r="W191" s="22">
        <f t="shared" si="24"/>
        <v>0</v>
      </c>
      <c r="X191" s="19">
        <f t="shared" si="25"/>
        <v>0</v>
      </c>
    </row>
    <row r="192" ht="15.75" customHeight="1">
      <c r="Q192" s="15">
        <f t="shared" si="18"/>
        <v>0</v>
      </c>
      <c r="W192" s="22">
        <f t="shared" si="24"/>
        <v>0</v>
      </c>
      <c r="X192" s="19">
        <f t="shared" si="25"/>
        <v>0</v>
      </c>
    </row>
    <row r="193" ht="15.75" customHeight="1">
      <c r="Q193" s="15">
        <f t="shared" si="18"/>
        <v>0</v>
      </c>
      <c r="W193" s="22">
        <f t="shared" si="24"/>
        <v>0</v>
      </c>
      <c r="X193" s="19">
        <f t="shared" si="25"/>
        <v>0</v>
      </c>
    </row>
    <row r="194" ht="15.75" customHeight="1">
      <c r="Q194" s="15">
        <f t="shared" si="18"/>
        <v>0</v>
      </c>
      <c r="W194" s="22">
        <f t="shared" si="24"/>
        <v>0</v>
      </c>
      <c r="X194" s="19">
        <f t="shared" si="25"/>
        <v>0</v>
      </c>
    </row>
    <row r="195" ht="15.75" customHeight="1">
      <c r="Q195" s="15">
        <f t="shared" si="18"/>
        <v>0</v>
      </c>
      <c r="W195" s="22">
        <f t="shared" si="24"/>
        <v>0</v>
      </c>
      <c r="X195" s="19">
        <f t="shared" si="25"/>
        <v>0</v>
      </c>
    </row>
    <row r="196" ht="15.75" customHeight="1">
      <c r="Q196" s="15">
        <f t="shared" si="18"/>
        <v>0</v>
      </c>
      <c r="W196" s="22">
        <f t="shared" si="24"/>
        <v>0</v>
      </c>
      <c r="X196" s="19">
        <f t="shared" si="25"/>
        <v>0</v>
      </c>
    </row>
    <row r="197" ht="15.75" customHeight="1">
      <c r="Q197" s="15">
        <f t="shared" si="18"/>
        <v>0</v>
      </c>
      <c r="W197" s="22">
        <f t="shared" si="24"/>
        <v>0</v>
      </c>
      <c r="X197" s="19">
        <f t="shared" si="25"/>
        <v>0</v>
      </c>
    </row>
    <row r="198" ht="15.75" customHeight="1">
      <c r="Q198" s="15">
        <f t="shared" si="18"/>
        <v>0</v>
      </c>
      <c r="W198" s="22">
        <f t="shared" si="24"/>
        <v>0</v>
      </c>
      <c r="X198" s="19">
        <f t="shared" si="25"/>
        <v>0</v>
      </c>
    </row>
    <row r="199" ht="15.75" customHeight="1">
      <c r="Q199" s="15">
        <f t="shared" si="18"/>
        <v>0</v>
      </c>
      <c r="W199" s="22">
        <f t="shared" si="24"/>
        <v>0</v>
      </c>
      <c r="X199" s="19">
        <f t="shared" si="25"/>
        <v>0</v>
      </c>
    </row>
    <row r="200" ht="15.75" customHeight="1">
      <c r="Q200" s="15">
        <f t="shared" si="18"/>
        <v>0</v>
      </c>
      <c r="W200" s="22">
        <f t="shared" si="24"/>
        <v>0</v>
      </c>
      <c r="X200" s="19">
        <f t="shared" si="25"/>
        <v>0</v>
      </c>
    </row>
    <row r="201" ht="15.75" customHeight="1">
      <c r="Q201" s="15">
        <f t="shared" si="18"/>
        <v>0</v>
      </c>
      <c r="W201" s="22">
        <f t="shared" si="24"/>
        <v>0</v>
      </c>
      <c r="X201" s="19">
        <f t="shared" si="25"/>
        <v>0</v>
      </c>
    </row>
    <row r="202" ht="15.75" customHeight="1">
      <c r="Q202" s="15">
        <f t="shared" si="18"/>
        <v>0</v>
      </c>
      <c r="W202" s="22">
        <f t="shared" si="24"/>
        <v>0</v>
      </c>
      <c r="X202" s="19">
        <f t="shared" si="25"/>
        <v>0</v>
      </c>
    </row>
    <row r="203" ht="15.75" customHeight="1">
      <c r="Q203" s="15">
        <f t="shared" si="18"/>
        <v>0</v>
      </c>
      <c r="W203" s="22">
        <f t="shared" si="24"/>
        <v>0</v>
      </c>
      <c r="X203" s="19">
        <f t="shared" si="25"/>
        <v>0</v>
      </c>
    </row>
    <row r="204" ht="15.75" customHeight="1">
      <c r="Q204" s="15">
        <f t="shared" si="18"/>
        <v>0</v>
      </c>
      <c r="W204" s="22">
        <f t="shared" si="24"/>
        <v>0</v>
      </c>
      <c r="X204" s="19">
        <f t="shared" si="25"/>
        <v>0</v>
      </c>
    </row>
    <row r="205" ht="15.75" customHeight="1">
      <c r="Q205" s="15">
        <f t="shared" si="18"/>
        <v>0</v>
      </c>
      <c r="W205" s="22">
        <f t="shared" si="24"/>
        <v>0</v>
      </c>
      <c r="X205" s="19">
        <f t="shared" si="25"/>
        <v>0</v>
      </c>
    </row>
    <row r="206" ht="15.75" customHeight="1">
      <c r="Q206" s="15">
        <f t="shared" si="18"/>
        <v>0</v>
      </c>
      <c r="W206" s="22">
        <f t="shared" si="24"/>
        <v>0</v>
      </c>
      <c r="X206" s="19">
        <f t="shared" si="25"/>
        <v>0</v>
      </c>
    </row>
    <row r="207" ht="15.75" customHeight="1">
      <c r="Q207" s="15">
        <f t="shared" si="18"/>
        <v>0</v>
      </c>
      <c r="W207" s="22">
        <f t="shared" si="24"/>
        <v>0</v>
      </c>
      <c r="X207" s="19">
        <f t="shared" si="25"/>
        <v>0</v>
      </c>
    </row>
    <row r="208" ht="15.75" customHeight="1">
      <c r="Q208" s="15">
        <f t="shared" si="18"/>
        <v>0</v>
      </c>
      <c r="W208" s="22">
        <f t="shared" si="24"/>
        <v>0</v>
      </c>
      <c r="X208" s="19">
        <f t="shared" si="25"/>
        <v>0</v>
      </c>
    </row>
    <row r="209" ht="15.75" customHeight="1">
      <c r="Q209" s="15">
        <f t="shared" si="18"/>
        <v>0</v>
      </c>
      <c r="W209" s="22">
        <f t="shared" si="24"/>
        <v>0</v>
      </c>
      <c r="X209" s="19">
        <f t="shared" si="25"/>
        <v>0</v>
      </c>
    </row>
    <row r="210" ht="15.75" customHeight="1">
      <c r="Q210" s="15">
        <f t="shared" si="18"/>
        <v>0</v>
      </c>
      <c r="W210" s="22">
        <f t="shared" si="24"/>
        <v>0</v>
      </c>
      <c r="X210" s="19">
        <f t="shared" si="25"/>
        <v>0</v>
      </c>
    </row>
    <row r="211" ht="15.75" customHeight="1">
      <c r="Q211" s="15">
        <f t="shared" si="18"/>
        <v>0</v>
      </c>
      <c r="W211" s="22">
        <f t="shared" si="24"/>
        <v>0</v>
      </c>
      <c r="X211" s="19">
        <f t="shared" si="25"/>
        <v>0</v>
      </c>
    </row>
    <row r="212" ht="15.75" customHeight="1">
      <c r="Q212" s="15">
        <f t="shared" si="18"/>
        <v>0</v>
      </c>
      <c r="W212" s="22">
        <f t="shared" si="24"/>
        <v>0</v>
      </c>
      <c r="X212" s="19">
        <f t="shared" si="25"/>
        <v>0</v>
      </c>
    </row>
    <row r="213" ht="15.75" customHeight="1">
      <c r="Q213" s="15">
        <f t="shared" si="18"/>
        <v>0</v>
      </c>
      <c r="W213" s="22">
        <f t="shared" si="24"/>
        <v>0</v>
      </c>
      <c r="X213" s="19">
        <f t="shared" si="25"/>
        <v>0</v>
      </c>
    </row>
    <row r="214" ht="15.75" customHeight="1">
      <c r="Q214" s="15">
        <f t="shared" si="18"/>
        <v>0</v>
      </c>
      <c r="W214" s="22">
        <f t="shared" si="24"/>
        <v>0</v>
      </c>
      <c r="X214" s="19">
        <f t="shared" si="25"/>
        <v>0</v>
      </c>
    </row>
    <row r="215" ht="15.75" customHeight="1">
      <c r="Q215" s="15">
        <f t="shared" si="18"/>
        <v>0</v>
      </c>
      <c r="W215" s="22">
        <f t="shared" si="24"/>
        <v>0</v>
      </c>
      <c r="X215" s="19">
        <f t="shared" si="25"/>
        <v>0</v>
      </c>
    </row>
    <row r="216" ht="15.75" customHeight="1">
      <c r="Q216" s="15">
        <f t="shared" si="18"/>
        <v>0</v>
      </c>
      <c r="W216" s="22">
        <f t="shared" si="24"/>
        <v>0</v>
      </c>
      <c r="X216" s="19">
        <f t="shared" si="25"/>
        <v>0</v>
      </c>
    </row>
    <row r="217" ht="15.75" customHeight="1">
      <c r="Q217" s="15">
        <f t="shared" si="18"/>
        <v>0</v>
      </c>
      <c r="W217" s="22">
        <f t="shared" si="24"/>
        <v>0</v>
      </c>
      <c r="X217" s="19">
        <f t="shared" si="25"/>
        <v>0</v>
      </c>
    </row>
    <row r="218" ht="15.75" customHeight="1">
      <c r="Q218" s="15">
        <f t="shared" si="18"/>
        <v>0</v>
      </c>
      <c r="W218" s="22">
        <f t="shared" si="24"/>
        <v>0</v>
      </c>
      <c r="X218" s="19">
        <f t="shared" si="25"/>
        <v>0</v>
      </c>
    </row>
    <row r="219" ht="15.75" customHeight="1">
      <c r="Q219" s="15">
        <f t="shared" si="18"/>
        <v>0</v>
      </c>
      <c r="W219" s="22">
        <f t="shared" si="24"/>
        <v>0</v>
      </c>
      <c r="X219" s="19">
        <f t="shared" si="25"/>
        <v>0</v>
      </c>
    </row>
    <row r="220" ht="15.75" customHeight="1">
      <c r="Q220" s="15">
        <f t="shared" si="18"/>
        <v>0</v>
      </c>
      <c r="W220" s="22">
        <f t="shared" si="24"/>
        <v>0</v>
      </c>
      <c r="X220" s="19">
        <f t="shared" si="25"/>
        <v>0</v>
      </c>
    </row>
    <row r="221" ht="15.75" customHeight="1">
      <c r="Q221" s="15">
        <f t="shared" si="18"/>
        <v>0</v>
      </c>
      <c r="W221" s="22">
        <f t="shared" si="24"/>
        <v>0</v>
      </c>
      <c r="X221" s="19">
        <f t="shared" si="25"/>
        <v>0</v>
      </c>
    </row>
    <row r="222" ht="15.75" customHeight="1">
      <c r="Q222" s="15">
        <f t="shared" si="18"/>
        <v>0</v>
      </c>
      <c r="W222" s="22">
        <f t="shared" si="24"/>
        <v>0</v>
      </c>
      <c r="X222" s="19">
        <f t="shared" si="25"/>
        <v>0</v>
      </c>
    </row>
    <row r="223" ht="15.75" customHeight="1">
      <c r="Q223" s="15">
        <f t="shared" si="18"/>
        <v>0</v>
      </c>
      <c r="W223" s="22">
        <f t="shared" si="24"/>
        <v>0</v>
      </c>
      <c r="X223" s="19">
        <f t="shared" si="25"/>
        <v>0</v>
      </c>
    </row>
    <row r="224" ht="15.75" customHeight="1">
      <c r="Q224" s="15">
        <f t="shared" si="18"/>
        <v>0</v>
      </c>
      <c r="W224" s="22">
        <f t="shared" si="24"/>
        <v>0</v>
      </c>
      <c r="X224" s="19">
        <f t="shared" si="25"/>
        <v>0</v>
      </c>
    </row>
    <row r="225" ht="15.75" customHeight="1">
      <c r="Q225" s="15">
        <f t="shared" si="18"/>
        <v>0</v>
      </c>
      <c r="W225" s="22">
        <f t="shared" si="24"/>
        <v>0</v>
      </c>
      <c r="X225" s="19">
        <f t="shared" si="25"/>
        <v>0</v>
      </c>
    </row>
    <row r="226" ht="15.75" customHeight="1">
      <c r="Q226" s="15">
        <f t="shared" si="18"/>
        <v>0</v>
      </c>
      <c r="W226" s="22">
        <f t="shared" si="24"/>
        <v>0</v>
      </c>
      <c r="X226" s="19">
        <f t="shared" si="25"/>
        <v>0</v>
      </c>
    </row>
    <row r="227" ht="15.75" customHeight="1">
      <c r="Q227" s="15">
        <f t="shared" si="18"/>
        <v>0</v>
      </c>
      <c r="W227" s="22">
        <f t="shared" si="24"/>
        <v>0</v>
      </c>
      <c r="X227" s="19">
        <f t="shared" si="25"/>
        <v>0</v>
      </c>
    </row>
    <row r="228" ht="15.75" customHeight="1">
      <c r="Q228" s="15">
        <f t="shared" si="18"/>
        <v>0</v>
      </c>
      <c r="W228" s="22">
        <f t="shared" si="24"/>
        <v>0</v>
      </c>
      <c r="X228" s="19">
        <f t="shared" si="25"/>
        <v>0</v>
      </c>
    </row>
    <row r="229" ht="15.75" customHeight="1">
      <c r="Q229" s="15">
        <f t="shared" si="18"/>
        <v>0</v>
      </c>
      <c r="W229" s="22">
        <f t="shared" si="24"/>
        <v>0</v>
      </c>
      <c r="X229" s="19">
        <f t="shared" si="25"/>
        <v>0</v>
      </c>
    </row>
    <row r="230" ht="15.75" customHeight="1">
      <c r="Q230" s="15">
        <f t="shared" si="18"/>
        <v>0</v>
      </c>
      <c r="W230" s="22">
        <f t="shared" si="24"/>
        <v>0</v>
      </c>
      <c r="X230" s="19">
        <f t="shared" si="25"/>
        <v>0</v>
      </c>
    </row>
    <row r="231" ht="15.75" customHeight="1">
      <c r="Q231" s="15">
        <f t="shared" si="18"/>
        <v>0</v>
      </c>
      <c r="W231" s="22">
        <f t="shared" si="24"/>
        <v>0</v>
      </c>
      <c r="X231" s="19">
        <f t="shared" si="25"/>
        <v>0</v>
      </c>
    </row>
    <row r="232" ht="15.75" customHeight="1">
      <c r="Q232" s="15">
        <f t="shared" si="18"/>
        <v>0</v>
      </c>
      <c r="W232" s="22">
        <f t="shared" si="24"/>
        <v>0</v>
      </c>
      <c r="X232" s="19">
        <f t="shared" si="25"/>
        <v>0</v>
      </c>
    </row>
    <row r="233" ht="15.75" customHeight="1">
      <c r="Q233" s="15">
        <f t="shared" si="18"/>
        <v>0</v>
      </c>
      <c r="W233" s="22">
        <f t="shared" si="24"/>
        <v>0</v>
      </c>
      <c r="X233" s="19">
        <f t="shared" si="25"/>
        <v>0</v>
      </c>
    </row>
    <row r="234" ht="15.75" customHeight="1">
      <c r="Q234" s="15">
        <f t="shared" si="18"/>
        <v>0</v>
      </c>
      <c r="W234" s="22">
        <f t="shared" si="24"/>
        <v>0</v>
      </c>
      <c r="X234" s="19">
        <f t="shared" si="25"/>
        <v>0</v>
      </c>
    </row>
    <row r="235" ht="15.75" customHeight="1">
      <c r="Q235" s="15">
        <f t="shared" si="18"/>
        <v>0</v>
      </c>
      <c r="W235" s="22">
        <f t="shared" si="24"/>
        <v>0</v>
      </c>
      <c r="X235" s="19">
        <f t="shared" si="25"/>
        <v>0</v>
      </c>
    </row>
    <row r="236" ht="15.75" customHeight="1">
      <c r="Q236" s="15">
        <f t="shared" si="18"/>
        <v>0</v>
      </c>
      <c r="W236" s="22">
        <f t="shared" si="24"/>
        <v>0</v>
      </c>
      <c r="X236" s="19">
        <f t="shared" si="25"/>
        <v>0</v>
      </c>
    </row>
    <row r="237" ht="15.75" customHeight="1">
      <c r="Q237" s="15">
        <f t="shared" si="18"/>
        <v>0</v>
      </c>
      <c r="W237" s="22">
        <f t="shared" si="24"/>
        <v>0</v>
      </c>
      <c r="X237" s="19">
        <f t="shared" si="25"/>
        <v>0</v>
      </c>
    </row>
    <row r="238" ht="15.75" customHeight="1">
      <c r="Q238" s="15">
        <f t="shared" si="18"/>
        <v>0</v>
      </c>
      <c r="W238" s="22">
        <f t="shared" si="24"/>
        <v>0</v>
      </c>
      <c r="X238" s="19">
        <f t="shared" si="25"/>
        <v>0</v>
      </c>
    </row>
    <row r="239" ht="15.75" customHeight="1">
      <c r="Q239" s="15">
        <f t="shared" si="18"/>
        <v>0</v>
      </c>
      <c r="W239" s="22">
        <f t="shared" si="24"/>
        <v>0</v>
      </c>
      <c r="X239" s="19">
        <f t="shared" si="25"/>
        <v>0</v>
      </c>
    </row>
    <row r="240" ht="15.75" customHeight="1">
      <c r="Q240" s="15">
        <f t="shared" si="18"/>
        <v>0</v>
      </c>
      <c r="W240" s="22">
        <f t="shared" si="24"/>
        <v>0</v>
      </c>
      <c r="X240" s="19">
        <f t="shared" si="25"/>
        <v>0</v>
      </c>
    </row>
    <row r="241" ht="15.75" customHeight="1">
      <c r="Q241" s="15">
        <f t="shared" si="18"/>
        <v>0</v>
      </c>
      <c r="W241" s="22">
        <f t="shared" si="24"/>
        <v>0</v>
      </c>
      <c r="X241" s="19">
        <f t="shared" si="25"/>
        <v>0</v>
      </c>
    </row>
    <row r="242" ht="15.75" customHeight="1">
      <c r="Q242" s="15">
        <f t="shared" si="18"/>
        <v>0</v>
      </c>
      <c r="W242" s="22">
        <f t="shared" si="24"/>
        <v>0</v>
      </c>
      <c r="X242" s="19">
        <f t="shared" si="25"/>
        <v>0</v>
      </c>
    </row>
    <row r="243" ht="15.75" customHeight="1">
      <c r="Q243" s="15">
        <f t="shared" si="18"/>
        <v>0</v>
      </c>
      <c r="W243" s="22">
        <f t="shared" si="24"/>
        <v>0</v>
      </c>
      <c r="X243" s="19">
        <f t="shared" si="25"/>
        <v>0</v>
      </c>
    </row>
    <row r="244" ht="15.75" customHeight="1">
      <c r="Q244" s="15">
        <f t="shared" si="18"/>
        <v>0</v>
      </c>
      <c r="W244" s="22">
        <f t="shared" si="24"/>
        <v>0</v>
      </c>
      <c r="X244" s="19">
        <f t="shared" si="25"/>
        <v>0</v>
      </c>
    </row>
    <row r="245" ht="15.75" customHeight="1">
      <c r="Q245" s="15">
        <f t="shared" si="18"/>
        <v>0</v>
      </c>
      <c r="W245" s="22">
        <f t="shared" si="24"/>
        <v>0</v>
      </c>
      <c r="X245" s="19">
        <f t="shared" si="25"/>
        <v>0</v>
      </c>
    </row>
    <row r="246" ht="15.75" customHeight="1">
      <c r="Q246" s="15">
        <f t="shared" si="18"/>
        <v>0</v>
      </c>
      <c r="W246" s="22">
        <f t="shared" si="24"/>
        <v>0</v>
      </c>
      <c r="X246" s="19">
        <f t="shared" si="25"/>
        <v>0</v>
      </c>
    </row>
    <row r="247" ht="15.75" customHeight="1">
      <c r="Q247" s="15">
        <f t="shared" si="18"/>
        <v>0</v>
      </c>
      <c r="W247" s="22">
        <f t="shared" si="24"/>
        <v>0</v>
      </c>
      <c r="X247" s="19">
        <f t="shared" si="25"/>
        <v>0</v>
      </c>
    </row>
    <row r="248" ht="15.75" customHeight="1">
      <c r="Q248" s="15">
        <f t="shared" si="18"/>
        <v>0</v>
      </c>
      <c r="W248" s="22">
        <f t="shared" si="24"/>
        <v>0</v>
      </c>
      <c r="X248" s="19">
        <f t="shared" si="25"/>
        <v>0</v>
      </c>
    </row>
    <row r="249" ht="15.75" customHeight="1">
      <c r="Q249" s="15">
        <f t="shared" si="18"/>
        <v>0</v>
      </c>
      <c r="W249" s="22">
        <f t="shared" si="24"/>
        <v>0</v>
      </c>
      <c r="X249" s="19">
        <f t="shared" si="25"/>
        <v>0</v>
      </c>
    </row>
    <row r="250" ht="15.75" customHeight="1">
      <c r="Q250" s="15">
        <f t="shared" si="18"/>
        <v>0</v>
      </c>
      <c r="W250" s="22">
        <f t="shared" si="24"/>
        <v>0</v>
      </c>
      <c r="X250" s="19">
        <f t="shared" si="25"/>
        <v>0</v>
      </c>
    </row>
    <row r="251" ht="15.75" customHeight="1">
      <c r="Q251" s="15">
        <f t="shared" si="18"/>
        <v>0</v>
      </c>
      <c r="W251" s="22">
        <f t="shared" si="24"/>
        <v>0</v>
      </c>
      <c r="X251" s="19">
        <f t="shared" si="25"/>
        <v>0</v>
      </c>
    </row>
    <row r="252" ht="15.75" customHeight="1">
      <c r="Q252" s="15">
        <f t="shared" si="18"/>
        <v>0</v>
      </c>
      <c r="W252" s="22">
        <f t="shared" si="24"/>
        <v>0</v>
      </c>
      <c r="X252" s="19">
        <f t="shared" si="25"/>
        <v>0</v>
      </c>
    </row>
    <row r="253" ht="15.75" customHeight="1">
      <c r="Q253" s="15">
        <f t="shared" si="18"/>
        <v>0</v>
      </c>
      <c r="W253" s="22">
        <f t="shared" si="24"/>
        <v>0</v>
      </c>
      <c r="X253" s="19">
        <f t="shared" si="25"/>
        <v>0</v>
      </c>
    </row>
    <row r="254" ht="15.75" customHeight="1">
      <c r="Q254" s="15">
        <f t="shared" si="18"/>
        <v>0</v>
      </c>
      <c r="W254" s="22">
        <f t="shared" si="24"/>
        <v>0</v>
      </c>
      <c r="X254" s="19">
        <f t="shared" si="25"/>
        <v>0</v>
      </c>
    </row>
    <row r="255" ht="15.75" customHeight="1">
      <c r="Q255" s="15">
        <f t="shared" si="18"/>
        <v>0</v>
      </c>
      <c r="W255" s="22">
        <f t="shared" si="24"/>
        <v>0</v>
      </c>
      <c r="X255" s="19">
        <f t="shared" si="25"/>
        <v>0</v>
      </c>
    </row>
    <row r="256" ht="15.75" customHeight="1">
      <c r="Q256" s="15">
        <f t="shared" si="18"/>
        <v>0</v>
      </c>
      <c r="W256" s="22">
        <f t="shared" si="24"/>
        <v>0</v>
      </c>
      <c r="X256" s="19">
        <f t="shared" si="25"/>
        <v>0</v>
      </c>
    </row>
    <row r="257" ht="15.75" customHeight="1">
      <c r="Q257" s="15">
        <f t="shared" si="18"/>
        <v>0</v>
      </c>
      <c r="W257" s="22">
        <f t="shared" si="24"/>
        <v>0</v>
      </c>
      <c r="X257" s="19">
        <f t="shared" si="25"/>
        <v>0</v>
      </c>
    </row>
    <row r="258" ht="15.75" customHeight="1">
      <c r="Q258" s="15">
        <f t="shared" si="18"/>
        <v>0</v>
      </c>
      <c r="W258" s="22">
        <f t="shared" si="24"/>
        <v>0</v>
      </c>
      <c r="X258" s="19">
        <f t="shared" si="25"/>
        <v>0</v>
      </c>
    </row>
    <row r="259" ht="15.75" customHeight="1">
      <c r="Q259" s="15">
        <f t="shared" si="18"/>
        <v>0</v>
      </c>
      <c r="W259" s="22">
        <f t="shared" si="24"/>
        <v>0</v>
      </c>
      <c r="X259" s="19">
        <f t="shared" si="25"/>
        <v>0</v>
      </c>
    </row>
    <row r="260" ht="15.75" customHeight="1">
      <c r="Q260" s="15">
        <f t="shared" si="18"/>
        <v>0</v>
      </c>
      <c r="W260" s="22">
        <f t="shared" si="24"/>
        <v>0</v>
      </c>
      <c r="X260" s="19">
        <f t="shared" si="25"/>
        <v>0</v>
      </c>
    </row>
    <row r="261" ht="15.75" customHeight="1">
      <c r="Q261" s="15">
        <f t="shared" si="18"/>
        <v>0</v>
      </c>
      <c r="W261" s="22">
        <f t="shared" si="24"/>
        <v>0</v>
      </c>
      <c r="X261" s="19">
        <f t="shared" si="25"/>
        <v>0</v>
      </c>
    </row>
    <row r="262" ht="15.75" customHeight="1">
      <c r="Q262" s="15">
        <f t="shared" si="18"/>
        <v>0</v>
      </c>
      <c r="W262" s="22">
        <f t="shared" si="24"/>
        <v>0</v>
      </c>
      <c r="X262" s="19">
        <f t="shared" si="25"/>
        <v>0</v>
      </c>
    </row>
    <row r="263" ht="15.75" customHeight="1">
      <c r="Q263" s="15">
        <f t="shared" si="18"/>
        <v>0</v>
      </c>
      <c r="W263" s="22">
        <f t="shared" si="24"/>
        <v>0</v>
      </c>
      <c r="X263" s="19">
        <f t="shared" si="25"/>
        <v>0</v>
      </c>
    </row>
    <row r="264" ht="15.75" customHeight="1">
      <c r="Q264" s="15">
        <f t="shared" si="18"/>
        <v>0</v>
      </c>
      <c r="W264" s="22">
        <f t="shared" si="24"/>
        <v>0</v>
      </c>
      <c r="X264" s="19">
        <f t="shared" si="25"/>
        <v>0</v>
      </c>
    </row>
    <row r="265" ht="15.75" customHeight="1">
      <c r="Q265" s="15">
        <f t="shared" si="18"/>
        <v>0</v>
      </c>
      <c r="W265" s="22">
        <f t="shared" si="24"/>
        <v>0</v>
      </c>
      <c r="X265" s="19">
        <f t="shared" si="25"/>
        <v>0</v>
      </c>
    </row>
    <row r="266" ht="15.75" customHeight="1">
      <c r="Q266" s="15">
        <f t="shared" si="18"/>
        <v>0</v>
      </c>
      <c r="W266" s="22">
        <f t="shared" si="24"/>
        <v>0</v>
      </c>
      <c r="X266" s="19">
        <f t="shared" si="25"/>
        <v>0</v>
      </c>
    </row>
    <row r="267" ht="15.75" customHeight="1">
      <c r="Q267" s="15">
        <f t="shared" si="18"/>
        <v>0</v>
      </c>
      <c r="W267" s="22">
        <f t="shared" si="24"/>
        <v>0</v>
      </c>
      <c r="X267" s="19">
        <f t="shared" si="25"/>
        <v>0</v>
      </c>
    </row>
    <row r="268" ht="15.75" customHeight="1">
      <c r="Q268" s="15">
        <f t="shared" si="18"/>
        <v>0</v>
      </c>
      <c r="W268" s="22">
        <f t="shared" si="24"/>
        <v>0</v>
      </c>
      <c r="X268" s="19">
        <f t="shared" si="25"/>
        <v>0</v>
      </c>
    </row>
    <row r="269" ht="15.75" customHeight="1">
      <c r="Q269" s="15">
        <f t="shared" si="18"/>
        <v>0</v>
      </c>
      <c r="W269" s="22">
        <f t="shared" si="24"/>
        <v>0</v>
      </c>
      <c r="X269" s="19">
        <f t="shared" si="25"/>
        <v>0</v>
      </c>
    </row>
    <row r="270" ht="15.75" customHeight="1">
      <c r="Q270" s="15">
        <f t="shared" si="18"/>
        <v>0</v>
      </c>
      <c r="W270" s="22">
        <f t="shared" si="24"/>
        <v>0</v>
      </c>
      <c r="X270" s="19">
        <f t="shared" si="25"/>
        <v>0</v>
      </c>
    </row>
    <row r="271" ht="15.75" customHeight="1">
      <c r="Q271" s="15">
        <f t="shared" si="18"/>
        <v>0</v>
      </c>
      <c r="W271" s="22">
        <f t="shared" si="24"/>
        <v>0</v>
      </c>
      <c r="X271" s="19">
        <f t="shared" si="25"/>
        <v>0</v>
      </c>
    </row>
    <row r="272" ht="15.75" customHeight="1">
      <c r="Q272" s="15">
        <f t="shared" si="18"/>
        <v>0</v>
      </c>
      <c r="W272" s="22">
        <f t="shared" si="24"/>
        <v>0</v>
      </c>
      <c r="X272" s="19">
        <f t="shared" si="25"/>
        <v>0</v>
      </c>
    </row>
    <row r="273" ht="15.75" customHeight="1">
      <c r="Q273" s="15">
        <f t="shared" si="18"/>
        <v>0</v>
      </c>
      <c r="W273" s="22">
        <f t="shared" si="24"/>
        <v>0</v>
      </c>
      <c r="X273" s="19">
        <f t="shared" si="25"/>
        <v>0</v>
      </c>
    </row>
    <row r="274" ht="15.75" customHeight="1">
      <c r="Q274" s="15">
        <f t="shared" si="18"/>
        <v>0</v>
      </c>
      <c r="W274" s="22">
        <f t="shared" si="24"/>
        <v>0</v>
      </c>
      <c r="X274" s="19">
        <f t="shared" si="25"/>
        <v>0</v>
      </c>
    </row>
    <row r="275" ht="15.75" customHeight="1">
      <c r="Q275" s="15">
        <f t="shared" si="18"/>
        <v>0</v>
      </c>
      <c r="W275" s="22">
        <f t="shared" si="24"/>
        <v>0</v>
      </c>
      <c r="X275" s="19">
        <f t="shared" si="25"/>
        <v>0</v>
      </c>
    </row>
    <row r="276" ht="15.75" customHeight="1">
      <c r="Q276" s="15">
        <f t="shared" si="18"/>
        <v>0</v>
      </c>
      <c r="W276" s="22">
        <f t="shared" si="24"/>
        <v>0</v>
      </c>
      <c r="X276" s="19">
        <f t="shared" si="25"/>
        <v>0</v>
      </c>
    </row>
    <row r="277" ht="15.75" customHeight="1">
      <c r="Q277" s="15">
        <f t="shared" si="18"/>
        <v>0</v>
      </c>
      <c r="W277" s="22">
        <f t="shared" si="24"/>
        <v>0</v>
      </c>
      <c r="X277" s="19">
        <f t="shared" si="25"/>
        <v>0</v>
      </c>
    </row>
    <row r="278" ht="15.75" customHeight="1">
      <c r="Q278" s="15">
        <f t="shared" si="18"/>
        <v>0</v>
      </c>
      <c r="W278" s="22">
        <f t="shared" si="24"/>
        <v>0</v>
      </c>
      <c r="X278" s="19">
        <f t="shared" si="25"/>
        <v>0</v>
      </c>
    </row>
    <row r="279" ht="15.75" customHeight="1">
      <c r="Q279" s="15">
        <f t="shared" si="18"/>
        <v>0</v>
      </c>
      <c r="W279" s="22">
        <f t="shared" si="24"/>
        <v>0</v>
      </c>
      <c r="X279" s="19">
        <f t="shared" si="25"/>
        <v>0</v>
      </c>
    </row>
    <row r="280" ht="15.75" customHeight="1">
      <c r="Q280" s="15">
        <f t="shared" si="18"/>
        <v>0</v>
      </c>
      <c r="W280" s="22">
        <f t="shared" si="24"/>
        <v>0</v>
      </c>
      <c r="X280" s="19">
        <f t="shared" si="25"/>
        <v>0</v>
      </c>
    </row>
    <row r="281" ht="15.75" customHeight="1">
      <c r="Q281" s="15">
        <f t="shared" si="18"/>
        <v>0</v>
      </c>
      <c r="W281" s="22">
        <f t="shared" si="24"/>
        <v>0</v>
      </c>
      <c r="X281" s="19">
        <f t="shared" si="25"/>
        <v>0</v>
      </c>
    </row>
    <row r="282" ht="15.75" customHeight="1">
      <c r="Q282" s="15">
        <f t="shared" si="18"/>
        <v>0</v>
      </c>
      <c r="W282" s="22">
        <f t="shared" si="24"/>
        <v>0</v>
      </c>
      <c r="X282" s="19">
        <f t="shared" si="25"/>
        <v>0</v>
      </c>
    </row>
    <row r="283" ht="15.75" customHeight="1">
      <c r="Q283" s="15">
        <f t="shared" si="18"/>
        <v>0</v>
      </c>
      <c r="W283" s="22">
        <f t="shared" si="24"/>
        <v>0</v>
      </c>
      <c r="X283" s="19">
        <f t="shared" si="25"/>
        <v>0</v>
      </c>
    </row>
    <row r="284" ht="15.75" customHeight="1">
      <c r="Q284" s="15">
        <f t="shared" si="18"/>
        <v>0</v>
      </c>
      <c r="W284" s="22">
        <f t="shared" si="24"/>
        <v>0</v>
      </c>
      <c r="X284" s="19">
        <f t="shared" si="25"/>
        <v>0</v>
      </c>
    </row>
    <row r="285" ht="15.75" customHeight="1">
      <c r="Q285" s="15">
        <f t="shared" si="18"/>
        <v>0</v>
      </c>
      <c r="W285" s="22">
        <f t="shared" si="24"/>
        <v>0</v>
      </c>
      <c r="X285" s="19">
        <f t="shared" si="25"/>
        <v>0</v>
      </c>
    </row>
    <row r="286" ht="15.75" customHeight="1">
      <c r="Q286" s="15">
        <f t="shared" si="18"/>
        <v>0</v>
      </c>
      <c r="W286" s="22">
        <f t="shared" si="24"/>
        <v>0</v>
      </c>
      <c r="X286" s="19">
        <f t="shared" si="25"/>
        <v>0</v>
      </c>
    </row>
    <row r="287" ht="15.75" customHeight="1">
      <c r="Q287" s="15">
        <f t="shared" si="18"/>
        <v>0</v>
      </c>
      <c r="W287" s="22">
        <f t="shared" si="24"/>
        <v>0</v>
      </c>
      <c r="X287" s="19">
        <f t="shared" si="25"/>
        <v>0</v>
      </c>
    </row>
    <row r="288" ht="15.75" customHeight="1">
      <c r="Q288" s="15">
        <f t="shared" si="18"/>
        <v>0</v>
      </c>
      <c r="W288" s="22">
        <f t="shared" si="24"/>
        <v>0</v>
      </c>
      <c r="X288" s="19">
        <f t="shared" si="25"/>
        <v>0</v>
      </c>
    </row>
    <row r="289" ht="15.75" customHeight="1">
      <c r="Q289" s="15">
        <f t="shared" si="18"/>
        <v>0</v>
      </c>
      <c r="W289" s="22">
        <f t="shared" si="24"/>
        <v>0</v>
      </c>
      <c r="X289" s="19">
        <f t="shared" si="25"/>
        <v>0</v>
      </c>
    </row>
    <row r="290" ht="15.75" customHeight="1">
      <c r="Q290" s="15">
        <f t="shared" si="18"/>
        <v>0</v>
      </c>
      <c r="W290" s="22">
        <f t="shared" si="24"/>
        <v>0</v>
      </c>
      <c r="X290" s="19">
        <f t="shared" si="25"/>
        <v>0</v>
      </c>
    </row>
    <row r="291" ht="15.75" customHeight="1">
      <c r="Q291" s="15">
        <f t="shared" si="18"/>
        <v>0</v>
      </c>
      <c r="W291" s="22">
        <f t="shared" si="24"/>
        <v>0</v>
      </c>
      <c r="X291" s="19">
        <f t="shared" si="25"/>
        <v>0</v>
      </c>
    </row>
    <row r="292" ht="15.75" customHeight="1">
      <c r="Q292" s="15">
        <f t="shared" si="18"/>
        <v>0</v>
      </c>
      <c r="W292" s="22">
        <f t="shared" si="24"/>
        <v>0</v>
      </c>
      <c r="X292" s="19">
        <f t="shared" si="25"/>
        <v>0</v>
      </c>
    </row>
    <row r="293" ht="15.75" customHeight="1">
      <c r="Q293" s="15">
        <f t="shared" si="18"/>
        <v>0</v>
      </c>
      <c r="W293" s="22">
        <f t="shared" si="24"/>
        <v>0</v>
      </c>
      <c r="X293" s="19">
        <f t="shared" si="25"/>
        <v>0</v>
      </c>
    </row>
    <row r="294" ht="15.75" customHeight="1">
      <c r="Q294" s="15">
        <f t="shared" si="18"/>
        <v>0</v>
      </c>
      <c r="W294" s="22">
        <f t="shared" si="24"/>
        <v>0</v>
      </c>
      <c r="X294" s="19">
        <f t="shared" si="25"/>
        <v>0</v>
      </c>
    </row>
    <row r="295" ht="15.75" customHeight="1">
      <c r="Q295" s="15">
        <f t="shared" si="18"/>
        <v>0</v>
      </c>
      <c r="W295" s="22">
        <f t="shared" si="24"/>
        <v>0</v>
      </c>
      <c r="X295" s="19">
        <f t="shared" si="25"/>
        <v>0</v>
      </c>
    </row>
    <row r="296" ht="15.75" customHeight="1">
      <c r="Q296" s="15">
        <f t="shared" si="18"/>
        <v>0</v>
      </c>
      <c r="W296" s="22">
        <f t="shared" si="24"/>
        <v>0</v>
      </c>
      <c r="X296" s="19">
        <f t="shared" si="25"/>
        <v>0</v>
      </c>
    </row>
    <row r="297" ht="15.75" customHeight="1">
      <c r="Q297" s="15">
        <f t="shared" si="18"/>
        <v>0</v>
      </c>
      <c r="W297" s="22">
        <f t="shared" si="24"/>
        <v>0</v>
      </c>
      <c r="X297" s="19">
        <f t="shared" si="25"/>
        <v>0</v>
      </c>
    </row>
    <row r="298" ht="15.75" customHeight="1">
      <c r="Q298" s="15">
        <f t="shared" si="18"/>
        <v>0</v>
      </c>
      <c r="W298" s="22">
        <f t="shared" si="24"/>
        <v>0</v>
      </c>
      <c r="X298" s="19">
        <f t="shared" si="25"/>
        <v>0</v>
      </c>
    </row>
    <row r="299" ht="15.75" customHeight="1">
      <c r="Q299" s="15">
        <f t="shared" si="18"/>
        <v>0</v>
      </c>
      <c r="W299" s="22">
        <f t="shared" si="24"/>
        <v>0</v>
      </c>
      <c r="X299" s="19">
        <f t="shared" si="25"/>
        <v>0</v>
      </c>
    </row>
    <row r="300" ht="15.75" customHeight="1">
      <c r="Q300" s="15">
        <f t="shared" si="18"/>
        <v>0</v>
      </c>
      <c r="W300" s="22">
        <f t="shared" si="24"/>
        <v>0</v>
      </c>
      <c r="X300" s="19">
        <f t="shared" si="25"/>
        <v>0</v>
      </c>
    </row>
    <row r="301" ht="15.75" customHeight="1">
      <c r="Q301" s="15">
        <f t="shared" si="18"/>
        <v>0</v>
      </c>
      <c r="W301" s="22">
        <f t="shared" si="24"/>
        <v>0</v>
      </c>
      <c r="X301" s="19">
        <f t="shared" si="25"/>
        <v>0</v>
      </c>
    </row>
    <row r="302" ht="15.75" customHeight="1">
      <c r="Q302" s="15">
        <f t="shared" si="18"/>
        <v>0</v>
      </c>
      <c r="W302" s="22">
        <f t="shared" si="24"/>
        <v>0</v>
      </c>
      <c r="X302" s="19">
        <f t="shared" si="25"/>
        <v>0</v>
      </c>
    </row>
    <row r="303" ht="15.75" customHeight="1">
      <c r="Q303" s="15">
        <f t="shared" si="18"/>
        <v>0</v>
      </c>
      <c r="W303" s="22">
        <f t="shared" si="24"/>
        <v>0</v>
      </c>
      <c r="X303" s="19">
        <f t="shared" si="25"/>
        <v>0</v>
      </c>
    </row>
    <row r="304" ht="15.75" customHeight="1">
      <c r="Q304" s="15">
        <f t="shared" si="18"/>
        <v>0</v>
      </c>
      <c r="W304" s="22">
        <f t="shared" si="24"/>
        <v>0</v>
      </c>
      <c r="X304" s="19">
        <f t="shared" si="25"/>
        <v>0</v>
      </c>
    </row>
    <row r="305" ht="15.75" customHeight="1">
      <c r="Q305" s="15">
        <f t="shared" si="18"/>
        <v>0</v>
      </c>
      <c r="W305" s="22">
        <f t="shared" si="24"/>
        <v>0</v>
      </c>
      <c r="X305" s="19">
        <f t="shared" si="25"/>
        <v>0</v>
      </c>
    </row>
    <row r="306" ht="15.75" customHeight="1">
      <c r="Q306" s="15">
        <f t="shared" si="18"/>
        <v>0</v>
      </c>
      <c r="W306" s="22">
        <f t="shared" si="24"/>
        <v>0</v>
      </c>
      <c r="X306" s="19">
        <f t="shared" si="25"/>
        <v>0</v>
      </c>
    </row>
    <row r="307" ht="15.75" customHeight="1">
      <c r="Q307" s="15">
        <f t="shared" si="18"/>
        <v>0</v>
      </c>
      <c r="W307" s="22">
        <f t="shared" si="24"/>
        <v>0</v>
      </c>
      <c r="X307" s="19">
        <f t="shared" si="25"/>
        <v>0</v>
      </c>
    </row>
    <row r="308" ht="15.75" customHeight="1">
      <c r="Q308" s="15">
        <f t="shared" si="18"/>
        <v>0</v>
      </c>
      <c r="W308" s="22">
        <f t="shared" si="24"/>
        <v>0</v>
      </c>
      <c r="X308" s="19">
        <f t="shared" si="25"/>
        <v>0</v>
      </c>
    </row>
    <row r="309" ht="15.75" customHeight="1">
      <c r="Q309" s="15">
        <f t="shared" si="18"/>
        <v>0</v>
      </c>
      <c r="W309" s="22">
        <f t="shared" si="24"/>
        <v>0</v>
      </c>
      <c r="X309" s="19">
        <f t="shared" si="25"/>
        <v>0</v>
      </c>
    </row>
    <row r="310" ht="15.75" customHeight="1">
      <c r="Q310" s="15">
        <f t="shared" si="18"/>
        <v>0</v>
      </c>
      <c r="W310" s="22">
        <f t="shared" si="24"/>
        <v>0</v>
      </c>
      <c r="X310" s="19">
        <f t="shared" si="25"/>
        <v>0</v>
      </c>
    </row>
    <row r="311" ht="15.75" customHeight="1">
      <c r="Q311" s="15">
        <f t="shared" si="18"/>
        <v>0</v>
      </c>
      <c r="W311" s="22">
        <f t="shared" si="24"/>
        <v>0</v>
      </c>
      <c r="X311" s="19">
        <f t="shared" si="25"/>
        <v>0</v>
      </c>
    </row>
    <row r="312" ht="15.75" customHeight="1">
      <c r="Q312" s="15">
        <f t="shared" si="18"/>
        <v>0</v>
      </c>
      <c r="W312" s="22">
        <f t="shared" si="24"/>
        <v>0</v>
      </c>
      <c r="X312" s="19">
        <f t="shared" si="25"/>
        <v>0</v>
      </c>
    </row>
    <row r="313" ht="15.75" customHeight="1">
      <c r="Q313" s="15">
        <f t="shared" si="18"/>
        <v>0</v>
      </c>
      <c r="W313" s="22">
        <f t="shared" si="24"/>
        <v>0</v>
      </c>
      <c r="X313" s="19">
        <f t="shared" si="25"/>
        <v>0</v>
      </c>
    </row>
    <row r="314" ht="15.75" customHeight="1">
      <c r="Q314" s="15">
        <f t="shared" si="18"/>
        <v>0</v>
      </c>
      <c r="W314" s="22">
        <f t="shared" si="24"/>
        <v>0</v>
      </c>
      <c r="X314" s="19">
        <f t="shared" si="25"/>
        <v>0</v>
      </c>
    </row>
    <row r="315" ht="15.75" customHeight="1">
      <c r="Q315" s="15">
        <f t="shared" si="18"/>
        <v>0</v>
      </c>
      <c r="W315" s="22">
        <f t="shared" si="24"/>
        <v>0</v>
      </c>
      <c r="X315" s="19">
        <f t="shared" si="25"/>
        <v>0</v>
      </c>
    </row>
    <row r="316" ht="15.75" customHeight="1">
      <c r="Q316" s="15">
        <f t="shared" si="18"/>
        <v>0</v>
      </c>
      <c r="W316" s="22">
        <f t="shared" si="24"/>
        <v>0</v>
      </c>
      <c r="X316" s="19">
        <f t="shared" si="25"/>
        <v>0</v>
      </c>
    </row>
    <row r="317" ht="15.75" customHeight="1">
      <c r="Q317" s="15">
        <f t="shared" si="18"/>
        <v>0</v>
      </c>
      <c r="W317" s="22">
        <f t="shared" si="24"/>
        <v>0</v>
      </c>
      <c r="X317" s="19">
        <f t="shared" si="25"/>
        <v>0</v>
      </c>
    </row>
    <row r="318" ht="15.75" customHeight="1">
      <c r="Q318" s="15">
        <f t="shared" si="18"/>
        <v>0</v>
      </c>
      <c r="W318" s="22">
        <f t="shared" si="24"/>
        <v>0</v>
      </c>
      <c r="X318" s="19">
        <f t="shared" si="25"/>
        <v>0</v>
      </c>
    </row>
    <row r="319" ht="15.75" customHeight="1">
      <c r="Q319" s="15">
        <f t="shared" si="18"/>
        <v>0</v>
      </c>
      <c r="W319" s="22">
        <f t="shared" si="24"/>
        <v>0</v>
      </c>
      <c r="X319" s="19">
        <f t="shared" si="25"/>
        <v>0</v>
      </c>
    </row>
    <row r="320" ht="15.75" customHeight="1">
      <c r="Q320" s="15">
        <f t="shared" si="18"/>
        <v>0</v>
      </c>
      <c r="W320" s="22">
        <f t="shared" si="24"/>
        <v>0</v>
      </c>
      <c r="X320" s="19">
        <f t="shared" si="25"/>
        <v>0</v>
      </c>
    </row>
    <row r="321" ht="15.75" customHeight="1">
      <c r="Q321" s="15">
        <f t="shared" si="18"/>
        <v>0</v>
      </c>
      <c r="W321" s="22">
        <f t="shared" si="24"/>
        <v>0</v>
      </c>
      <c r="X321" s="19">
        <f t="shared" si="25"/>
        <v>0</v>
      </c>
    </row>
    <row r="322" ht="15.75" customHeight="1">
      <c r="Q322" s="15">
        <f t="shared" si="18"/>
        <v>0</v>
      </c>
      <c r="W322" s="22">
        <f t="shared" si="24"/>
        <v>0</v>
      </c>
      <c r="X322" s="19">
        <f t="shared" si="25"/>
        <v>0</v>
      </c>
    </row>
    <row r="323" ht="15.75" customHeight="1">
      <c r="Q323" s="15">
        <f t="shared" si="18"/>
        <v>0</v>
      </c>
      <c r="W323" s="22">
        <f t="shared" si="24"/>
        <v>0</v>
      </c>
      <c r="X323" s="19">
        <f t="shared" si="25"/>
        <v>0</v>
      </c>
    </row>
    <row r="324" ht="15.75" customHeight="1">
      <c r="Q324" s="15">
        <f t="shared" si="18"/>
        <v>0</v>
      </c>
      <c r="W324" s="22">
        <f t="shared" si="24"/>
        <v>0</v>
      </c>
      <c r="X324" s="19">
        <f t="shared" si="25"/>
        <v>0</v>
      </c>
    </row>
    <row r="325" ht="15.75" customHeight="1">
      <c r="Q325" s="15">
        <f t="shared" si="18"/>
        <v>0</v>
      </c>
      <c r="W325" s="22">
        <f t="shared" si="24"/>
        <v>0</v>
      </c>
      <c r="X325" s="19">
        <f t="shared" si="25"/>
        <v>0</v>
      </c>
    </row>
    <row r="326" ht="15.75" customHeight="1">
      <c r="Q326" s="15">
        <f t="shared" si="18"/>
        <v>0</v>
      </c>
      <c r="W326" s="22">
        <f t="shared" si="24"/>
        <v>0</v>
      </c>
      <c r="X326" s="19">
        <f t="shared" si="25"/>
        <v>0</v>
      </c>
    </row>
    <row r="327" ht="15.75" customHeight="1">
      <c r="Q327" s="15">
        <f t="shared" si="18"/>
        <v>0</v>
      </c>
      <c r="W327" s="22">
        <f t="shared" si="24"/>
        <v>0</v>
      </c>
      <c r="X327" s="19">
        <f t="shared" si="25"/>
        <v>0</v>
      </c>
    </row>
    <row r="328" ht="15.75" customHeight="1">
      <c r="Q328" s="15">
        <f t="shared" si="18"/>
        <v>0</v>
      </c>
      <c r="W328" s="22">
        <f t="shared" si="24"/>
        <v>0</v>
      </c>
      <c r="X328" s="19">
        <f t="shared" si="25"/>
        <v>0</v>
      </c>
    </row>
    <row r="329" ht="15.75" customHeight="1">
      <c r="Q329" s="15">
        <f t="shared" si="18"/>
        <v>0</v>
      </c>
      <c r="W329" s="22">
        <f t="shared" si="24"/>
        <v>0</v>
      </c>
      <c r="X329" s="19">
        <f t="shared" si="25"/>
        <v>0</v>
      </c>
    </row>
    <row r="330" ht="15.75" customHeight="1">
      <c r="Q330" s="15">
        <f t="shared" si="18"/>
        <v>0</v>
      </c>
      <c r="W330" s="22">
        <f t="shared" si="24"/>
        <v>0</v>
      </c>
      <c r="X330" s="19">
        <f t="shared" si="25"/>
        <v>0</v>
      </c>
    </row>
    <row r="331" ht="15.75" customHeight="1">
      <c r="Q331" s="15">
        <f t="shared" si="18"/>
        <v>0</v>
      </c>
      <c r="W331" s="22">
        <f t="shared" si="24"/>
        <v>0</v>
      </c>
      <c r="X331" s="19">
        <f t="shared" si="25"/>
        <v>0</v>
      </c>
    </row>
    <row r="332" ht="15.75" customHeight="1">
      <c r="Q332" s="15">
        <f t="shared" si="18"/>
        <v>0</v>
      </c>
      <c r="W332" s="22">
        <f t="shared" si="24"/>
        <v>0</v>
      </c>
      <c r="X332" s="19">
        <f t="shared" si="25"/>
        <v>0</v>
      </c>
    </row>
    <row r="333" ht="15.75" customHeight="1">
      <c r="Q333" s="15">
        <f t="shared" si="18"/>
        <v>0</v>
      </c>
      <c r="W333" s="22">
        <f t="shared" si="24"/>
        <v>0</v>
      </c>
      <c r="X333" s="19">
        <f t="shared" si="25"/>
        <v>0</v>
      </c>
    </row>
    <row r="334" ht="15.75" customHeight="1">
      <c r="Q334" s="15">
        <f t="shared" si="18"/>
        <v>0</v>
      </c>
      <c r="W334" s="22">
        <f t="shared" si="24"/>
        <v>0</v>
      </c>
      <c r="X334" s="19">
        <f t="shared" si="25"/>
        <v>0</v>
      </c>
    </row>
    <row r="335" ht="15.75" customHeight="1">
      <c r="Q335" s="15">
        <f t="shared" si="18"/>
        <v>0</v>
      </c>
      <c r="W335" s="22">
        <f t="shared" si="24"/>
        <v>0</v>
      </c>
      <c r="X335" s="19">
        <f t="shared" si="25"/>
        <v>0</v>
      </c>
    </row>
    <row r="336" ht="15.75" customHeight="1">
      <c r="Q336" s="15">
        <f t="shared" si="18"/>
        <v>0</v>
      </c>
      <c r="W336" s="22">
        <f t="shared" si="24"/>
        <v>0</v>
      </c>
      <c r="X336" s="19">
        <f t="shared" si="25"/>
        <v>0</v>
      </c>
    </row>
    <row r="337" ht="15.75" customHeight="1">
      <c r="Q337" s="15">
        <f t="shared" si="18"/>
        <v>0</v>
      </c>
      <c r="W337" s="22">
        <f t="shared" si="24"/>
        <v>0</v>
      </c>
      <c r="X337" s="19">
        <f t="shared" si="25"/>
        <v>0</v>
      </c>
    </row>
    <row r="338" ht="15.75" customHeight="1">
      <c r="Q338" s="15">
        <f t="shared" si="18"/>
        <v>0</v>
      </c>
      <c r="W338" s="22">
        <f t="shared" si="24"/>
        <v>0</v>
      </c>
      <c r="X338" s="19">
        <f t="shared" si="25"/>
        <v>0</v>
      </c>
    </row>
    <row r="339" ht="15.75" customHeight="1">
      <c r="Q339" s="15">
        <f t="shared" si="18"/>
        <v>0</v>
      </c>
      <c r="W339" s="22">
        <f t="shared" si="24"/>
        <v>0</v>
      </c>
      <c r="X339" s="19">
        <f t="shared" si="25"/>
        <v>0</v>
      </c>
    </row>
    <row r="340" ht="15.75" customHeight="1">
      <c r="Q340" s="15">
        <f t="shared" si="18"/>
        <v>0</v>
      </c>
      <c r="W340" s="22">
        <f t="shared" si="24"/>
        <v>0</v>
      </c>
      <c r="X340" s="19">
        <f t="shared" si="25"/>
        <v>0</v>
      </c>
    </row>
    <row r="341" ht="15.75" customHeight="1">
      <c r="Q341" s="15">
        <f t="shared" si="18"/>
        <v>0</v>
      </c>
      <c r="W341" s="22">
        <f t="shared" si="24"/>
        <v>0</v>
      </c>
      <c r="X341" s="19">
        <f t="shared" si="25"/>
        <v>0</v>
      </c>
    </row>
    <row r="342" ht="15.75" customHeight="1">
      <c r="Q342" s="15">
        <f t="shared" si="18"/>
        <v>0</v>
      </c>
      <c r="W342" s="22">
        <f t="shared" si="24"/>
        <v>0</v>
      </c>
      <c r="X342" s="19">
        <f t="shared" si="25"/>
        <v>0</v>
      </c>
    </row>
    <row r="343" ht="15.75" customHeight="1">
      <c r="Q343" s="15">
        <f t="shared" si="18"/>
        <v>0</v>
      </c>
      <c r="W343" s="22">
        <f t="shared" si="24"/>
        <v>0</v>
      </c>
      <c r="X343" s="19">
        <f t="shared" si="25"/>
        <v>0</v>
      </c>
    </row>
    <row r="344" ht="15.75" customHeight="1">
      <c r="Q344" s="15">
        <f t="shared" si="18"/>
        <v>0</v>
      </c>
      <c r="W344" s="22">
        <f t="shared" si="24"/>
        <v>0</v>
      </c>
      <c r="X344" s="19">
        <f t="shared" si="25"/>
        <v>0</v>
      </c>
    </row>
    <row r="345" ht="15.75" customHeight="1">
      <c r="Q345" s="15">
        <f t="shared" si="18"/>
        <v>0</v>
      </c>
      <c r="W345" s="22">
        <f t="shared" si="24"/>
        <v>0</v>
      </c>
      <c r="X345" s="19">
        <f t="shared" si="25"/>
        <v>0</v>
      </c>
    </row>
    <row r="346" ht="15.75" customHeight="1">
      <c r="Q346" s="15">
        <f t="shared" si="18"/>
        <v>0</v>
      </c>
      <c r="W346" s="22">
        <f t="shared" si="24"/>
        <v>0</v>
      </c>
      <c r="X346" s="19">
        <f t="shared" si="25"/>
        <v>0</v>
      </c>
    </row>
    <row r="347" ht="15.75" customHeight="1">
      <c r="Q347" s="15">
        <f t="shared" si="18"/>
        <v>0</v>
      </c>
      <c r="W347" s="22">
        <f t="shared" si="24"/>
        <v>0</v>
      </c>
      <c r="X347" s="19">
        <f t="shared" si="25"/>
        <v>0</v>
      </c>
    </row>
    <row r="348" ht="15.75" customHeight="1">
      <c r="Q348" s="15">
        <f t="shared" si="18"/>
        <v>0</v>
      </c>
      <c r="W348" s="22">
        <f t="shared" si="24"/>
        <v>0</v>
      </c>
      <c r="X348" s="19">
        <f t="shared" si="25"/>
        <v>0</v>
      </c>
    </row>
    <row r="349" ht="15.75" customHeight="1">
      <c r="Q349" s="15">
        <f t="shared" si="18"/>
        <v>0</v>
      </c>
      <c r="W349" s="22">
        <f t="shared" si="24"/>
        <v>0</v>
      </c>
      <c r="X349" s="19">
        <f t="shared" si="25"/>
        <v>0</v>
      </c>
    </row>
    <row r="350" ht="15.75" customHeight="1">
      <c r="Q350" s="15">
        <f t="shared" si="18"/>
        <v>0</v>
      </c>
      <c r="W350" s="22">
        <f t="shared" si="24"/>
        <v>0</v>
      </c>
      <c r="X350" s="19">
        <f t="shared" si="25"/>
        <v>0</v>
      </c>
    </row>
    <row r="351" ht="15.75" customHeight="1">
      <c r="Q351" s="15">
        <f t="shared" si="18"/>
        <v>0</v>
      </c>
      <c r="W351" s="22">
        <f t="shared" si="24"/>
        <v>0</v>
      </c>
      <c r="X351" s="19">
        <f t="shared" si="25"/>
        <v>0</v>
      </c>
    </row>
    <row r="352" ht="15.75" customHeight="1">
      <c r="Q352" s="15">
        <f t="shared" si="18"/>
        <v>0</v>
      </c>
      <c r="W352" s="22">
        <f t="shared" si="24"/>
        <v>0</v>
      </c>
      <c r="X352" s="19">
        <f t="shared" si="25"/>
        <v>0</v>
      </c>
    </row>
    <row r="353" ht="15.75" customHeight="1">
      <c r="Q353" s="15">
        <f t="shared" si="18"/>
        <v>0</v>
      </c>
      <c r="W353" s="22">
        <f t="shared" si="24"/>
        <v>0</v>
      </c>
      <c r="X353" s="19">
        <f t="shared" si="25"/>
        <v>0</v>
      </c>
    </row>
    <row r="354" ht="15.75" customHeight="1">
      <c r="Q354" s="15">
        <f t="shared" si="18"/>
        <v>0</v>
      </c>
      <c r="W354" s="22">
        <f t="shared" si="24"/>
        <v>0</v>
      </c>
      <c r="X354" s="19">
        <f t="shared" si="25"/>
        <v>0</v>
      </c>
    </row>
    <row r="355" ht="15.75" customHeight="1">
      <c r="Q355" s="15">
        <f t="shared" si="18"/>
        <v>0</v>
      </c>
      <c r="W355" s="22">
        <f t="shared" si="24"/>
        <v>0</v>
      </c>
      <c r="X355" s="19">
        <f t="shared" si="25"/>
        <v>0</v>
      </c>
    </row>
    <row r="356" ht="15.75" customHeight="1">
      <c r="Q356" s="15">
        <f t="shared" si="18"/>
        <v>0</v>
      </c>
      <c r="W356" s="22">
        <f t="shared" si="24"/>
        <v>0</v>
      </c>
      <c r="X356" s="19">
        <f t="shared" si="25"/>
        <v>0</v>
      </c>
    </row>
    <row r="357" ht="15.75" customHeight="1">
      <c r="Q357" s="15">
        <f t="shared" si="18"/>
        <v>0</v>
      </c>
      <c r="W357" s="22">
        <f t="shared" si="24"/>
        <v>0</v>
      </c>
      <c r="X357" s="19">
        <f t="shared" si="25"/>
        <v>0</v>
      </c>
    </row>
    <row r="358" ht="15.75" customHeight="1">
      <c r="Q358" s="15">
        <f t="shared" si="18"/>
        <v>0</v>
      </c>
      <c r="W358" s="22">
        <f t="shared" si="24"/>
        <v>0</v>
      </c>
      <c r="X358" s="19">
        <f t="shared" si="25"/>
        <v>0</v>
      </c>
    </row>
    <row r="359" ht="15.75" customHeight="1">
      <c r="Q359" s="15">
        <f t="shared" si="18"/>
        <v>0</v>
      </c>
      <c r="W359" s="22">
        <f t="shared" si="24"/>
        <v>0</v>
      </c>
      <c r="X359" s="19">
        <f t="shared" si="25"/>
        <v>0</v>
      </c>
    </row>
    <row r="360" ht="15.75" customHeight="1">
      <c r="Q360" s="15">
        <f t="shared" si="18"/>
        <v>0</v>
      </c>
      <c r="W360" s="22">
        <f t="shared" si="24"/>
        <v>0</v>
      </c>
      <c r="X360" s="19">
        <f t="shared" si="25"/>
        <v>0</v>
      </c>
    </row>
    <row r="361" ht="15.75" customHeight="1">
      <c r="Q361" s="15">
        <f t="shared" si="18"/>
        <v>0</v>
      </c>
      <c r="W361" s="22">
        <f t="shared" si="24"/>
        <v>0</v>
      </c>
      <c r="X361" s="19">
        <f t="shared" si="25"/>
        <v>0</v>
      </c>
    </row>
    <row r="362" ht="15.75" customHeight="1">
      <c r="Q362" s="15">
        <f t="shared" si="18"/>
        <v>0</v>
      </c>
      <c r="W362" s="22">
        <f t="shared" si="24"/>
        <v>0</v>
      </c>
      <c r="X362" s="19">
        <f t="shared" si="25"/>
        <v>0</v>
      </c>
    </row>
    <row r="363" ht="15.75" customHeight="1">
      <c r="Q363" s="15">
        <f t="shared" si="18"/>
        <v>0</v>
      </c>
      <c r="W363" s="22">
        <f t="shared" si="24"/>
        <v>0</v>
      </c>
      <c r="X363" s="19">
        <f t="shared" si="25"/>
        <v>0</v>
      </c>
    </row>
    <row r="364" ht="15.75" customHeight="1">
      <c r="Q364" s="15">
        <f t="shared" si="18"/>
        <v>0</v>
      </c>
      <c r="W364" s="22">
        <f t="shared" si="24"/>
        <v>0</v>
      </c>
      <c r="X364" s="19">
        <f t="shared" si="25"/>
        <v>0</v>
      </c>
    </row>
    <row r="365" ht="15.75" customHeight="1">
      <c r="Q365" s="15">
        <f t="shared" si="18"/>
        <v>0</v>
      </c>
      <c r="W365" s="22">
        <f t="shared" si="24"/>
        <v>0</v>
      </c>
      <c r="X365" s="19">
        <f t="shared" si="25"/>
        <v>0</v>
      </c>
    </row>
    <row r="366" ht="15.75" customHeight="1">
      <c r="Q366" s="15">
        <f t="shared" si="18"/>
        <v>0</v>
      </c>
      <c r="W366" s="22">
        <f t="shared" si="24"/>
        <v>0</v>
      </c>
      <c r="X366" s="19">
        <f t="shared" si="25"/>
        <v>0</v>
      </c>
    </row>
    <row r="367" ht="15.75" customHeight="1">
      <c r="Q367" s="15">
        <f t="shared" si="18"/>
        <v>0</v>
      </c>
      <c r="W367" s="22">
        <f t="shared" si="24"/>
        <v>0</v>
      </c>
      <c r="X367" s="19">
        <f t="shared" si="25"/>
        <v>0</v>
      </c>
    </row>
    <row r="368" ht="15.75" customHeight="1">
      <c r="Q368" s="15">
        <f t="shared" si="18"/>
        <v>0</v>
      </c>
      <c r="W368" s="22">
        <f t="shared" si="24"/>
        <v>0</v>
      </c>
      <c r="X368" s="19">
        <f t="shared" si="25"/>
        <v>0</v>
      </c>
    </row>
    <row r="369" ht="15.75" customHeight="1">
      <c r="Q369" s="15">
        <f t="shared" si="18"/>
        <v>0</v>
      </c>
      <c r="W369" s="22">
        <f t="shared" si="24"/>
        <v>0</v>
      </c>
      <c r="X369" s="19">
        <f t="shared" si="25"/>
        <v>0</v>
      </c>
    </row>
    <row r="370" ht="15.75" customHeight="1">
      <c r="Q370" s="15">
        <f t="shared" si="18"/>
        <v>0</v>
      </c>
      <c r="W370" s="22">
        <f t="shared" si="24"/>
        <v>0</v>
      </c>
      <c r="X370" s="19">
        <f t="shared" si="25"/>
        <v>0</v>
      </c>
    </row>
    <row r="371" ht="15.75" customHeight="1">
      <c r="Q371" s="15">
        <f t="shared" si="18"/>
        <v>0</v>
      </c>
      <c r="W371" s="22">
        <f t="shared" si="24"/>
        <v>0</v>
      </c>
      <c r="X371" s="19">
        <f t="shared" si="25"/>
        <v>0</v>
      </c>
    </row>
    <row r="372" ht="15.75" customHeight="1">
      <c r="Q372" s="15">
        <f t="shared" si="18"/>
        <v>0</v>
      </c>
      <c r="W372" s="22">
        <f t="shared" si="24"/>
        <v>0</v>
      </c>
      <c r="X372" s="19">
        <f t="shared" si="25"/>
        <v>0</v>
      </c>
    </row>
    <row r="373" ht="15.75" customHeight="1">
      <c r="Q373" s="15">
        <f t="shared" si="18"/>
        <v>0</v>
      </c>
      <c r="W373" s="22">
        <f t="shared" si="24"/>
        <v>0</v>
      </c>
      <c r="X373" s="19">
        <f t="shared" si="25"/>
        <v>0</v>
      </c>
    </row>
    <row r="374" ht="15.75" customHeight="1">
      <c r="Q374" s="15">
        <f t="shared" si="18"/>
        <v>0</v>
      </c>
      <c r="W374" s="22">
        <f t="shared" si="24"/>
        <v>0</v>
      </c>
      <c r="X374" s="19">
        <f t="shared" si="25"/>
        <v>0</v>
      </c>
    </row>
    <row r="375" ht="15.75" customHeight="1">
      <c r="Q375" s="15">
        <f t="shared" si="18"/>
        <v>0</v>
      </c>
      <c r="W375" s="22">
        <f t="shared" si="24"/>
        <v>0</v>
      </c>
      <c r="X375" s="19">
        <f t="shared" si="25"/>
        <v>0</v>
      </c>
    </row>
    <row r="376" ht="15.75" customHeight="1">
      <c r="Q376" s="15">
        <f t="shared" si="18"/>
        <v>0</v>
      </c>
      <c r="W376" s="22">
        <f t="shared" si="24"/>
        <v>0</v>
      </c>
      <c r="X376" s="19">
        <f t="shared" si="25"/>
        <v>0</v>
      </c>
    </row>
    <row r="377" ht="15.75" customHeight="1">
      <c r="Q377" s="15">
        <f t="shared" si="18"/>
        <v>0</v>
      </c>
      <c r="W377" s="22">
        <f t="shared" si="24"/>
        <v>0</v>
      </c>
      <c r="X377" s="19">
        <f t="shared" si="25"/>
        <v>0</v>
      </c>
    </row>
    <row r="378" ht="15.75" customHeight="1">
      <c r="Q378" s="15">
        <f t="shared" si="18"/>
        <v>0</v>
      </c>
      <c r="W378" s="22">
        <f t="shared" si="24"/>
        <v>0</v>
      </c>
      <c r="X378" s="19">
        <f t="shared" si="25"/>
        <v>0</v>
      </c>
    </row>
    <row r="379" ht="15.75" customHeight="1">
      <c r="Q379" s="15">
        <f t="shared" si="18"/>
        <v>0</v>
      </c>
      <c r="W379" s="22">
        <f t="shared" si="24"/>
        <v>0</v>
      </c>
      <c r="X379" s="19">
        <f t="shared" si="25"/>
        <v>0</v>
      </c>
    </row>
    <row r="380" ht="15.75" customHeight="1">
      <c r="Q380" s="15">
        <f t="shared" si="18"/>
        <v>0</v>
      </c>
      <c r="W380" s="22">
        <f t="shared" si="24"/>
        <v>0</v>
      </c>
      <c r="X380" s="19">
        <f t="shared" si="25"/>
        <v>0</v>
      </c>
    </row>
    <row r="381" ht="15.75" customHeight="1">
      <c r="Q381" s="15">
        <f t="shared" si="18"/>
        <v>0</v>
      </c>
      <c r="W381" s="22">
        <f t="shared" si="24"/>
        <v>0</v>
      </c>
      <c r="X381" s="19">
        <f t="shared" si="25"/>
        <v>0</v>
      </c>
    </row>
    <row r="382" ht="15.75" customHeight="1">
      <c r="Q382" s="15">
        <f t="shared" si="18"/>
        <v>0</v>
      </c>
      <c r="W382" s="22">
        <f t="shared" si="24"/>
        <v>0</v>
      </c>
      <c r="X382" s="19">
        <f t="shared" si="25"/>
        <v>0</v>
      </c>
    </row>
    <row r="383" ht="15.75" customHeight="1">
      <c r="Q383" s="15">
        <f t="shared" si="18"/>
        <v>0</v>
      </c>
      <c r="W383" s="22">
        <f t="shared" si="24"/>
        <v>0</v>
      </c>
      <c r="X383" s="19">
        <f t="shared" si="25"/>
        <v>0</v>
      </c>
    </row>
    <row r="384" ht="15.75" customHeight="1">
      <c r="Q384" s="15">
        <f t="shared" si="18"/>
        <v>0</v>
      </c>
      <c r="W384" s="22">
        <f t="shared" si="24"/>
        <v>0</v>
      </c>
      <c r="X384" s="19">
        <f t="shared" si="25"/>
        <v>0</v>
      </c>
    </row>
    <row r="385" ht="15.75" customHeight="1">
      <c r="Q385" s="15">
        <f t="shared" si="18"/>
        <v>0</v>
      </c>
      <c r="W385" s="22">
        <f t="shared" si="24"/>
        <v>0</v>
      </c>
      <c r="X385" s="19">
        <f t="shared" si="25"/>
        <v>0</v>
      </c>
    </row>
    <row r="386" ht="15.75" customHeight="1">
      <c r="Q386" s="15">
        <f t="shared" si="18"/>
        <v>0</v>
      </c>
      <c r="W386" s="22">
        <f t="shared" si="24"/>
        <v>0</v>
      </c>
      <c r="X386" s="19">
        <f t="shared" si="25"/>
        <v>0</v>
      </c>
    </row>
    <row r="387" ht="15.75" customHeight="1">
      <c r="Q387" s="15">
        <f t="shared" si="18"/>
        <v>0</v>
      </c>
      <c r="W387" s="22">
        <f t="shared" si="24"/>
        <v>0</v>
      </c>
      <c r="X387" s="19">
        <f t="shared" si="25"/>
        <v>0</v>
      </c>
    </row>
    <row r="388" ht="15.75" customHeight="1">
      <c r="Q388" s="15">
        <f t="shared" si="18"/>
        <v>0</v>
      </c>
      <c r="W388" s="22">
        <f t="shared" si="24"/>
        <v>0</v>
      </c>
      <c r="X388" s="19">
        <f t="shared" si="25"/>
        <v>0</v>
      </c>
    </row>
    <row r="389" ht="15.75" customHeight="1">
      <c r="Q389" s="15">
        <f t="shared" si="18"/>
        <v>0</v>
      </c>
      <c r="W389" s="22">
        <f t="shared" si="24"/>
        <v>0</v>
      </c>
      <c r="X389" s="19">
        <f t="shared" si="25"/>
        <v>0</v>
      </c>
    </row>
    <row r="390" ht="15.75" customHeight="1">
      <c r="Q390" s="15">
        <f t="shared" si="18"/>
        <v>0</v>
      </c>
      <c r="W390" s="22">
        <f t="shared" si="24"/>
        <v>0</v>
      </c>
      <c r="X390" s="19">
        <f t="shared" si="25"/>
        <v>0</v>
      </c>
    </row>
    <row r="391" ht="15.75" customHeight="1">
      <c r="Q391" s="15">
        <f t="shared" si="18"/>
        <v>0</v>
      </c>
      <c r="W391" s="22">
        <f t="shared" si="24"/>
        <v>0</v>
      </c>
      <c r="X391" s="19">
        <f t="shared" si="25"/>
        <v>0</v>
      </c>
    </row>
    <row r="392" ht="15.75" customHeight="1">
      <c r="Q392" s="15">
        <f t="shared" si="18"/>
        <v>0</v>
      </c>
      <c r="W392" s="22">
        <f t="shared" si="24"/>
        <v>0</v>
      </c>
      <c r="X392" s="19">
        <f t="shared" si="25"/>
        <v>0</v>
      </c>
    </row>
    <row r="393" ht="15.75" customHeight="1">
      <c r="Q393" s="15">
        <f t="shared" si="18"/>
        <v>0</v>
      </c>
      <c r="W393" s="22">
        <f t="shared" si="24"/>
        <v>0</v>
      </c>
      <c r="X393" s="19">
        <f t="shared" si="25"/>
        <v>0</v>
      </c>
    </row>
    <row r="394" ht="15.75" customHeight="1">
      <c r="Q394" s="15">
        <f t="shared" si="18"/>
        <v>0</v>
      </c>
      <c r="W394" s="22">
        <f t="shared" si="24"/>
        <v>0</v>
      </c>
      <c r="X394" s="19">
        <f t="shared" si="25"/>
        <v>0</v>
      </c>
    </row>
    <row r="395" ht="15.75" customHeight="1">
      <c r="Q395" s="15">
        <f t="shared" si="18"/>
        <v>0</v>
      </c>
      <c r="W395" s="22">
        <f t="shared" si="24"/>
        <v>0</v>
      </c>
      <c r="X395" s="19">
        <f t="shared" si="25"/>
        <v>0</v>
      </c>
    </row>
    <row r="396" ht="15.75" customHeight="1">
      <c r="Q396" s="15">
        <f t="shared" si="18"/>
        <v>0</v>
      </c>
      <c r="W396" s="22">
        <f t="shared" si="24"/>
        <v>0</v>
      </c>
      <c r="X396" s="19">
        <f t="shared" si="25"/>
        <v>0</v>
      </c>
    </row>
    <row r="397" ht="15.75" customHeight="1">
      <c r="Q397" s="15">
        <f t="shared" si="18"/>
        <v>0</v>
      </c>
      <c r="W397" s="22">
        <f t="shared" si="24"/>
        <v>0</v>
      </c>
      <c r="X397" s="19">
        <f t="shared" si="25"/>
        <v>0</v>
      </c>
    </row>
    <row r="398" ht="15.75" customHeight="1">
      <c r="Q398" s="15">
        <f t="shared" si="18"/>
        <v>0</v>
      </c>
      <c r="W398" s="22">
        <f t="shared" si="24"/>
        <v>0</v>
      </c>
      <c r="X398" s="19">
        <f t="shared" si="25"/>
        <v>0</v>
      </c>
    </row>
    <row r="399" ht="15.75" customHeight="1">
      <c r="Q399" s="15">
        <f t="shared" si="18"/>
        <v>0</v>
      </c>
      <c r="W399" s="22">
        <f t="shared" si="24"/>
        <v>0</v>
      </c>
      <c r="X399" s="19">
        <f t="shared" si="25"/>
        <v>0</v>
      </c>
    </row>
    <row r="400" ht="15.75" customHeight="1">
      <c r="Q400" s="15">
        <f t="shared" si="18"/>
        <v>0</v>
      </c>
      <c r="W400" s="22">
        <f t="shared" si="24"/>
        <v>0</v>
      </c>
      <c r="X400" s="19">
        <f t="shared" si="25"/>
        <v>0</v>
      </c>
    </row>
    <row r="401" ht="15.75" customHeight="1">
      <c r="Q401" s="15">
        <f t="shared" si="18"/>
        <v>0</v>
      </c>
      <c r="W401" s="22">
        <f t="shared" si="24"/>
        <v>0</v>
      </c>
      <c r="X401" s="19">
        <f t="shared" si="25"/>
        <v>0</v>
      </c>
    </row>
    <row r="402" ht="15.75" customHeight="1">
      <c r="Q402" s="15">
        <f t="shared" si="18"/>
        <v>0</v>
      </c>
      <c r="W402" s="22">
        <f t="shared" si="24"/>
        <v>0</v>
      </c>
      <c r="X402" s="19">
        <f t="shared" si="25"/>
        <v>0</v>
      </c>
    </row>
    <row r="403" ht="15.75" customHeight="1">
      <c r="Q403" s="15">
        <f t="shared" si="18"/>
        <v>0</v>
      </c>
      <c r="W403" s="22">
        <f t="shared" si="24"/>
        <v>0</v>
      </c>
      <c r="X403" s="19">
        <f t="shared" si="25"/>
        <v>0</v>
      </c>
    </row>
    <row r="404" ht="15.75" customHeight="1">
      <c r="Q404" s="15">
        <f t="shared" si="18"/>
        <v>0</v>
      </c>
      <c r="W404" s="22">
        <f t="shared" si="24"/>
        <v>0</v>
      </c>
      <c r="X404" s="19">
        <f t="shared" si="25"/>
        <v>0</v>
      </c>
    </row>
    <row r="405" ht="15.75" customHeight="1">
      <c r="Q405" s="15">
        <f t="shared" si="18"/>
        <v>0</v>
      </c>
      <c r="W405" s="22">
        <f t="shared" si="24"/>
        <v>0</v>
      </c>
      <c r="X405" s="19">
        <f t="shared" si="25"/>
        <v>0</v>
      </c>
    </row>
    <row r="406" ht="15.75" customHeight="1">
      <c r="Q406" s="15">
        <f t="shared" si="18"/>
        <v>0</v>
      </c>
      <c r="W406" s="22">
        <f t="shared" si="24"/>
        <v>0</v>
      </c>
      <c r="X406" s="19">
        <f t="shared" si="25"/>
        <v>0</v>
      </c>
    </row>
    <row r="407" ht="15.75" customHeight="1">
      <c r="Q407" s="15">
        <f t="shared" si="18"/>
        <v>0</v>
      </c>
      <c r="W407" s="22">
        <f t="shared" si="24"/>
        <v>0</v>
      </c>
      <c r="X407" s="19">
        <f t="shared" si="25"/>
        <v>0</v>
      </c>
    </row>
    <row r="408" ht="15.75" customHeight="1">
      <c r="Q408" s="15">
        <f t="shared" si="18"/>
        <v>0</v>
      </c>
      <c r="W408" s="22">
        <f t="shared" si="24"/>
        <v>0</v>
      </c>
      <c r="X408" s="19">
        <f t="shared" si="25"/>
        <v>0</v>
      </c>
    </row>
    <row r="409" ht="15.75" customHeight="1">
      <c r="Q409" s="15">
        <f t="shared" si="18"/>
        <v>0</v>
      </c>
      <c r="W409" s="22">
        <f t="shared" si="24"/>
        <v>0</v>
      </c>
      <c r="X409" s="19">
        <f t="shared" si="25"/>
        <v>0</v>
      </c>
    </row>
    <row r="410" ht="15.75" customHeight="1">
      <c r="Q410" s="15">
        <f t="shared" si="18"/>
        <v>0</v>
      </c>
      <c r="W410" s="22">
        <f t="shared" si="24"/>
        <v>0</v>
      </c>
      <c r="X410" s="19">
        <f t="shared" si="25"/>
        <v>0</v>
      </c>
    </row>
    <row r="411" ht="15.75" customHeight="1">
      <c r="Q411" s="15">
        <f t="shared" si="18"/>
        <v>0</v>
      </c>
      <c r="W411" s="22">
        <f t="shared" si="24"/>
        <v>0</v>
      </c>
      <c r="X411" s="19">
        <f t="shared" si="25"/>
        <v>0</v>
      </c>
    </row>
    <row r="412" ht="15.75" customHeight="1">
      <c r="Q412" s="15">
        <f t="shared" si="18"/>
        <v>0</v>
      </c>
      <c r="W412" s="22">
        <f t="shared" si="24"/>
        <v>0</v>
      </c>
      <c r="X412" s="19">
        <f t="shared" si="25"/>
        <v>0</v>
      </c>
    </row>
    <row r="413" ht="15.75" customHeight="1">
      <c r="Q413" s="15">
        <f t="shared" si="18"/>
        <v>0</v>
      </c>
      <c r="W413" s="22">
        <f t="shared" si="24"/>
        <v>0</v>
      </c>
      <c r="X413" s="19">
        <f t="shared" si="25"/>
        <v>0</v>
      </c>
    </row>
    <row r="414" ht="15.75" customHeight="1">
      <c r="Q414" s="15">
        <f t="shared" si="18"/>
        <v>0</v>
      </c>
      <c r="W414" s="22">
        <f t="shared" si="24"/>
        <v>0</v>
      </c>
      <c r="X414" s="19">
        <f t="shared" si="25"/>
        <v>0</v>
      </c>
    </row>
    <row r="415" ht="15.75" customHeight="1">
      <c r="Q415" s="15">
        <f t="shared" si="18"/>
        <v>0</v>
      </c>
      <c r="W415" s="22">
        <f t="shared" si="24"/>
        <v>0</v>
      </c>
      <c r="X415" s="19">
        <f t="shared" si="25"/>
        <v>0</v>
      </c>
    </row>
    <row r="416" ht="15.75" customHeight="1">
      <c r="Q416" s="15">
        <f t="shared" si="18"/>
        <v>0</v>
      </c>
      <c r="W416" s="22">
        <f t="shared" si="24"/>
        <v>0</v>
      </c>
      <c r="X416" s="19">
        <f t="shared" si="25"/>
        <v>0</v>
      </c>
    </row>
    <row r="417" ht="15.75" customHeight="1">
      <c r="Q417" s="15">
        <f t="shared" si="18"/>
        <v>0</v>
      </c>
      <c r="W417" s="22">
        <f t="shared" si="24"/>
        <v>0</v>
      </c>
      <c r="X417" s="19">
        <f t="shared" si="25"/>
        <v>0</v>
      </c>
    </row>
    <row r="418" ht="15.75" customHeight="1">
      <c r="Q418" s="15">
        <f t="shared" si="18"/>
        <v>0</v>
      </c>
      <c r="W418" s="22">
        <f t="shared" si="24"/>
        <v>0</v>
      </c>
      <c r="X418" s="19">
        <f t="shared" si="25"/>
        <v>0</v>
      </c>
    </row>
    <row r="419" ht="15.75" customHeight="1">
      <c r="Q419" s="15">
        <f t="shared" si="18"/>
        <v>0</v>
      </c>
      <c r="W419" s="22">
        <f t="shared" si="24"/>
        <v>0</v>
      </c>
      <c r="X419" s="19">
        <f t="shared" si="25"/>
        <v>0</v>
      </c>
    </row>
    <row r="420" ht="15.75" customHeight="1">
      <c r="Q420" s="15">
        <f t="shared" si="18"/>
        <v>0</v>
      </c>
      <c r="W420" s="22">
        <f t="shared" si="24"/>
        <v>0</v>
      </c>
      <c r="X420" s="19">
        <f t="shared" si="25"/>
        <v>0</v>
      </c>
    </row>
    <row r="421" ht="15.75" customHeight="1">
      <c r="Q421" s="15">
        <f t="shared" si="18"/>
        <v>0</v>
      </c>
      <c r="W421" s="22">
        <f t="shared" si="24"/>
        <v>0</v>
      </c>
      <c r="X421" s="19">
        <f t="shared" si="25"/>
        <v>0</v>
      </c>
    </row>
    <row r="422" ht="15.75" customHeight="1">
      <c r="Q422" s="15">
        <f t="shared" si="18"/>
        <v>0</v>
      </c>
      <c r="W422" s="22">
        <f t="shared" si="24"/>
        <v>0</v>
      </c>
      <c r="X422" s="19">
        <f t="shared" si="25"/>
        <v>0</v>
      </c>
    </row>
    <row r="423" ht="15.75" customHeight="1">
      <c r="Q423" s="15">
        <f t="shared" si="18"/>
        <v>0</v>
      </c>
      <c r="W423" s="22">
        <f t="shared" si="24"/>
        <v>0</v>
      </c>
      <c r="X423" s="19">
        <f t="shared" si="25"/>
        <v>0</v>
      </c>
    </row>
    <row r="424" ht="15.75" customHeight="1">
      <c r="Q424" s="15">
        <f t="shared" si="18"/>
        <v>0</v>
      </c>
      <c r="W424" s="22">
        <f t="shared" si="24"/>
        <v>0</v>
      </c>
      <c r="X424" s="19">
        <f t="shared" si="25"/>
        <v>0</v>
      </c>
    </row>
    <row r="425" ht="15.75" customHeight="1">
      <c r="Q425" s="15">
        <f t="shared" si="18"/>
        <v>0</v>
      </c>
      <c r="W425" s="22">
        <f t="shared" si="24"/>
        <v>0</v>
      </c>
      <c r="X425" s="19">
        <f t="shared" si="25"/>
        <v>0</v>
      </c>
    </row>
    <row r="426" ht="15.75" customHeight="1">
      <c r="Q426" s="15">
        <f t="shared" si="18"/>
        <v>0</v>
      </c>
      <c r="W426" s="22">
        <f t="shared" si="24"/>
        <v>0</v>
      </c>
      <c r="X426" s="19">
        <f t="shared" si="25"/>
        <v>0</v>
      </c>
    </row>
    <row r="427" ht="15.75" customHeight="1">
      <c r="Q427" s="15">
        <f t="shared" si="18"/>
        <v>0</v>
      </c>
      <c r="W427" s="22">
        <f t="shared" si="24"/>
        <v>0</v>
      </c>
      <c r="X427" s="19">
        <f t="shared" si="25"/>
        <v>0</v>
      </c>
    </row>
    <row r="428" ht="15.75" customHeight="1">
      <c r="Q428" s="15">
        <f t="shared" si="18"/>
        <v>0</v>
      </c>
      <c r="W428" s="22">
        <f t="shared" si="24"/>
        <v>0</v>
      </c>
      <c r="X428" s="19">
        <f t="shared" si="25"/>
        <v>0</v>
      </c>
    </row>
    <row r="429" ht="15.75" customHeight="1">
      <c r="Q429" s="15">
        <f t="shared" si="18"/>
        <v>0</v>
      </c>
      <c r="W429" s="22">
        <f t="shared" si="24"/>
        <v>0</v>
      </c>
      <c r="X429" s="19">
        <f t="shared" si="25"/>
        <v>0</v>
      </c>
    </row>
    <row r="430" ht="15.75" customHeight="1">
      <c r="Q430" s="15">
        <f t="shared" si="18"/>
        <v>0</v>
      </c>
      <c r="W430" s="22">
        <f t="shared" si="24"/>
        <v>0</v>
      </c>
      <c r="X430" s="19">
        <f t="shared" si="25"/>
        <v>0</v>
      </c>
    </row>
    <row r="431" ht="15.75" customHeight="1">
      <c r="Q431" s="15">
        <f t="shared" si="18"/>
        <v>0</v>
      </c>
      <c r="W431" s="22">
        <f t="shared" si="24"/>
        <v>0</v>
      </c>
      <c r="X431" s="19">
        <f t="shared" si="25"/>
        <v>0</v>
      </c>
    </row>
    <row r="432" ht="15.75" customHeight="1">
      <c r="Q432" s="15">
        <f t="shared" si="18"/>
        <v>0</v>
      </c>
      <c r="W432" s="22">
        <f t="shared" si="24"/>
        <v>0</v>
      </c>
      <c r="X432" s="19">
        <f t="shared" si="25"/>
        <v>0</v>
      </c>
    </row>
    <row r="433" ht="15.75" customHeight="1">
      <c r="Q433" s="15">
        <f t="shared" si="18"/>
        <v>0</v>
      </c>
      <c r="W433" s="22">
        <f t="shared" si="24"/>
        <v>0</v>
      </c>
      <c r="X433" s="19">
        <f t="shared" si="25"/>
        <v>0</v>
      </c>
    </row>
    <row r="434" ht="15.75" customHeight="1">
      <c r="Q434" s="15">
        <f t="shared" si="18"/>
        <v>0</v>
      </c>
      <c r="W434" s="22">
        <f t="shared" si="24"/>
        <v>0</v>
      </c>
      <c r="X434" s="19">
        <f t="shared" si="25"/>
        <v>0</v>
      </c>
    </row>
    <row r="435" ht="15.75" customHeight="1">
      <c r="Q435" s="15">
        <f t="shared" si="18"/>
        <v>0</v>
      </c>
      <c r="W435" s="22">
        <f t="shared" si="24"/>
        <v>0</v>
      </c>
      <c r="X435" s="19">
        <f t="shared" si="25"/>
        <v>0</v>
      </c>
    </row>
    <row r="436" ht="15.75" customHeight="1">
      <c r="Q436" s="15">
        <f t="shared" si="18"/>
        <v>0</v>
      </c>
      <c r="W436" s="22">
        <f t="shared" si="24"/>
        <v>0</v>
      </c>
      <c r="X436" s="19">
        <f t="shared" si="25"/>
        <v>0</v>
      </c>
    </row>
    <row r="437" ht="15.75" customHeight="1">
      <c r="Q437" s="15">
        <f t="shared" si="18"/>
        <v>0</v>
      </c>
      <c r="W437" s="22">
        <f t="shared" si="24"/>
        <v>0</v>
      </c>
      <c r="X437" s="19">
        <f t="shared" si="25"/>
        <v>0</v>
      </c>
    </row>
    <row r="438" ht="15.75" customHeight="1">
      <c r="Q438" s="15">
        <f t="shared" si="18"/>
        <v>0</v>
      </c>
      <c r="W438" s="22">
        <f t="shared" si="24"/>
        <v>0</v>
      </c>
      <c r="X438" s="19">
        <f t="shared" si="25"/>
        <v>0</v>
      </c>
    </row>
    <row r="439" ht="15.75" customHeight="1">
      <c r="Q439" s="15">
        <f t="shared" si="18"/>
        <v>0</v>
      </c>
      <c r="W439" s="22">
        <f t="shared" si="24"/>
        <v>0</v>
      </c>
      <c r="X439" s="19">
        <f t="shared" si="25"/>
        <v>0</v>
      </c>
    </row>
    <row r="440" ht="15.75" customHeight="1">
      <c r="Q440" s="15">
        <f t="shared" si="18"/>
        <v>0</v>
      </c>
      <c r="W440" s="22">
        <f t="shared" si="24"/>
        <v>0</v>
      </c>
      <c r="X440" s="19">
        <f t="shared" si="25"/>
        <v>0</v>
      </c>
    </row>
    <row r="441" ht="15.75" customHeight="1">
      <c r="Q441" s="15">
        <f t="shared" si="18"/>
        <v>0</v>
      </c>
      <c r="W441" s="22">
        <f t="shared" si="24"/>
        <v>0</v>
      </c>
      <c r="X441" s="19">
        <f t="shared" si="25"/>
        <v>0</v>
      </c>
    </row>
    <row r="442" ht="15.75" customHeight="1">
      <c r="Q442" s="15">
        <f t="shared" si="18"/>
        <v>0</v>
      </c>
      <c r="W442" s="22">
        <f t="shared" si="24"/>
        <v>0</v>
      </c>
      <c r="X442" s="19">
        <f t="shared" si="25"/>
        <v>0</v>
      </c>
    </row>
    <row r="443" ht="15.75" customHeight="1">
      <c r="Q443" s="15">
        <f t="shared" si="18"/>
        <v>0</v>
      </c>
      <c r="W443" s="22">
        <f t="shared" si="24"/>
        <v>0</v>
      </c>
      <c r="X443" s="19">
        <f t="shared" si="25"/>
        <v>0</v>
      </c>
    </row>
    <row r="444" ht="15.75" customHeight="1">
      <c r="Q444" s="15">
        <f t="shared" si="18"/>
        <v>0</v>
      </c>
      <c r="W444" s="22">
        <f t="shared" si="24"/>
        <v>0</v>
      </c>
      <c r="X444" s="19">
        <f t="shared" si="25"/>
        <v>0</v>
      </c>
    </row>
    <row r="445" ht="15.75" customHeight="1">
      <c r="Q445" s="15">
        <f t="shared" si="18"/>
        <v>0</v>
      </c>
      <c r="W445" s="22">
        <f t="shared" si="24"/>
        <v>0</v>
      </c>
      <c r="X445" s="19">
        <f t="shared" si="25"/>
        <v>0</v>
      </c>
    </row>
    <row r="446" ht="15.75" customHeight="1">
      <c r="Q446" s="15">
        <f t="shared" si="18"/>
        <v>0</v>
      </c>
      <c r="W446" s="22">
        <f t="shared" si="24"/>
        <v>0</v>
      </c>
      <c r="X446" s="19">
        <f t="shared" si="25"/>
        <v>0</v>
      </c>
    </row>
    <row r="447" ht="15.75" customHeight="1">
      <c r="Q447" s="15">
        <f t="shared" si="18"/>
        <v>0</v>
      </c>
      <c r="W447" s="22">
        <f t="shared" si="24"/>
        <v>0</v>
      </c>
      <c r="X447" s="19">
        <f t="shared" si="25"/>
        <v>0</v>
      </c>
    </row>
    <row r="448" ht="15.75" customHeight="1">
      <c r="Q448" s="15">
        <f t="shared" si="18"/>
        <v>0</v>
      </c>
      <c r="W448" s="22">
        <f t="shared" si="24"/>
        <v>0</v>
      </c>
      <c r="X448" s="19">
        <f t="shared" si="25"/>
        <v>0</v>
      </c>
    </row>
    <row r="449" ht="15.75" customHeight="1">
      <c r="Q449" s="15">
        <f t="shared" si="18"/>
        <v>0</v>
      </c>
      <c r="W449" s="22">
        <f t="shared" si="24"/>
        <v>0</v>
      </c>
      <c r="X449" s="19">
        <f t="shared" si="25"/>
        <v>0</v>
      </c>
    </row>
    <row r="450" ht="15.75" customHeight="1">
      <c r="Q450" s="15">
        <f t="shared" si="18"/>
        <v>0</v>
      </c>
      <c r="W450" s="22">
        <f t="shared" si="24"/>
        <v>0</v>
      </c>
      <c r="X450" s="19">
        <f t="shared" si="25"/>
        <v>0</v>
      </c>
    </row>
    <row r="451" ht="15.75" customHeight="1">
      <c r="Q451" s="15">
        <f t="shared" si="18"/>
        <v>0</v>
      </c>
      <c r="W451" s="22">
        <f t="shared" si="24"/>
        <v>0</v>
      </c>
      <c r="X451" s="19">
        <f t="shared" si="25"/>
        <v>0</v>
      </c>
    </row>
    <row r="452" ht="15.75" customHeight="1">
      <c r="Q452" s="15">
        <f t="shared" si="18"/>
        <v>0</v>
      </c>
      <c r="W452" s="22">
        <f t="shared" si="24"/>
        <v>0</v>
      </c>
      <c r="X452" s="19">
        <f t="shared" si="25"/>
        <v>0</v>
      </c>
    </row>
    <row r="453" ht="15.75" customHeight="1">
      <c r="Q453" s="15">
        <f t="shared" si="18"/>
        <v>0</v>
      </c>
      <c r="W453" s="22">
        <f t="shared" si="24"/>
        <v>0</v>
      </c>
      <c r="X453" s="19">
        <f t="shared" si="25"/>
        <v>0</v>
      </c>
    </row>
    <row r="454" ht="15.75" customHeight="1">
      <c r="Q454" s="15">
        <f t="shared" si="18"/>
        <v>0</v>
      </c>
      <c r="W454" s="22">
        <f t="shared" si="24"/>
        <v>0</v>
      </c>
      <c r="X454" s="19">
        <f t="shared" si="25"/>
        <v>0</v>
      </c>
    </row>
    <row r="455" ht="15.75" customHeight="1">
      <c r="Q455" s="15">
        <f t="shared" si="18"/>
        <v>0</v>
      </c>
      <c r="W455" s="22">
        <f t="shared" si="24"/>
        <v>0</v>
      </c>
      <c r="X455" s="19">
        <f t="shared" si="25"/>
        <v>0</v>
      </c>
    </row>
    <row r="456" ht="15.75" customHeight="1">
      <c r="Q456" s="15">
        <f t="shared" si="18"/>
        <v>0</v>
      </c>
      <c r="W456" s="22">
        <f t="shared" si="24"/>
        <v>0</v>
      </c>
      <c r="X456" s="19">
        <f t="shared" si="25"/>
        <v>0</v>
      </c>
    </row>
    <row r="457" ht="15.75" customHeight="1">
      <c r="Q457" s="15">
        <f t="shared" si="18"/>
        <v>0</v>
      </c>
      <c r="W457" s="22">
        <f t="shared" si="24"/>
        <v>0</v>
      </c>
      <c r="X457" s="19">
        <f t="shared" si="25"/>
        <v>0</v>
      </c>
    </row>
    <row r="458" ht="15.75" customHeight="1">
      <c r="Q458" s="15">
        <f t="shared" si="18"/>
        <v>0</v>
      </c>
      <c r="W458" s="22">
        <f t="shared" si="24"/>
        <v>0</v>
      </c>
      <c r="X458" s="19">
        <f t="shared" si="25"/>
        <v>0</v>
      </c>
    </row>
    <row r="459" ht="15.75" customHeight="1">
      <c r="Q459" s="15">
        <f t="shared" si="18"/>
        <v>0</v>
      </c>
      <c r="W459" s="22">
        <f t="shared" si="24"/>
        <v>0</v>
      </c>
      <c r="X459" s="19">
        <f t="shared" si="25"/>
        <v>0</v>
      </c>
    </row>
    <row r="460" ht="15.75" customHeight="1">
      <c r="Q460" s="15">
        <f t="shared" si="18"/>
        <v>0</v>
      </c>
      <c r="W460" s="22">
        <f t="shared" si="24"/>
        <v>0</v>
      </c>
      <c r="X460" s="19">
        <f t="shared" si="25"/>
        <v>0</v>
      </c>
    </row>
    <row r="461" ht="15.75" customHeight="1">
      <c r="Q461" s="15">
        <f t="shared" si="18"/>
        <v>0</v>
      </c>
      <c r="W461" s="22">
        <f t="shared" si="24"/>
        <v>0</v>
      </c>
      <c r="X461" s="19">
        <f t="shared" si="25"/>
        <v>0</v>
      </c>
    </row>
    <row r="462" ht="15.75" customHeight="1">
      <c r="Q462" s="15">
        <f t="shared" si="18"/>
        <v>0</v>
      </c>
      <c r="W462" s="22">
        <f t="shared" si="24"/>
        <v>0</v>
      </c>
      <c r="X462" s="19">
        <f t="shared" si="25"/>
        <v>0</v>
      </c>
    </row>
    <row r="463" ht="15.75" customHeight="1">
      <c r="Q463" s="15">
        <f t="shared" si="18"/>
        <v>0</v>
      </c>
      <c r="W463" s="22">
        <f t="shared" si="24"/>
        <v>0</v>
      </c>
      <c r="X463" s="19">
        <f t="shared" si="25"/>
        <v>0</v>
      </c>
    </row>
    <row r="464" ht="15.75" customHeight="1">
      <c r="Q464" s="15">
        <f t="shared" si="18"/>
        <v>0</v>
      </c>
      <c r="W464" s="22">
        <f t="shared" si="24"/>
        <v>0</v>
      </c>
      <c r="X464" s="19">
        <f t="shared" si="25"/>
        <v>0</v>
      </c>
    </row>
    <row r="465" ht="15.75" customHeight="1">
      <c r="Q465" s="15">
        <f t="shared" si="18"/>
        <v>0</v>
      </c>
      <c r="W465" s="22">
        <f t="shared" si="24"/>
        <v>0</v>
      </c>
      <c r="X465" s="19">
        <f t="shared" si="25"/>
        <v>0</v>
      </c>
    </row>
    <row r="466" ht="15.75" customHeight="1">
      <c r="Q466" s="15">
        <f t="shared" si="18"/>
        <v>0</v>
      </c>
      <c r="W466" s="22">
        <f t="shared" si="24"/>
        <v>0</v>
      </c>
      <c r="X466" s="19">
        <f t="shared" si="25"/>
        <v>0</v>
      </c>
    </row>
    <row r="467" ht="15.75" customHeight="1">
      <c r="Q467" s="15">
        <f t="shared" si="18"/>
        <v>0</v>
      </c>
      <c r="W467" s="22">
        <f t="shared" si="24"/>
        <v>0</v>
      </c>
      <c r="X467" s="19">
        <f t="shared" si="25"/>
        <v>0</v>
      </c>
    </row>
    <row r="468" ht="15.75" customHeight="1">
      <c r="Q468" s="15">
        <f t="shared" si="18"/>
        <v>0</v>
      </c>
      <c r="W468" s="22">
        <f t="shared" si="24"/>
        <v>0</v>
      </c>
      <c r="X468" s="19">
        <f t="shared" si="25"/>
        <v>0</v>
      </c>
    </row>
    <row r="469" ht="15.75" customHeight="1">
      <c r="Q469" s="15">
        <f t="shared" si="18"/>
        <v>0</v>
      </c>
      <c r="W469" s="22">
        <f t="shared" si="24"/>
        <v>0</v>
      </c>
      <c r="X469" s="19">
        <f t="shared" si="25"/>
        <v>0</v>
      </c>
    </row>
    <row r="470" ht="15.75" customHeight="1">
      <c r="Q470" s="15">
        <f t="shared" si="18"/>
        <v>0</v>
      </c>
      <c r="W470" s="22">
        <f t="shared" si="24"/>
        <v>0</v>
      </c>
      <c r="X470" s="19">
        <f t="shared" si="25"/>
        <v>0</v>
      </c>
    </row>
    <row r="471" ht="15.75" customHeight="1">
      <c r="Q471" s="15">
        <f t="shared" si="18"/>
        <v>0</v>
      </c>
      <c r="W471" s="22">
        <f t="shared" si="24"/>
        <v>0</v>
      </c>
      <c r="X471" s="19">
        <f t="shared" si="25"/>
        <v>0</v>
      </c>
    </row>
    <row r="472" ht="15.75" customHeight="1">
      <c r="Q472" s="15">
        <f t="shared" si="18"/>
        <v>0</v>
      </c>
      <c r="W472" s="22">
        <f t="shared" si="24"/>
        <v>0</v>
      </c>
      <c r="X472" s="19">
        <f t="shared" si="25"/>
        <v>0</v>
      </c>
    </row>
    <row r="473" ht="15.75" customHeight="1">
      <c r="Q473" s="15">
        <f t="shared" si="18"/>
        <v>0</v>
      </c>
      <c r="W473" s="22">
        <f t="shared" si="24"/>
        <v>0</v>
      </c>
      <c r="X473" s="19">
        <f t="shared" si="25"/>
        <v>0</v>
      </c>
    </row>
    <row r="474" ht="15.75" customHeight="1">
      <c r="Q474" s="15">
        <f t="shared" si="18"/>
        <v>0</v>
      </c>
      <c r="W474" s="22">
        <f t="shared" si="24"/>
        <v>0</v>
      </c>
      <c r="X474" s="19">
        <f t="shared" si="25"/>
        <v>0</v>
      </c>
    </row>
    <row r="475" ht="15.75" customHeight="1">
      <c r="Q475" s="15">
        <f t="shared" si="18"/>
        <v>0</v>
      </c>
      <c r="W475" s="22">
        <f t="shared" si="24"/>
        <v>0</v>
      </c>
      <c r="X475" s="19">
        <f t="shared" si="25"/>
        <v>0</v>
      </c>
    </row>
    <row r="476" ht="15.75" customHeight="1">
      <c r="Q476" s="15">
        <f t="shared" si="18"/>
        <v>0</v>
      </c>
      <c r="W476" s="22">
        <f t="shared" si="24"/>
        <v>0</v>
      </c>
      <c r="X476" s="19">
        <f t="shared" si="25"/>
        <v>0</v>
      </c>
    </row>
    <row r="477" ht="15.75" customHeight="1">
      <c r="Q477" s="15">
        <f t="shared" si="18"/>
        <v>0</v>
      </c>
      <c r="W477" s="22">
        <f t="shared" si="24"/>
        <v>0</v>
      </c>
      <c r="X477" s="19">
        <f t="shared" si="25"/>
        <v>0</v>
      </c>
    </row>
    <row r="478" ht="15.75" customHeight="1">
      <c r="Q478" s="15">
        <f t="shared" si="18"/>
        <v>0</v>
      </c>
      <c r="W478" s="22">
        <f t="shared" si="24"/>
        <v>0</v>
      </c>
      <c r="X478" s="19">
        <f t="shared" si="25"/>
        <v>0</v>
      </c>
    </row>
    <row r="479" ht="15.75" customHeight="1">
      <c r="Q479" s="15">
        <f t="shared" si="18"/>
        <v>0</v>
      </c>
      <c r="W479" s="22">
        <f t="shared" si="24"/>
        <v>0</v>
      </c>
      <c r="X479" s="19">
        <f t="shared" si="25"/>
        <v>0</v>
      </c>
    </row>
    <row r="480" ht="15.75" customHeight="1">
      <c r="Q480" s="15">
        <f t="shared" si="18"/>
        <v>0</v>
      </c>
      <c r="W480" s="22">
        <f t="shared" si="24"/>
        <v>0</v>
      </c>
      <c r="X480" s="19">
        <f t="shared" si="25"/>
        <v>0</v>
      </c>
    </row>
    <row r="481" ht="15.75" customHeight="1">
      <c r="Q481" s="15">
        <f t="shared" si="18"/>
        <v>0</v>
      </c>
      <c r="W481" s="22">
        <f t="shared" si="24"/>
        <v>0</v>
      </c>
      <c r="X481" s="19">
        <f t="shared" si="25"/>
        <v>0</v>
      </c>
    </row>
    <row r="482" ht="15.75" customHeight="1">
      <c r="Q482" s="15">
        <f t="shared" si="18"/>
        <v>0</v>
      </c>
      <c r="W482" s="22">
        <f t="shared" si="24"/>
        <v>0</v>
      </c>
      <c r="X482" s="19">
        <f t="shared" si="25"/>
        <v>0</v>
      </c>
    </row>
    <row r="483" ht="15.75" customHeight="1">
      <c r="Q483" s="15">
        <f t="shared" si="18"/>
        <v>0</v>
      </c>
      <c r="W483" s="22">
        <f t="shared" si="24"/>
        <v>0</v>
      </c>
      <c r="X483" s="19">
        <f t="shared" si="25"/>
        <v>0</v>
      </c>
    </row>
    <row r="484" ht="15.75" customHeight="1">
      <c r="Q484" s="15">
        <f t="shared" si="18"/>
        <v>0</v>
      </c>
      <c r="W484" s="22">
        <f t="shared" si="24"/>
        <v>0</v>
      </c>
      <c r="X484" s="19">
        <f t="shared" si="25"/>
        <v>0</v>
      </c>
    </row>
    <row r="485" ht="15.75" customHeight="1">
      <c r="Q485" s="15">
        <f t="shared" si="18"/>
        <v>0</v>
      </c>
      <c r="W485" s="22">
        <f t="shared" si="24"/>
        <v>0</v>
      </c>
      <c r="X485" s="19">
        <f t="shared" si="25"/>
        <v>0</v>
      </c>
    </row>
    <row r="486" ht="15.75" customHeight="1">
      <c r="Q486" s="15">
        <f t="shared" si="18"/>
        <v>0</v>
      </c>
      <c r="W486" s="22">
        <f t="shared" si="24"/>
        <v>0</v>
      </c>
      <c r="X486" s="19">
        <f t="shared" si="25"/>
        <v>0</v>
      </c>
    </row>
    <row r="487" ht="15.75" customHeight="1">
      <c r="Q487" s="15">
        <f t="shared" si="18"/>
        <v>0</v>
      </c>
      <c r="W487" s="22">
        <f t="shared" si="24"/>
        <v>0</v>
      </c>
      <c r="X487" s="19">
        <f t="shared" si="25"/>
        <v>0</v>
      </c>
    </row>
    <row r="488" ht="15.75" customHeight="1">
      <c r="Q488" s="15">
        <f t="shared" si="18"/>
        <v>0</v>
      </c>
      <c r="W488" s="22">
        <f t="shared" si="24"/>
        <v>0</v>
      </c>
      <c r="X488" s="19">
        <f t="shared" si="25"/>
        <v>0</v>
      </c>
    </row>
    <row r="489" ht="15.75" customHeight="1">
      <c r="Q489" s="15">
        <f t="shared" si="18"/>
        <v>0</v>
      </c>
      <c r="W489" s="22">
        <f t="shared" si="24"/>
        <v>0</v>
      </c>
      <c r="X489" s="19">
        <f t="shared" si="25"/>
        <v>0</v>
      </c>
    </row>
    <row r="490" ht="15.75" customHeight="1">
      <c r="Q490" s="15">
        <f t="shared" si="18"/>
        <v>0</v>
      </c>
      <c r="W490" s="22">
        <f t="shared" si="24"/>
        <v>0</v>
      </c>
      <c r="X490" s="19">
        <f t="shared" si="25"/>
        <v>0</v>
      </c>
    </row>
    <row r="491" ht="15.75" customHeight="1">
      <c r="Q491" s="15">
        <f t="shared" si="18"/>
        <v>0</v>
      </c>
      <c r="W491" s="22">
        <f t="shared" si="24"/>
        <v>0</v>
      </c>
      <c r="X491" s="19">
        <f t="shared" si="25"/>
        <v>0</v>
      </c>
    </row>
    <row r="492" ht="15.75" customHeight="1">
      <c r="Q492" s="15">
        <f t="shared" si="18"/>
        <v>0</v>
      </c>
      <c r="W492" s="22">
        <f t="shared" si="24"/>
        <v>0</v>
      </c>
      <c r="X492" s="19">
        <f t="shared" si="25"/>
        <v>0</v>
      </c>
    </row>
    <row r="493" ht="15.75" customHeight="1">
      <c r="Q493" s="15">
        <f t="shared" si="18"/>
        <v>0</v>
      </c>
      <c r="W493" s="22">
        <f t="shared" si="24"/>
        <v>0</v>
      </c>
      <c r="X493" s="19">
        <f t="shared" si="25"/>
        <v>0</v>
      </c>
    </row>
    <row r="494" ht="15.75" customHeight="1">
      <c r="Q494" s="15">
        <f t="shared" si="18"/>
        <v>0</v>
      </c>
      <c r="W494" s="22">
        <f t="shared" si="24"/>
        <v>0</v>
      </c>
      <c r="X494" s="19">
        <f t="shared" si="25"/>
        <v>0</v>
      </c>
    </row>
    <row r="495" ht="15.75" customHeight="1">
      <c r="Q495" s="15">
        <f t="shared" si="18"/>
        <v>0</v>
      </c>
      <c r="W495" s="22">
        <f t="shared" si="24"/>
        <v>0</v>
      </c>
      <c r="X495" s="19">
        <f t="shared" si="25"/>
        <v>0</v>
      </c>
    </row>
    <row r="496" ht="15.75" customHeight="1">
      <c r="Q496" s="15">
        <f t="shared" si="18"/>
        <v>0</v>
      </c>
      <c r="W496" s="22">
        <f t="shared" si="24"/>
        <v>0</v>
      </c>
      <c r="X496" s="19">
        <f t="shared" si="25"/>
        <v>0</v>
      </c>
    </row>
    <row r="497" ht="15.75" customHeight="1">
      <c r="Q497" s="15">
        <f t="shared" si="18"/>
        <v>0</v>
      </c>
      <c r="W497" s="22">
        <f t="shared" si="24"/>
        <v>0</v>
      </c>
      <c r="X497" s="19">
        <f t="shared" si="25"/>
        <v>0</v>
      </c>
    </row>
    <row r="498" ht="15.75" customHeight="1">
      <c r="Q498" s="15">
        <f t="shared" si="18"/>
        <v>0</v>
      </c>
      <c r="W498" s="22">
        <f t="shared" si="24"/>
        <v>0</v>
      </c>
      <c r="X498" s="19">
        <f t="shared" si="25"/>
        <v>0</v>
      </c>
    </row>
    <row r="499" ht="15.75" customHeight="1">
      <c r="Q499" s="15">
        <f t="shared" si="18"/>
        <v>0</v>
      </c>
      <c r="W499" s="22">
        <f t="shared" si="24"/>
        <v>0</v>
      </c>
      <c r="X499" s="19">
        <f t="shared" si="25"/>
        <v>0</v>
      </c>
    </row>
    <row r="500" ht="15.75" customHeight="1">
      <c r="Q500" s="15">
        <f t="shared" si="18"/>
        <v>0</v>
      </c>
      <c r="W500" s="22">
        <f t="shared" si="24"/>
        <v>0</v>
      </c>
      <c r="X500" s="19">
        <f t="shared" si="25"/>
        <v>0</v>
      </c>
    </row>
    <row r="501" ht="15.75" customHeight="1">
      <c r="Q501" s="15">
        <f t="shared" si="18"/>
        <v>0</v>
      </c>
      <c r="W501" s="22">
        <f t="shared" si="24"/>
        <v>0</v>
      </c>
      <c r="X501" s="19">
        <f t="shared" si="25"/>
        <v>0</v>
      </c>
    </row>
    <row r="502" ht="15.75" customHeight="1">
      <c r="Q502" s="15">
        <f t="shared" si="18"/>
        <v>0</v>
      </c>
      <c r="W502" s="22">
        <f t="shared" si="24"/>
        <v>0</v>
      </c>
      <c r="X502" s="19">
        <f t="shared" si="25"/>
        <v>0</v>
      </c>
    </row>
    <row r="503" ht="15.75" customHeight="1">
      <c r="Q503" s="15">
        <f t="shared" si="18"/>
        <v>0</v>
      </c>
      <c r="W503" s="22">
        <f t="shared" si="24"/>
        <v>0</v>
      </c>
      <c r="X503" s="19">
        <f t="shared" si="25"/>
        <v>0</v>
      </c>
    </row>
    <row r="504" ht="15.75" customHeight="1">
      <c r="Q504" s="15">
        <f t="shared" si="18"/>
        <v>0</v>
      </c>
      <c r="W504" s="22">
        <f t="shared" si="24"/>
        <v>0</v>
      </c>
      <c r="X504" s="19">
        <f t="shared" si="25"/>
        <v>0</v>
      </c>
    </row>
    <row r="505" ht="15.75" customHeight="1">
      <c r="Q505" s="15">
        <f t="shared" si="18"/>
        <v>0</v>
      </c>
      <c r="W505" s="22">
        <f t="shared" si="24"/>
        <v>0</v>
      </c>
      <c r="X505" s="19">
        <f t="shared" si="25"/>
        <v>0</v>
      </c>
    </row>
    <row r="506" ht="15.75" customHeight="1">
      <c r="Q506" s="15">
        <f t="shared" si="18"/>
        <v>0</v>
      </c>
      <c r="W506" s="22">
        <f t="shared" si="24"/>
        <v>0</v>
      </c>
      <c r="X506" s="19">
        <f t="shared" si="25"/>
        <v>0</v>
      </c>
    </row>
    <row r="507" ht="15.75" customHeight="1">
      <c r="Q507" s="15">
        <f t="shared" si="18"/>
        <v>0</v>
      </c>
      <c r="W507" s="22">
        <f t="shared" si="24"/>
        <v>0</v>
      </c>
      <c r="X507" s="19">
        <f t="shared" si="25"/>
        <v>0</v>
      </c>
    </row>
    <row r="508" ht="15.75" customHeight="1">
      <c r="Q508" s="15">
        <f t="shared" si="18"/>
        <v>0</v>
      </c>
      <c r="W508" s="22">
        <f t="shared" si="24"/>
        <v>0</v>
      </c>
      <c r="X508" s="19">
        <f t="shared" si="25"/>
        <v>0</v>
      </c>
    </row>
    <row r="509" ht="15.75" customHeight="1">
      <c r="Q509" s="15">
        <f t="shared" si="18"/>
        <v>0</v>
      </c>
      <c r="W509" s="22">
        <f t="shared" si="24"/>
        <v>0</v>
      </c>
      <c r="X509" s="19">
        <f t="shared" si="25"/>
        <v>0</v>
      </c>
    </row>
    <row r="510" ht="15.75" customHeight="1">
      <c r="Q510" s="15">
        <f t="shared" si="18"/>
        <v>0</v>
      </c>
      <c r="W510" s="22">
        <f t="shared" si="24"/>
        <v>0</v>
      </c>
      <c r="X510" s="19">
        <f t="shared" si="25"/>
        <v>0</v>
      </c>
    </row>
    <row r="511" ht="15.75" customHeight="1">
      <c r="Q511" s="15">
        <f t="shared" si="18"/>
        <v>0</v>
      </c>
      <c r="W511" s="22">
        <f t="shared" si="24"/>
        <v>0</v>
      </c>
      <c r="X511" s="19">
        <f t="shared" si="25"/>
        <v>0</v>
      </c>
    </row>
    <row r="512" ht="15.75" customHeight="1">
      <c r="Q512" s="15">
        <f t="shared" si="18"/>
        <v>0</v>
      </c>
      <c r="W512" s="22">
        <f t="shared" si="24"/>
        <v>0</v>
      </c>
      <c r="X512" s="19">
        <f t="shared" si="25"/>
        <v>0</v>
      </c>
    </row>
    <row r="513" ht="15.75" customHeight="1">
      <c r="Q513" s="15">
        <f t="shared" si="18"/>
        <v>0</v>
      </c>
      <c r="W513" s="22">
        <f t="shared" si="24"/>
        <v>0</v>
      </c>
      <c r="X513" s="19">
        <f t="shared" si="25"/>
        <v>0</v>
      </c>
    </row>
    <row r="514" ht="15.75" customHeight="1">
      <c r="Q514" s="15">
        <f t="shared" si="18"/>
        <v>0</v>
      </c>
      <c r="W514" s="22">
        <f t="shared" si="24"/>
        <v>0</v>
      </c>
      <c r="X514" s="19">
        <f t="shared" si="25"/>
        <v>0</v>
      </c>
    </row>
    <row r="515" ht="15.75" customHeight="1">
      <c r="Q515" s="15">
        <f t="shared" si="18"/>
        <v>0</v>
      </c>
      <c r="W515" s="22">
        <f t="shared" si="24"/>
        <v>0</v>
      </c>
      <c r="X515" s="19">
        <f t="shared" si="25"/>
        <v>0</v>
      </c>
    </row>
    <row r="516" ht="15.75" customHeight="1">
      <c r="Q516" s="15">
        <f t="shared" si="18"/>
        <v>0</v>
      </c>
      <c r="W516" s="22">
        <f t="shared" si="24"/>
        <v>0</v>
      </c>
      <c r="X516" s="19">
        <f t="shared" si="25"/>
        <v>0</v>
      </c>
    </row>
    <row r="517" ht="15.75" customHeight="1">
      <c r="Q517" s="15">
        <f t="shared" si="18"/>
        <v>0</v>
      </c>
      <c r="W517" s="22">
        <f t="shared" si="24"/>
        <v>0</v>
      </c>
      <c r="X517" s="19">
        <f t="shared" si="25"/>
        <v>0</v>
      </c>
    </row>
    <row r="518" ht="15.75" customHeight="1">
      <c r="Q518" s="15">
        <f t="shared" si="18"/>
        <v>0</v>
      </c>
      <c r="W518" s="22">
        <f t="shared" si="24"/>
        <v>0</v>
      </c>
      <c r="X518" s="19">
        <f t="shared" si="25"/>
        <v>0</v>
      </c>
    </row>
    <row r="519" ht="15.75" customHeight="1">
      <c r="Q519" s="15">
        <f t="shared" si="18"/>
        <v>0</v>
      </c>
      <c r="W519" s="22">
        <f t="shared" si="24"/>
        <v>0</v>
      </c>
      <c r="X519" s="19">
        <f t="shared" si="25"/>
        <v>0</v>
      </c>
    </row>
    <row r="520" ht="15.75" customHeight="1">
      <c r="Q520" s="15">
        <f t="shared" si="18"/>
        <v>0</v>
      </c>
      <c r="W520" s="22">
        <f t="shared" si="24"/>
        <v>0</v>
      </c>
      <c r="X520" s="19">
        <f t="shared" si="25"/>
        <v>0</v>
      </c>
    </row>
    <row r="521" ht="15.75" customHeight="1">
      <c r="Q521" s="15">
        <f t="shared" si="18"/>
        <v>0</v>
      </c>
      <c r="W521" s="22">
        <f t="shared" si="24"/>
        <v>0</v>
      </c>
      <c r="X521" s="19">
        <f t="shared" si="25"/>
        <v>0</v>
      </c>
    </row>
    <row r="522" ht="15.75" customHeight="1">
      <c r="Q522" s="15">
        <f t="shared" si="18"/>
        <v>0</v>
      </c>
      <c r="W522" s="22">
        <f t="shared" si="24"/>
        <v>0</v>
      </c>
      <c r="X522" s="19">
        <f t="shared" si="25"/>
        <v>0</v>
      </c>
    </row>
    <row r="523" ht="15.75" customHeight="1">
      <c r="Q523" s="15">
        <f t="shared" si="18"/>
        <v>0</v>
      </c>
      <c r="W523" s="22">
        <f t="shared" si="24"/>
        <v>0</v>
      </c>
      <c r="X523" s="19">
        <f t="shared" si="25"/>
        <v>0</v>
      </c>
    </row>
    <row r="524" ht="15.75" customHeight="1">
      <c r="Q524" s="15">
        <f t="shared" si="18"/>
        <v>0</v>
      </c>
      <c r="W524" s="22">
        <f t="shared" si="24"/>
        <v>0</v>
      </c>
      <c r="X524" s="19">
        <f t="shared" si="25"/>
        <v>0</v>
      </c>
    </row>
    <row r="525" ht="15.75" customHeight="1">
      <c r="Q525" s="15">
        <f t="shared" si="18"/>
        <v>0</v>
      </c>
      <c r="W525" s="22">
        <f t="shared" si="24"/>
        <v>0</v>
      </c>
      <c r="X525" s="19">
        <f t="shared" si="25"/>
        <v>0</v>
      </c>
    </row>
    <row r="526" ht="15.75" customHeight="1">
      <c r="Q526" s="15">
        <f t="shared" si="18"/>
        <v>0</v>
      </c>
      <c r="W526" s="22">
        <f t="shared" si="24"/>
        <v>0</v>
      </c>
      <c r="X526" s="19">
        <f t="shared" si="25"/>
        <v>0</v>
      </c>
    </row>
    <row r="527" ht="15.75" customHeight="1">
      <c r="Q527" s="15">
        <f t="shared" si="18"/>
        <v>0</v>
      </c>
      <c r="W527" s="22">
        <f t="shared" si="24"/>
        <v>0</v>
      </c>
      <c r="X527" s="19">
        <f t="shared" si="25"/>
        <v>0</v>
      </c>
    </row>
    <row r="528" ht="15.75" customHeight="1">
      <c r="Q528" s="15">
        <f t="shared" si="18"/>
        <v>0</v>
      </c>
      <c r="W528" s="22">
        <f t="shared" si="24"/>
        <v>0</v>
      </c>
      <c r="X528" s="19">
        <f t="shared" si="25"/>
        <v>0</v>
      </c>
    </row>
    <row r="529" ht="15.75" customHeight="1">
      <c r="Q529" s="15">
        <f t="shared" si="18"/>
        <v>0</v>
      </c>
      <c r="W529" s="22">
        <f t="shared" si="24"/>
        <v>0</v>
      </c>
      <c r="X529" s="19">
        <f t="shared" si="25"/>
        <v>0</v>
      </c>
    </row>
    <row r="530" ht="15.75" customHeight="1">
      <c r="Q530" s="15">
        <f t="shared" si="18"/>
        <v>0</v>
      </c>
      <c r="W530" s="22">
        <f t="shared" si="24"/>
        <v>0</v>
      </c>
      <c r="X530" s="19">
        <f t="shared" si="25"/>
        <v>0</v>
      </c>
    </row>
    <row r="531" ht="15.75" customHeight="1">
      <c r="Q531" s="15">
        <f t="shared" si="18"/>
        <v>0</v>
      </c>
      <c r="W531" s="22">
        <f t="shared" si="24"/>
        <v>0</v>
      </c>
      <c r="X531" s="19">
        <f t="shared" si="25"/>
        <v>0</v>
      </c>
    </row>
    <row r="532" ht="15.75" customHeight="1">
      <c r="Q532" s="15">
        <f t="shared" si="18"/>
        <v>0</v>
      </c>
      <c r="W532" s="22">
        <f t="shared" si="24"/>
        <v>0</v>
      </c>
      <c r="X532" s="19">
        <f t="shared" si="25"/>
        <v>0</v>
      </c>
    </row>
    <row r="533" ht="15.75" customHeight="1">
      <c r="Q533" s="15">
        <f t="shared" si="18"/>
        <v>0</v>
      </c>
      <c r="W533" s="22">
        <f t="shared" si="24"/>
        <v>0</v>
      </c>
      <c r="X533" s="19">
        <f t="shared" si="25"/>
        <v>0</v>
      </c>
    </row>
    <row r="534" ht="15.75" customHeight="1">
      <c r="Q534" s="15">
        <f t="shared" si="18"/>
        <v>0</v>
      </c>
      <c r="W534" s="22">
        <f t="shared" si="24"/>
        <v>0</v>
      </c>
      <c r="X534" s="19">
        <f t="shared" si="25"/>
        <v>0</v>
      </c>
    </row>
    <row r="535" ht="15.75" customHeight="1">
      <c r="Q535" s="15">
        <f t="shared" si="18"/>
        <v>0</v>
      </c>
      <c r="W535" s="22">
        <f t="shared" si="24"/>
        <v>0</v>
      </c>
      <c r="X535" s="19">
        <f t="shared" si="25"/>
        <v>0</v>
      </c>
    </row>
    <row r="536" ht="15.75" customHeight="1">
      <c r="Q536" s="15">
        <f t="shared" si="18"/>
        <v>0</v>
      </c>
      <c r="W536" s="22">
        <f t="shared" si="24"/>
        <v>0</v>
      </c>
      <c r="X536" s="19">
        <f t="shared" si="25"/>
        <v>0</v>
      </c>
    </row>
    <row r="537" ht="15.75" customHeight="1">
      <c r="Q537" s="15">
        <f t="shared" si="18"/>
        <v>0</v>
      </c>
      <c r="W537" s="22">
        <f t="shared" si="24"/>
        <v>0</v>
      </c>
      <c r="X537" s="19">
        <f t="shared" si="25"/>
        <v>0</v>
      </c>
    </row>
    <row r="538" ht="15.75" customHeight="1">
      <c r="Q538" s="15">
        <f t="shared" si="18"/>
        <v>0</v>
      </c>
      <c r="W538" s="22">
        <f t="shared" si="24"/>
        <v>0</v>
      </c>
      <c r="X538" s="19">
        <f t="shared" si="25"/>
        <v>0</v>
      </c>
    </row>
    <row r="539" ht="15.75" customHeight="1">
      <c r="Q539" s="15">
        <f t="shared" si="18"/>
        <v>0</v>
      </c>
      <c r="W539" s="22">
        <f t="shared" si="24"/>
        <v>0</v>
      </c>
      <c r="X539" s="19">
        <f t="shared" si="25"/>
        <v>0</v>
      </c>
    </row>
    <row r="540" ht="15.75" customHeight="1">
      <c r="Q540" s="15">
        <f t="shared" si="18"/>
        <v>0</v>
      </c>
      <c r="W540" s="22">
        <f t="shared" si="24"/>
        <v>0</v>
      </c>
      <c r="X540" s="19">
        <f t="shared" si="25"/>
        <v>0</v>
      </c>
    </row>
    <row r="541" ht="15.75" customHeight="1">
      <c r="Q541" s="15">
        <f t="shared" si="18"/>
        <v>0</v>
      </c>
      <c r="W541" s="22">
        <f t="shared" si="24"/>
        <v>0</v>
      </c>
      <c r="X541" s="19">
        <f t="shared" si="25"/>
        <v>0</v>
      </c>
    </row>
    <row r="542" ht="15.75" customHeight="1">
      <c r="Q542" s="15">
        <f t="shared" si="18"/>
        <v>0</v>
      </c>
      <c r="W542" s="22">
        <f t="shared" si="24"/>
        <v>0</v>
      </c>
      <c r="X542" s="19">
        <f t="shared" si="25"/>
        <v>0</v>
      </c>
    </row>
    <row r="543" ht="15.75" customHeight="1">
      <c r="Q543" s="15">
        <f t="shared" si="18"/>
        <v>0</v>
      </c>
      <c r="W543" s="22">
        <f t="shared" si="24"/>
        <v>0</v>
      </c>
      <c r="X543" s="19">
        <f t="shared" si="25"/>
        <v>0</v>
      </c>
    </row>
    <row r="544" ht="15.75" customHeight="1">
      <c r="Q544" s="15">
        <f t="shared" si="18"/>
        <v>0</v>
      </c>
      <c r="W544" s="22">
        <f t="shared" si="24"/>
        <v>0</v>
      </c>
      <c r="X544" s="19">
        <f t="shared" si="25"/>
        <v>0</v>
      </c>
    </row>
    <row r="545" ht="15.75" customHeight="1">
      <c r="Q545" s="15">
        <f t="shared" si="18"/>
        <v>0</v>
      </c>
      <c r="W545" s="22">
        <f t="shared" si="24"/>
        <v>0</v>
      </c>
      <c r="X545" s="19">
        <f t="shared" si="25"/>
        <v>0</v>
      </c>
    </row>
    <row r="546" ht="15.75" customHeight="1">
      <c r="Q546" s="15">
        <f t="shared" si="18"/>
        <v>0</v>
      </c>
      <c r="W546" s="22">
        <f t="shared" si="24"/>
        <v>0</v>
      </c>
      <c r="X546" s="19">
        <f t="shared" si="25"/>
        <v>0</v>
      </c>
    </row>
    <row r="547" ht="15.75" customHeight="1">
      <c r="Q547" s="15">
        <f t="shared" si="18"/>
        <v>0</v>
      </c>
      <c r="W547" s="22">
        <f t="shared" si="24"/>
        <v>0</v>
      </c>
      <c r="X547" s="19">
        <f t="shared" si="25"/>
        <v>0</v>
      </c>
    </row>
    <row r="548" ht="15.75" customHeight="1">
      <c r="Q548" s="15">
        <f t="shared" si="18"/>
        <v>0</v>
      </c>
      <c r="W548" s="22">
        <f t="shared" si="24"/>
        <v>0</v>
      </c>
      <c r="X548" s="19">
        <f t="shared" si="25"/>
        <v>0</v>
      </c>
    </row>
    <row r="549" ht="15.75" customHeight="1">
      <c r="Q549" s="15">
        <f t="shared" si="18"/>
        <v>0</v>
      </c>
      <c r="W549" s="22">
        <f t="shared" si="24"/>
        <v>0</v>
      </c>
      <c r="X549" s="19">
        <f t="shared" si="25"/>
        <v>0</v>
      </c>
    </row>
    <row r="550" ht="15.75" customHeight="1">
      <c r="Q550" s="15">
        <f t="shared" si="18"/>
        <v>0</v>
      </c>
      <c r="W550" s="22">
        <f t="shared" si="24"/>
        <v>0</v>
      </c>
      <c r="X550" s="19">
        <f t="shared" si="25"/>
        <v>0</v>
      </c>
    </row>
    <row r="551" ht="15.75" customHeight="1">
      <c r="Q551" s="15">
        <f t="shared" si="18"/>
        <v>0</v>
      </c>
      <c r="W551" s="22">
        <f t="shared" si="24"/>
        <v>0</v>
      </c>
      <c r="X551" s="19">
        <f t="shared" si="25"/>
        <v>0</v>
      </c>
    </row>
    <row r="552" ht="15.75" customHeight="1">
      <c r="Q552" s="15">
        <f t="shared" si="18"/>
        <v>0</v>
      </c>
      <c r="W552" s="22">
        <f t="shared" si="24"/>
        <v>0</v>
      </c>
      <c r="X552" s="19">
        <f t="shared" si="25"/>
        <v>0</v>
      </c>
    </row>
    <row r="553" ht="15.75" customHeight="1">
      <c r="Q553" s="15">
        <f t="shared" si="18"/>
        <v>0</v>
      </c>
      <c r="W553" s="22">
        <f t="shared" si="24"/>
        <v>0</v>
      </c>
      <c r="X553" s="19">
        <f t="shared" si="25"/>
        <v>0</v>
      </c>
    </row>
    <row r="554" ht="15.75" customHeight="1">
      <c r="Q554" s="15">
        <f t="shared" si="18"/>
        <v>0</v>
      </c>
      <c r="W554" s="22">
        <f t="shared" si="24"/>
        <v>0</v>
      </c>
      <c r="X554" s="19">
        <f t="shared" si="25"/>
        <v>0</v>
      </c>
    </row>
    <row r="555" ht="15.75" customHeight="1">
      <c r="Q555" s="15">
        <f t="shared" si="18"/>
        <v>0</v>
      </c>
      <c r="W555" s="22">
        <f t="shared" si="24"/>
        <v>0</v>
      </c>
      <c r="X555" s="19">
        <f t="shared" si="25"/>
        <v>0</v>
      </c>
    </row>
    <row r="556" ht="15.75" customHeight="1">
      <c r="Q556" s="15">
        <f t="shared" si="18"/>
        <v>0</v>
      </c>
      <c r="W556" s="22">
        <f t="shared" si="24"/>
        <v>0</v>
      </c>
      <c r="X556" s="19">
        <f t="shared" si="25"/>
        <v>0</v>
      </c>
    </row>
    <row r="557" ht="15.75" customHeight="1">
      <c r="Q557" s="15">
        <f t="shared" si="18"/>
        <v>0</v>
      </c>
      <c r="W557" s="22">
        <f t="shared" si="24"/>
        <v>0</v>
      </c>
      <c r="X557" s="19">
        <f t="shared" si="25"/>
        <v>0</v>
      </c>
    </row>
    <row r="558" ht="15.75" customHeight="1">
      <c r="Q558" s="15">
        <f t="shared" si="18"/>
        <v>0</v>
      </c>
      <c r="W558" s="22">
        <f t="shared" si="24"/>
        <v>0</v>
      </c>
      <c r="X558" s="19">
        <f t="shared" si="25"/>
        <v>0</v>
      </c>
    </row>
    <row r="559" ht="15.75" customHeight="1">
      <c r="Q559" s="15">
        <f t="shared" si="18"/>
        <v>0</v>
      </c>
      <c r="W559" s="22">
        <f t="shared" si="24"/>
        <v>0</v>
      </c>
      <c r="X559" s="19">
        <f t="shared" si="25"/>
        <v>0</v>
      </c>
    </row>
    <row r="560" ht="15.75" customHeight="1">
      <c r="Q560" s="15">
        <f t="shared" si="18"/>
        <v>0</v>
      </c>
      <c r="W560" s="22">
        <f t="shared" si="24"/>
        <v>0</v>
      </c>
      <c r="X560" s="19">
        <f t="shared" si="25"/>
        <v>0</v>
      </c>
    </row>
    <row r="561" ht="15.75" customHeight="1">
      <c r="Q561" s="15">
        <f t="shared" si="18"/>
        <v>0</v>
      </c>
      <c r="W561" s="22">
        <f t="shared" si="24"/>
        <v>0</v>
      </c>
      <c r="X561" s="19">
        <f t="shared" si="25"/>
        <v>0</v>
      </c>
    </row>
    <row r="562" ht="15.75" customHeight="1">
      <c r="Q562" s="15">
        <f t="shared" si="18"/>
        <v>0</v>
      </c>
      <c r="W562" s="22">
        <f t="shared" si="24"/>
        <v>0</v>
      </c>
      <c r="X562" s="19">
        <f t="shared" si="25"/>
        <v>0</v>
      </c>
    </row>
    <row r="563" ht="15.75" customHeight="1">
      <c r="Q563" s="15">
        <f t="shared" si="18"/>
        <v>0</v>
      </c>
      <c r="W563" s="22">
        <f t="shared" si="24"/>
        <v>0</v>
      </c>
      <c r="X563" s="19">
        <f t="shared" si="25"/>
        <v>0</v>
      </c>
    </row>
    <row r="564" ht="15.75" customHeight="1">
      <c r="Q564" s="15">
        <f t="shared" si="18"/>
        <v>0</v>
      </c>
      <c r="W564" s="22">
        <f t="shared" si="24"/>
        <v>0</v>
      </c>
      <c r="X564" s="19">
        <f t="shared" si="25"/>
        <v>0</v>
      </c>
    </row>
    <row r="565" ht="15.75" customHeight="1">
      <c r="Q565" s="15">
        <f t="shared" si="18"/>
        <v>0</v>
      </c>
      <c r="W565" s="22">
        <f t="shared" si="24"/>
        <v>0</v>
      </c>
      <c r="X565" s="19">
        <f t="shared" si="25"/>
        <v>0</v>
      </c>
    </row>
    <row r="566" ht="15.75" customHeight="1">
      <c r="Q566" s="15">
        <f t="shared" si="18"/>
        <v>0</v>
      </c>
      <c r="W566" s="22">
        <f t="shared" si="24"/>
        <v>0</v>
      </c>
      <c r="X566" s="19">
        <f t="shared" si="25"/>
        <v>0</v>
      </c>
    </row>
    <row r="567" ht="15.75" customHeight="1">
      <c r="Q567" s="15">
        <f t="shared" si="18"/>
        <v>0</v>
      </c>
      <c r="W567" s="22">
        <f t="shared" si="24"/>
        <v>0</v>
      </c>
      <c r="X567" s="19">
        <f t="shared" si="25"/>
        <v>0</v>
      </c>
    </row>
    <row r="568" ht="15.75" customHeight="1">
      <c r="Q568" s="15">
        <f t="shared" si="18"/>
        <v>0</v>
      </c>
      <c r="W568" s="22">
        <f t="shared" si="24"/>
        <v>0</v>
      </c>
      <c r="X568" s="19">
        <f t="shared" si="25"/>
        <v>0</v>
      </c>
    </row>
    <row r="569" ht="15.75" customHeight="1">
      <c r="Q569" s="15">
        <f t="shared" si="18"/>
        <v>0</v>
      </c>
      <c r="W569" s="22">
        <f t="shared" si="24"/>
        <v>0</v>
      </c>
      <c r="X569" s="19">
        <f t="shared" si="25"/>
        <v>0</v>
      </c>
    </row>
    <row r="570" ht="15.75" customHeight="1">
      <c r="Q570" s="15">
        <f t="shared" si="18"/>
        <v>0</v>
      </c>
      <c r="W570" s="22">
        <f t="shared" si="24"/>
        <v>0</v>
      </c>
      <c r="X570" s="19">
        <f t="shared" si="25"/>
        <v>0</v>
      </c>
    </row>
    <row r="571" ht="15.75" customHeight="1">
      <c r="Q571" s="15">
        <f t="shared" si="18"/>
        <v>0</v>
      </c>
      <c r="W571" s="22">
        <f t="shared" si="24"/>
        <v>0</v>
      </c>
      <c r="X571" s="19">
        <f t="shared" si="25"/>
        <v>0</v>
      </c>
    </row>
    <row r="572" ht="15.75" customHeight="1">
      <c r="Q572" s="15">
        <f t="shared" si="18"/>
        <v>0</v>
      </c>
      <c r="W572" s="22">
        <f t="shared" si="24"/>
        <v>0</v>
      </c>
      <c r="X572" s="19">
        <f t="shared" si="25"/>
        <v>0</v>
      </c>
    </row>
    <row r="573" ht="15.75" customHeight="1">
      <c r="Q573" s="15">
        <f t="shared" si="18"/>
        <v>0</v>
      </c>
      <c r="W573" s="22">
        <f t="shared" si="24"/>
        <v>0</v>
      </c>
      <c r="X573" s="19">
        <f t="shared" si="25"/>
        <v>0</v>
      </c>
    </row>
    <row r="574" ht="15.75" customHeight="1">
      <c r="Q574" s="15">
        <f t="shared" si="18"/>
        <v>0</v>
      </c>
      <c r="W574" s="22">
        <f t="shared" si="24"/>
        <v>0</v>
      </c>
      <c r="X574" s="19">
        <f t="shared" si="25"/>
        <v>0</v>
      </c>
    </row>
    <row r="575" ht="15.75" customHeight="1">
      <c r="Q575" s="15">
        <f t="shared" si="18"/>
        <v>0</v>
      </c>
      <c r="W575" s="22">
        <f t="shared" si="24"/>
        <v>0</v>
      </c>
      <c r="X575" s="19">
        <f t="shared" si="25"/>
        <v>0</v>
      </c>
    </row>
    <row r="576" ht="15.75" customHeight="1">
      <c r="Q576" s="15">
        <f t="shared" si="18"/>
        <v>0</v>
      </c>
      <c r="W576" s="22">
        <f t="shared" si="24"/>
        <v>0</v>
      </c>
      <c r="X576" s="19">
        <f t="shared" si="25"/>
        <v>0</v>
      </c>
    </row>
    <row r="577" ht="15.75" customHeight="1">
      <c r="Q577" s="15">
        <f t="shared" si="18"/>
        <v>0</v>
      </c>
      <c r="W577" s="22">
        <f t="shared" si="24"/>
        <v>0</v>
      </c>
      <c r="X577" s="19">
        <f t="shared" si="25"/>
        <v>0</v>
      </c>
    </row>
    <row r="578" ht="15.75" customHeight="1">
      <c r="Q578" s="15">
        <f t="shared" si="18"/>
        <v>0</v>
      </c>
      <c r="W578" s="22">
        <f t="shared" si="24"/>
        <v>0</v>
      </c>
      <c r="X578" s="19">
        <f t="shared" si="25"/>
        <v>0</v>
      </c>
    </row>
    <row r="579" ht="15.75" customHeight="1">
      <c r="Q579" s="15">
        <f t="shared" si="18"/>
        <v>0</v>
      </c>
      <c r="W579" s="22">
        <f t="shared" si="24"/>
        <v>0</v>
      </c>
      <c r="X579" s="19">
        <f t="shared" si="25"/>
        <v>0</v>
      </c>
    </row>
    <row r="580" ht="15.75" customHeight="1">
      <c r="Q580" s="15">
        <f t="shared" si="18"/>
        <v>0</v>
      </c>
      <c r="W580" s="22">
        <f t="shared" si="24"/>
        <v>0</v>
      </c>
      <c r="X580" s="19">
        <f t="shared" si="25"/>
        <v>0</v>
      </c>
    </row>
    <row r="581" ht="15.75" customHeight="1">
      <c r="Q581" s="15">
        <f t="shared" si="18"/>
        <v>0</v>
      </c>
      <c r="W581" s="22">
        <f t="shared" si="24"/>
        <v>0</v>
      </c>
      <c r="X581" s="19">
        <f t="shared" si="25"/>
        <v>0</v>
      </c>
    </row>
    <row r="582" ht="15.75" customHeight="1">
      <c r="Q582" s="15">
        <f t="shared" si="18"/>
        <v>0</v>
      </c>
      <c r="W582" s="22">
        <f t="shared" si="24"/>
        <v>0</v>
      </c>
      <c r="X582" s="19">
        <f t="shared" si="25"/>
        <v>0</v>
      </c>
    </row>
    <row r="583" ht="15.75" customHeight="1">
      <c r="Q583" s="15">
        <f t="shared" si="18"/>
        <v>0</v>
      </c>
      <c r="W583" s="22">
        <f t="shared" si="24"/>
        <v>0</v>
      </c>
      <c r="X583" s="19">
        <f t="shared" si="25"/>
        <v>0</v>
      </c>
    </row>
    <row r="584" ht="15.75" customHeight="1">
      <c r="Q584" s="15">
        <f t="shared" si="18"/>
        <v>0</v>
      </c>
      <c r="W584" s="22">
        <f t="shared" si="24"/>
        <v>0</v>
      </c>
      <c r="X584" s="19">
        <f t="shared" si="25"/>
        <v>0</v>
      </c>
    </row>
    <row r="585" ht="15.75" customHeight="1">
      <c r="Q585" s="15">
        <f t="shared" si="18"/>
        <v>0</v>
      </c>
      <c r="W585" s="22">
        <f t="shared" si="24"/>
        <v>0</v>
      </c>
      <c r="X585" s="19">
        <f t="shared" si="25"/>
        <v>0</v>
      </c>
    </row>
    <row r="586" ht="15.75" customHeight="1">
      <c r="Q586" s="15">
        <f t="shared" si="18"/>
        <v>0</v>
      </c>
      <c r="W586" s="22">
        <f t="shared" si="24"/>
        <v>0</v>
      </c>
      <c r="X586" s="19">
        <f t="shared" si="25"/>
        <v>0</v>
      </c>
    </row>
    <row r="587" ht="15.75" customHeight="1">
      <c r="Q587" s="15">
        <f t="shared" si="18"/>
        <v>0</v>
      </c>
      <c r="W587" s="22">
        <f t="shared" si="24"/>
        <v>0</v>
      </c>
      <c r="X587" s="19">
        <f t="shared" si="25"/>
        <v>0</v>
      </c>
    </row>
    <row r="588" ht="15.75" customHeight="1">
      <c r="Q588" s="15">
        <f t="shared" si="18"/>
        <v>0</v>
      </c>
      <c r="W588" s="22">
        <f t="shared" si="24"/>
        <v>0</v>
      </c>
      <c r="X588" s="19">
        <f t="shared" si="25"/>
        <v>0</v>
      </c>
    </row>
    <row r="589" ht="15.75" customHeight="1">
      <c r="Q589" s="15">
        <f t="shared" si="18"/>
        <v>0</v>
      </c>
      <c r="W589" s="22">
        <f t="shared" si="24"/>
        <v>0</v>
      </c>
      <c r="X589" s="19">
        <f t="shared" si="25"/>
        <v>0</v>
      </c>
    </row>
    <row r="590" ht="15.75" customHeight="1">
      <c r="Q590" s="15">
        <f t="shared" si="18"/>
        <v>0</v>
      </c>
      <c r="W590" s="22">
        <f t="shared" si="24"/>
        <v>0</v>
      </c>
      <c r="X590" s="19">
        <f t="shared" si="25"/>
        <v>0</v>
      </c>
    </row>
    <row r="591" ht="15.75" customHeight="1">
      <c r="Q591" s="15">
        <f t="shared" si="18"/>
        <v>0</v>
      </c>
      <c r="W591" s="22">
        <f t="shared" si="24"/>
        <v>0</v>
      </c>
      <c r="X591" s="19">
        <f t="shared" si="25"/>
        <v>0</v>
      </c>
    </row>
    <row r="592" ht="15.75" customHeight="1">
      <c r="Q592" s="15">
        <f t="shared" si="18"/>
        <v>0</v>
      </c>
      <c r="W592" s="22">
        <f t="shared" si="24"/>
        <v>0</v>
      </c>
      <c r="X592" s="19">
        <f t="shared" si="25"/>
        <v>0</v>
      </c>
    </row>
    <row r="593" ht="15.75" customHeight="1">
      <c r="Q593" s="15">
        <f t="shared" si="18"/>
        <v>0</v>
      </c>
      <c r="W593" s="22">
        <f t="shared" si="24"/>
        <v>0</v>
      </c>
      <c r="X593" s="19">
        <f t="shared" si="25"/>
        <v>0</v>
      </c>
    </row>
    <row r="594" ht="15.75" customHeight="1">
      <c r="Q594" s="15">
        <f t="shared" si="18"/>
        <v>0</v>
      </c>
      <c r="W594" s="22">
        <f t="shared" si="24"/>
        <v>0</v>
      </c>
      <c r="X594" s="19">
        <f t="shared" si="25"/>
        <v>0</v>
      </c>
    </row>
    <row r="595" ht="15.75" customHeight="1">
      <c r="Q595" s="15">
        <f t="shared" si="18"/>
        <v>0</v>
      </c>
      <c r="W595" s="22">
        <f t="shared" si="24"/>
        <v>0</v>
      </c>
      <c r="X595" s="19">
        <f t="shared" si="25"/>
        <v>0</v>
      </c>
    </row>
    <row r="596" ht="15.75" customHeight="1">
      <c r="Q596" s="15">
        <f t="shared" si="18"/>
        <v>0</v>
      </c>
      <c r="W596" s="22">
        <f t="shared" si="24"/>
        <v>0</v>
      </c>
      <c r="X596" s="19">
        <f t="shared" si="25"/>
        <v>0</v>
      </c>
    </row>
    <row r="597" ht="15.75" customHeight="1">
      <c r="Q597" s="15">
        <f t="shared" si="18"/>
        <v>0</v>
      </c>
      <c r="W597" s="22">
        <f t="shared" si="24"/>
        <v>0</v>
      </c>
      <c r="X597" s="19">
        <f t="shared" si="25"/>
        <v>0</v>
      </c>
    </row>
    <row r="598" ht="15.75" customHeight="1">
      <c r="Q598" s="15">
        <f t="shared" si="18"/>
        <v>0</v>
      </c>
      <c r="W598" s="22">
        <f t="shared" si="24"/>
        <v>0</v>
      </c>
      <c r="X598" s="19">
        <f t="shared" si="25"/>
        <v>0</v>
      </c>
    </row>
    <row r="599" ht="15.75" customHeight="1">
      <c r="Q599" s="15">
        <f t="shared" si="18"/>
        <v>0</v>
      </c>
      <c r="W599" s="22">
        <f t="shared" si="24"/>
        <v>0</v>
      </c>
      <c r="X599" s="19">
        <f t="shared" si="25"/>
        <v>0</v>
      </c>
    </row>
    <row r="600" ht="15.75" customHeight="1">
      <c r="Q600" s="15">
        <f t="shared" si="18"/>
        <v>0</v>
      </c>
      <c r="W600" s="22">
        <f t="shared" si="24"/>
        <v>0</v>
      </c>
      <c r="X600" s="19">
        <f t="shared" si="25"/>
        <v>0</v>
      </c>
    </row>
    <row r="601" ht="15.75" customHeight="1">
      <c r="Q601" s="15">
        <f t="shared" si="18"/>
        <v>0</v>
      </c>
      <c r="W601" s="22">
        <f t="shared" si="24"/>
        <v>0</v>
      </c>
      <c r="X601" s="19">
        <f t="shared" si="25"/>
        <v>0</v>
      </c>
    </row>
    <row r="602" ht="15.75" customHeight="1">
      <c r="Q602" s="15">
        <f t="shared" si="18"/>
        <v>0</v>
      </c>
      <c r="W602" s="22">
        <f t="shared" si="24"/>
        <v>0</v>
      </c>
      <c r="X602" s="19">
        <f t="shared" si="25"/>
        <v>0</v>
      </c>
    </row>
    <row r="603" ht="15.75" customHeight="1">
      <c r="Q603" s="15">
        <f t="shared" si="18"/>
        <v>0</v>
      </c>
      <c r="W603" s="22">
        <f t="shared" si="24"/>
        <v>0</v>
      </c>
      <c r="X603" s="19">
        <f t="shared" si="25"/>
        <v>0</v>
      </c>
    </row>
    <row r="604" ht="15.75" customHeight="1">
      <c r="Q604" s="15">
        <f t="shared" si="18"/>
        <v>0</v>
      </c>
      <c r="W604" s="22">
        <f t="shared" si="24"/>
        <v>0</v>
      </c>
      <c r="X604" s="19">
        <f t="shared" si="25"/>
        <v>0</v>
      </c>
    </row>
    <row r="605" ht="15.75" customHeight="1">
      <c r="Q605" s="15">
        <f t="shared" si="18"/>
        <v>0</v>
      </c>
      <c r="W605" s="22">
        <f t="shared" si="24"/>
        <v>0</v>
      </c>
      <c r="X605" s="19">
        <f t="shared" si="25"/>
        <v>0</v>
      </c>
    </row>
    <row r="606" ht="15.75" customHeight="1">
      <c r="Q606" s="15">
        <f t="shared" si="18"/>
        <v>0</v>
      </c>
      <c r="W606" s="22">
        <f t="shared" si="24"/>
        <v>0</v>
      </c>
      <c r="X606" s="19">
        <f t="shared" si="25"/>
        <v>0</v>
      </c>
    </row>
    <row r="607" ht="15.75" customHeight="1">
      <c r="Q607" s="15">
        <f t="shared" si="18"/>
        <v>0</v>
      </c>
      <c r="W607" s="22">
        <f t="shared" si="24"/>
        <v>0</v>
      </c>
      <c r="X607" s="19">
        <f t="shared" si="25"/>
        <v>0</v>
      </c>
    </row>
    <row r="608" ht="15.75" customHeight="1">
      <c r="Q608" s="15">
        <f t="shared" si="18"/>
        <v>0</v>
      </c>
      <c r="W608" s="22">
        <f t="shared" si="24"/>
        <v>0</v>
      </c>
      <c r="X608" s="19">
        <f t="shared" si="25"/>
        <v>0</v>
      </c>
    </row>
    <row r="609" ht="15.75" customHeight="1">
      <c r="Q609" s="15">
        <f t="shared" si="18"/>
        <v>0</v>
      </c>
      <c r="W609" s="22">
        <f t="shared" si="24"/>
        <v>0</v>
      </c>
      <c r="X609" s="19">
        <f t="shared" si="25"/>
        <v>0</v>
      </c>
    </row>
    <row r="610" ht="15.75" customHeight="1">
      <c r="Q610" s="15">
        <f t="shared" si="18"/>
        <v>0</v>
      </c>
      <c r="W610" s="22">
        <f t="shared" si="24"/>
        <v>0</v>
      </c>
      <c r="X610" s="19">
        <f t="shared" si="25"/>
        <v>0</v>
      </c>
    </row>
    <row r="611" ht="15.75" customHeight="1">
      <c r="Q611" s="15">
        <f t="shared" si="18"/>
        <v>0</v>
      </c>
      <c r="W611" s="22">
        <f t="shared" si="24"/>
        <v>0</v>
      </c>
      <c r="X611" s="19">
        <f t="shared" si="25"/>
        <v>0</v>
      </c>
    </row>
    <row r="612" ht="15.75" customHeight="1">
      <c r="Q612" s="15">
        <f t="shared" si="18"/>
        <v>0</v>
      </c>
      <c r="W612" s="22">
        <f t="shared" si="24"/>
        <v>0</v>
      </c>
      <c r="X612" s="19">
        <f t="shared" si="25"/>
        <v>0</v>
      </c>
    </row>
    <row r="613" ht="15.75" customHeight="1">
      <c r="Q613" s="15">
        <f t="shared" si="18"/>
        <v>0</v>
      </c>
      <c r="W613" s="22">
        <f t="shared" si="24"/>
        <v>0</v>
      </c>
      <c r="X613" s="19">
        <f t="shared" si="25"/>
        <v>0</v>
      </c>
    </row>
    <row r="614" ht="15.75" customHeight="1">
      <c r="Q614" s="15">
        <f t="shared" si="18"/>
        <v>0</v>
      </c>
      <c r="W614" s="22">
        <f t="shared" si="24"/>
        <v>0</v>
      </c>
      <c r="X614" s="19">
        <f t="shared" si="25"/>
        <v>0</v>
      </c>
    </row>
    <row r="615" ht="15.75" customHeight="1">
      <c r="Q615" s="15">
        <f t="shared" si="18"/>
        <v>0</v>
      </c>
      <c r="W615" s="22">
        <f t="shared" si="24"/>
        <v>0</v>
      </c>
      <c r="X615" s="19">
        <f t="shared" si="25"/>
        <v>0</v>
      </c>
    </row>
    <row r="616" ht="15.75" customHeight="1">
      <c r="Q616" s="15">
        <f t="shared" si="18"/>
        <v>0</v>
      </c>
      <c r="W616" s="22">
        <f t="shared" si="24"/>
        <v>0</v>
      </c>
      <c r="X616" s="19">
        <f t="shared" si="25"/>
        <v>0</v>
      </c>
    </row>
    <row r="617" ht="15.75" customHeight="1">
      <c r="Q617" s="15">
        <f t="shared" si="18"/>
        <v>0</v>
      </c>
      <c r="W617" s="22">
        <f t="shared" si="24"/>
        <v>0</v>
      </c>
      <c r="X617" s="19">
        <f t="shared" si="25"/>
        <v>0</v>
      </c>
    </row>
    <row r="618" ht="15.75" customHeight="1">
      <c r="Q618" s="15">
        <f t="shared" si="18"/>
        <v>0</v>
      </c>
      <c r="W618" s="22">
        <f t="shared" si="24"/>
        <v>0</v>
      </c>
      <c r="X618" s="19">
        <f t="shared" si="25"/>
        <v>0</v>
      </c>
    </row>
    <row r="619" ht="15.75" customHeight="1">
      <c r="Q619" s="15">
        <f t="shared" si="18"/>
        <v>0</v>
      </c>
      <c r="W619" s="22">
        <f t="shared" si="24"/>
        <v>0</v>
      </c>
      <c r="X619" s="19">
        <f t="shared" si="25"/>
        <v>0</v>
      </c>
    </row>
    <row r="620" ht="15.75" customHeight="1">
      <c r="Q620" s="15">
        <f t="shared" si="18"/>
        <v>0</v>
      </c>
      <c r="W620" s="22">
        <f t="shared" si="24"/>
        <v>0</v>
      </c>
      <c r="X620" s="19">
        <f t="shared" si="25"/>
        <v>0</v>
      </c>
    </row>
    <row r="621" ht="15.75" customHeight="1">
      <c r="Q621" s="15">
        <f t="shared" si="18"/>
        <v>0</v>
      </c>
      <c r="W621" s="22">
        <f t="shared" si="24"/>
        <v>0</v>
      </c>
      <c r="X621" s="19">
        <f t="shared" si="25"/>
        <v>0</v>
      </c>
    </row>
    <row r="622" ht="15.75" customHeight="1">
      <c r="Q622" s="15">
        <f t="shared" si="18"/>
        <v>0</v>
      </c>
      <c r="W622" s="22">
        <f t="shared" si="24"/>
        <v>0</v>
      </c>
      <c r="X622" s="19">
        <f t="shared" si="25"/>
        <v>0</v>
      </c>
    </row>
    <row r="623" ht="15.75" customHeight="1">
      <c r="Q623" s="15">
        <f t="shared" si="18"/>
        <v>0</v>
      </c>
      <c r="W623" s="22">
        <f t="shared" si="24"/>
        <v>0</v>
      </c>
      <c r="X623" s="19">
        <f t="shared" si="25"/>
        <v>0</v>
      </c>
    </row>
    <row r="624" ht="15.75" customHeight="1">
      <c r="Q624" s="15">
        <f t="shared" si="18"/>
        <v>0</v>
      </c>
      <c r="W624" s="22">
        <f t="shared" si="24"/>
        <v>0</v>
      </c>
      <c r="X624" s="19">
        <f t="shared" si="25"/>
        <v>0</v>
      </c>
    </row>
    <row r="625" ht="15.75" customHeight="1">
      <c r="Q625" s="15">
        <f t="shared" si="18"/>
        <v>0</v>
      </c>
      <c r="W625" s="22">
        <f t="shared" si="24"/>
        <v>0</v>
      </c>
      <c r="X625" s="19">
        <f t="shared" si="25"/>
        <v>0</v>
      </c>
    </row>
    <row r="626" ht="15.75" customHeight="1">
      <c r="Q626" s="15">
        <f t="shared" si="18"/>
        <v>0</v>
      </c>
      <c r="W626" s="22">
        <f t="shared" si="24"/>
        <v>0</v>
      </c>
      <c r="X626" s="19">
        <f t="shared" si="25"/>
        <v>0</v>
      </c>
    </row>
    <row r="627" ht="15.75" customHeight="1">
      <c r="Q627" s="15">
        <f t="shared" si="18"/>
        <v>0</v>
      </c>
      <c r="W627" s="22">
        <f t="shared" si="24"/>
        <v>0</v>
      </c>
      <c r="X627" s="19">
        <f t="shared" si="25"/>
        <v>0</v>
      </c>
    </row>
    <row r="628" ht="15.75" customHeight="1">
      <c r="Q628" s="15">
        <f t="shared" si="18"/>
        <v>0</v>
      </c>
      <c r="W628" s="22">
        <f t="shared" si="24"/>
        <v>0</v>
      </c>
      <c r="X628" s="19">
        <f t="shared" si="25"/>
        <v>0</v>
      </c>
    </row>
    <row r="629" ht="15.75" customHeight="1">
      <c r="Q629" s="15">
        <f t="shared" si="18"/>
        <v>0</v>
      </c>
      <c r="W629" s="22">
        <f t="shared" si="24"/>
        <v>0</v>
      </c>
      <c r="X629" s="19">
        <f t="shared" si="25"/>
        <v>0</v>
      </c>
    </row>
    <row r="630" ht="15.75" customHeight="1">
      <c r="Q630" s="15">
        <f t="shared" si="18"/>
        <v>0</v>
      </c>
      <c r="W630" s="22">
        <f t="shared" si="24"/>
        <v>0</v>
      </c>
      <c r="X630" s="19">
        <f t="shared" si="25"/>
        <v>0</v>
      </c>
    </row>
    <row r="631" ht="15.75" customHeight="1">
      <c r="Q631" s="15">
        <f t="shared" si="18"/>
        <v>0</v>
      </c>
      <c r="W631" s="22">
        <f t="shared" si="24"/>
        <v>0</v>
      </c>
      <c r="X631" s="19">
        <f t="shared" si="25"/>
        <v>0</v>
      </c>
    </row>
    <row r="632" ht="15.75" customHeight="1">
      <c r="Q632" s="15">
        <f t="shared" si="18"/>
        <v>0</v>
      </c>
      <c r="W632" s="22">
        <f t="shared" si="24"/>
        <v>0</v>
      </c>
      <c r="X632" s="19">
        <f t="shared" si="25"/>
        <v>0</v>
      </c>
    </row>
    <row r="633" ht="15.75" customHeight="1">
      <c r="Q633" s="15">
        <f t="shared" si="18"/>
        <v>0</v>
      </c>
      <c r="W633" s="22">
        <f t="shared" si="24"/>
        <v>0</v>
      </c>
      <c r="X633" s="19">
        <f t="shared" si="25"/>
        <v>0</v>
      </c>
    </row>
    <row r="634" ht="15.75" customHeight="1">
      <c r="Q634" s="15">
        <f t="shared" si="18"/>
        <v>0</v>
      </c>
      <c r="W634" s="22">
        <f t="shared" si="24"/>
        <v>0</v>
      </c>
      <c r="X634" s="19">
        <f t="shared" si="25"/>
        <v>0</v>
      </c>
    </row>
    <row r="635" ht="15.75" customHeight="1">
      <c r="Q635" s="15">
        <f t="shared" si="18"/>
        <v>0</v>
      </c>
      <c r="W635" s="22">
        <f t="shared" si="24"/>
        <v>0</v>
      </c>
      <c r="X635" s="19">
        <f t="shared" si="25"/>
        <v>0</v>
      </c>
    </row>
    <row r="636" ht="15.75" customHeight="1">
      <c r="Q636" s="15">
        <f t="shared" si="18"/>
        <v>0</v>
      </c>
      <c r="W636" s="22">
        <f t="shared" si="24"/>
        <v>0</v>
      </c>
      <c r="X636" s="19">
        <f t="shared" si="25"/>
        <v>0</v>
      </c>
    </row>
    <row r="637" ht="15.75" customHeight="1">
      <c r="Q637" s="15">
        <f t="shared" si="18"/>
        <v>0</v>
      </c>
      <c r="W637" s="22">
        <f t="shared" si="24"/>
        <v>0</v>
      </c>
      <c r="X637" s="19">
        <f t="shared" si="25"/>
        <v>0</v>
      </c>
    </row>
    <row r="638" ht="15.75" customHeight="1">
      <c r="Q638" s="15">
        <f t="shared" si="18"/>
        <v>0</v>
      </c>
      <c r="W638" s="22">
        <f t="shared" si="24"/>
        <v>0</v>
      </c>
      <c r="X638" s="19">
        <f t="shared" si="25"/>
        <v>0</v>
      </c>
    </row>
    <row r="639" ht="15.75" customHeight="1">
      <c r="Q639" s="15">
        <f t="shared" si="18"/>
        <v>0</v>
      </c>
      <c r="W639" s="22">
        <f t="shared" si="24"/>
        <v>0</v>
      </c>
      <c r="X639" s="19">
        <f t="shared" si="25"/>
        <v>0</v>
      </c>
    </row>
    <row r="640" ht="15.75" customHeight="1">
      <c r="Q640" s="15">
        <f t="shared" si="18"/>
        <v>0</v>
      </c>
      <c r="W640" s="22">
        <f t="shared" si="24"/>
        <v>0</v>
      </c>
      <c r="X640" s="19">
        <f t="shared" si="25"/>
        <v>0</v>
      </c>
    </row>
    <row r="641" ht="15.75" customHeight="1">
      <c r="Q641" s="15">
        <f t="shared" si="18"/>
        <v>0</v>
      </c>
      <c r="W641" s="22">
        <f t="shared" si="24"/>
        <v>0</v>
      </c>
      <c r="X641" s="19">
        <f t="shared" si="25"/>
        <v>0</v>
      </c>
    </row>
    <row r="642" ht="15.75" customHeight="1">
      <c r="Q642" s="15">
        <f t="shared" si="18"/>
        <v>0</v>
      </c>
      <c r="W642" s="22">
        <f t="shared" si="24"/>
        <v>0</v>
      </c>
      <c r="X642" s="19">
        <f t="shared" si="25"/>
        <v>0</v>
      </c>
    </row>
    <row r="643" ht="15.75" customHeight="1">
      <c r="Q643" s="15">
        <f t="shared" si="18"/>
        <v>0</v>
      </c>
      <c r="W643" s="22">
        <f t="shared" si="24"/>
        <v>0</v>
      </c>
      <c r="X643" s="19">
        <f t="shared" si="25"/>
        <v>0</v>
      </c>
    </row>
    <row r="644" ht="15.75" customHeight="1">
      <c r="Q644" s="15">
        <f t="shared" si="18"/>
        <v>0</v>
      </c>
      <c r="W644" s="22">
        <f t="shared" si="24"/>
        <v>0</v>
      </c>
      <c r="X644" s="19">
        <f t="shared" si="25"/>
        <v>0</v>
      </c>
    </row>
    <row r="645" ht="15.75" customHeight="1">
      <c r="Q645" s="15">
        <f t="shared" si="18"/>
        <v>0</v>
      </c>
      <c r="W645" s="22">
        <f t="shared" si="24"/>
        <v>0</v>
      </c>
      <c r="X645" s="19">
        <f t="shared" si="25"/>
        <v>0</v>
      </c>
    </row>
    <row r="646" ht="15.75" customHeight="1">
      <c r="Q646" s="15">
        <f t="shared" si="18"/>
        <v>0</v>
      </c>
      <c r="W646" s="22">
        <f t="shared" si="24"/>
        <v>0</v>
      </c>
      <c r="X646" s="19">
        <f t="shared" si="25"/>
        <v>0</v>
      </c>
    </row>
    <row r="647" ht="15.75" customHeight="1">
      <c r="Q647" s="15">
        <f t="shared" si="18"/>
        <v>0</v>
      </c>
      <c r="W647" s="22">
        <f t="shared" si="24"/>
        <v>0</v>
      </c>
      <c r="X647" s="19">
        <f t="shared" si="25"/>
        <v>0</v>
      </c>
    </row>
    <row r="648" ht="15.75" customHeight="1">
      <c r="Q648" s="15">
        <f t="shared" si="18"/>
        <v>0</v>
      </c>
      <c r="W648" s="22">
        <f t="shared" si="24"/>
        <v>0</v>
      </c>
      <c r="X648" s="19">
        <f t="shared" si="25"/>
        <v>0</v>
      </c>
    </row>
    <row r="649" ht="15.75" customHeight="1">
      <c r="Q649" s="15">
        <f t="shared" si="18"/>
        <v>0</v>
      </c>
      <c r="W649" s="22">
        <f t="shared" si="24"/>
        <v>0</v>
      </c>
      <c r="X649" s="19">
        <f t="shared" si="25"/>
        <v>0</v>
      </c>
    </row>
    <row r="650" ht="15.75" customHeight="1">
      <c r="Q650" s="15">
        <f t="shared" si="18"/>
        <v>0</v>
      </c>
      <c r="W650" s="22">
        <f t="shared" si="24"/>
        <v>0</v>
      </c>
      <c r="X650" s="19">
        <f t="shared" si="25"/>
        <v>0</v>
      </c>
    </row>
    <row r="651" ht="15.75" customHeight="1">
      <c r="Q651" s="15">
        <f t="shared" si="18"/>
        <v>0</v>
      </c>
      <c r="W651" s="22">
        <f t="shared" si="24"/>
        <v>0</v>
      </c>
      <c r="X651" s="19">
        <f t="shared" si="25"/>
        <v>0</v>
      </c>
    </row>
    <row r="652" ht="15.75" customHeight="1">
      <c r="Q652" s="15">
        <f t="shared" si="18"/>
        <v>0</v>
      </c>
      <c r="W652" s="22">
        <f t="shared" si="24"/>
        <v>0</v>
      </c>
      <c r="X652" s="19">
        <f t="shared" si="25"/>
        <v>0</v>
      </c>
    </row>
    <row r="653" ht="15.75" customHeight="1">
      <c r="Q653" s="15">
        <f t="shared" si="18"/>
        <v>0</v>
      </c>
      <c r="W653" s="22">
        <f t="shared" si="24"/>
        <v>0</v>
      </c>
      <c r="X653" s="19">
        <f t="shared" si="25"/>
        <v>0</v>
      </c>
    </row>
    <row r="654" ht="15.75" customHeight="1">
      <c r="Q654" s="15">
        <f t="shared" si="18"/>
        <v>0</v>
      </c>
      <c r="W654" s="22">
        <f t="shared" si="24"/>
        <v>0</v>
      </c>
      <c r="X654" s="19">
        <f t="shared" si="25"/>
        <v>0</v>
      </c>
    </row>
    <row r="655" ht="15.75" customHeight="1">
      <c r="Q655" s="15">
        <f t="shared" si="18"/>
        <v>0</v>
      </c>
      <c r="W655" s="22">
        <f t="shared" si="24"/>
        <v>0</v>
      </c>
      <c r="X655" s="19">
        <f t="shared" si="25"/>
        <v>0</v>
      </c>
    </row>
    <row r="656" ht="15.75" customHeight="1">
      <c r="Q656" s="15">
        <f t="shared" si="18"/>
        <v>0</v>
      </c>
      <c r="W656" s="22">
        <f t="shared" si="24"/>
        <v>0</v>
      </c>
      <c r="X656" s="19">
        <f t="shared" si="25"/>
        <v>0</v>
      </c>
    </row>
    <row r="657" ht="15.75" customHeight="1">
      <c r="Q657" s="15">
        <f t="shared" si="18"/>
        <v>0</v>
      </c>
      <c r="W657" s="22">
        <f t="shared" si="24"/>
        <v>0</v>
      </c>
      <c r="X657" s="19">
        <f t="shared" si="25"/>
        <v>0</v>
      </c>
    </row>
    <row r="658" ht="15.75" customHeight="1">
      <c r="Q658" s="15">
        <f t="shared" si="18"/>
        <v>0</v>
      </c>
      <c r="W658" s="22">
        <f t="shared" si="24"/>
        <v>0</v>
      </c>
      <c r="X658" s="19">
        <f t="shared" si="25"/>
        <v>0</v>
      </c>
    </row>
    <row r="659" ht="15.75" customHeight="1">
      <c r="Q659" s="15">
        <f t="shared" si="18"/>
        <v>0</v>
      </c>
      <c r="W659" s="22">
        <f t="shared" si="24"/>
        <v>0</v>
      </c>
      <c r="X659" s="19">
        <f t="shared" si="25"/>
        <v>0</v>
      </c>
    </row>
    <row r="660" ht="15.75" customHeight="1">
      <c r="Q660" s="15">
        <f t="shared" si="18"/>
        <v>0</v>
      </c>
      <c r="W660" s="22">
        <f t="shared" si="24"/>
        <v>0</v>
      </c>
      <c r="X660" s="19">
        <f t="shared" si="25"/>
        <v>0</v>
      </c>
    </row>
    <row r="661" ht="15.75" customHeight="1">
      <c r="Q661" s="15">
        <f t="shared" si="18"/>
        <v>0</v>
      </c>
      <c r="W661" s="22">
        <f t="shared" si="24"/>
        <v>0</v>
      </c>
      <c r="X661" s="19">
        <f t="shared" si="25"/>
        <v>0</v>
      </c>
    </row>
    <row r="662" ht="15.75" customHeight="1">
      <c r="Q662" s="15">
        <f t="shared" si="18"/>
        <v>0</v>
      </c>
      <c r="W662" s="22">
        <f t="shared" si="24"/>
        <v>0</v>
      </c>
      <c r="X662" s="19">
        <f t="shared" si="25"/>
        <v>0</v>
      </c>
    </row>
    <row r="663" ht="15.75" customHeight="1">
      <c r="Q663" s="15">
        <f t="shared" si="18"/>
        <v>0</v>
      </c>
      <c r="W663" s="22">
        <f t="shared" si="24"/>
        <v>0</v>
      </c>
      <c r="X663" s="19">
        <f t="shared" si="25"/>
        <v>0</v>
      </c>
    </row>
    <row r="664" ht="15.75" customHeight="1">
      <c r="Q664" s="15">
        <f t="shared" si="18"/>
        <v>0</v>
      </c>
      <c r="W664" s="22">
        <f t="shared" si="24"/>
        <v>0</v>
      </c>
      <c r="X664" s="19">
        <f t="shared" si="25"/>
        <v>0</v>
      </c>
    </row>
    <row r="665" ht="15.75" customHeight="1">
      <c r="Q665" s="15">
        <f t="shared" si="18"/>
        <v>0</v>
      </c>
      <c r="W665" s="22">
        <f t="shared" si="24"/>
        <v>0</v>
      </c>
      <c r="X665" s="19">
        <f t="shared" si="25"/>
        <v>0</v>
      </c>
    </row>
    <row r="666" ht="15.75" customHeight="1">
      <c r="Q666" s="15">
        <f t="shared" si="18"/>
        <v>0</v>
      </c>
      <c r="W666" s="22">
        <f t="shared" si="24"/>
        <v>0</v>
      </c>
      <c r="X666" s="19">
        <f t="shared" si="25"/>
        <v>0</v>
      </c>
    </row>
    <row r="667" ht="15.75" customHeight="1">
      <c r="Q667" s="15">
        <f t="shared" si="18"/>
        <v>0</v>
      </c>
      <c r="W667" s="22">
        <f t="shared" si="24"/>
        <v>0</v>
      </c>
      <c r="X667" s="19">
        <f t="shared" si="25"/>
        <v>0</v>
      </c>
    </row>
    <row r="668" ht="15.75" customHeight="1">
      <c r="Q668" s="15">
        <f t="shared" si="18"/>
        <v>0</v>
      </c>
      <c r="W668" s="22">
        <f t="shared" si="24"/>
        <v>0</v>
      </c>
      <c r="X668" s="19">
        <f t="shared" si="25"/>
        <v>0</v>
      </c>
    </row>
    <row r="669" ht="15.75" customHeight="1">
      <c r="Q669" s="15">
        <f t="shared" si="18"/>
        <v>0</v>
      </c>
      <c r="W669" s="22">
        <f t="shared" si="24"/>
        <v>0</v>
      </c>
      <c r="X669" s="19">
        <f t="shared" si="25"/>
        <v>0</v>
      </c>
    </row>
    <row r="670" ht="15.75" customHeight="1">
      <c r="Q670" s="15">
        <f t="shared" si="18"/>
        <v>0</v>
      </c>
      <c r="W670" s="22">
        <f t="shared" si="24"/>
        <v>0</v>
      </c>
      <c r="X670" s="19">
        <f t="shared" si="25"/>
        <v>0</v>
      </c>
    </row>
    <row r="671" ht="15.75" customHeight="1">
      <c r="Q671" s="15">
        <f t="shared" si="18"/>
        <v>0</v>
      </c>
      <c r="W671" s="22">
        <f t="shared" si="24"/>
        <v>0</v>
      </c>
      <c r="X671" s="19">
        <f t="shared" si="25"/>
        <v>0</v>
      </c>
    </row>
    <row r="672" ht="15.75" customHeight="1">
      <c r="Q672" s="15">
        <f t="shared" si="18"/>
        <v>0</v>
      </c>
      <c r="W672" s="22">
        <f t="shared" si="24"/>
        <v>0</v>
      </c>
      <c r="X672" s="19">
        <f t="shared" si="25"/>
        <v>0</v>
      </c>
    </row>
    <row r="673" ht="15.75" customHeight="1">
      <c r="Q673" s="15">
        <f t="shared" si="18"/>
        <v>0</v>
      </c>
      <c r="W673" s="22">
        <f t="shared" si="24"/>
        <v>0</v>
      </c>
      <c r="X673" s="19">
        <f t="shared" si="25"/>
        <v>0</v>
      </c>
    </row>
    <row r="674" ht="15.75" customHeight="1">
      <c r="Q674" s="15">
        <f t="shared" si="18"/>
        <v>0</v>
      </c>
      <c r="W674" s="22">
        <f t="shared" si="24"/>
        <v>0</v>
      </c>
      <c r="X674" s="19">
        <f t="shared" si="25"/>
        <v>0</v>
      </c>
    </row>
    <row r="675" ht="15.75" customHeight="1">
      <c r="Q675" s="15">
        <f t="shared" si="18"/>
        <v>0</v>
      </c>
      <c r="W675" s="22">
        <f t="shared" si="24"/>
        <v>0</v>
      </c>
      <c r="X675" s="19">
        <f t="shared" si="25"/>
        <v>0</v>
      </c>
    </row>
    <row r="676" ht="15.75" customHeight="1">
      <c r="Q676" s="15">
        <f t="shared" si="18"/>
        <v>0</v>
      </c>
      <c r="W676" s="22">
        <f t="shared" si="24"/>
        <v>0</v>
      </c>
      <c r="X676" s="19">
        <f t="shared" si="25"/>
        <v>0</v>
      </c>
    </row>
    <row r="677" ht="15.75" customHeight="1">
      <c r="Q677" s="15">
        <f t="shared" si="18"/>
        <v>0</v>
      </c>
      <c r="W677" s="22">
        <f t="shared" si="24"/>
        <v>0</v>
      </c>
      <c r="X677" s="19">
        <f t="shared" si="25"/>
        <v>0</v>
      </c>
    </row>
    <row r="678" ht="15.75" customHeight="1">
      <c r="Q678" s="15">
        <f t="shared" si="18"/>
        <v>0</v>
      </c>
      <c r="W678" s="22">
        <f t="shared" si="24"/>
        <v>0</v>
      </c>
      <c r="X678" s="19">
        <f t="shared" si="25"/>
        <v>0</v>
      </c>
    </row>
    <row r="679" ht="15.75" customHeight="1">
      <c r="Q679" s="15">
        <f t="shared" si="18"/>
        <v>0</v>
      </c>
      <c r="W679" s="22">
        <f t="shared" si="24"/>
        <v>0</v>
      </c>
      <c r="X679" s="19">
        <f t="shared" si="25"/>
        <v>0</v>
      </c>
    </row>
    <row r="680" ht="15.75" customHeight="1">
      <c r="Q680" s="15">
        <f t="shared" si="18"/>
        <v>0</v>
      </c>
      <c r="W680" s="22">
        <f t="shared" si="24"/>
        <v>0</v>
      </c>
      <c r="X680" s="19">
        <f t="shared" si="25"/>
        <v>0</v>
      </c>
    </row>
    <row r="681" ht="15.75" customHeight="1">
      <c r="Q681" s="15">
        <f t="shared" si="18"/>
        <v>0</v>
      </c>
      <c r="W681" s="22">
        <f t="shared" si="24"/>
        <v>0</v>
      </c>
      <c r="X681" s="19">
        <f t="shared" si="25"/>
        <v>0</v>
      </c>
    </row>
    <row r="682" ht="15.75" customHeight="1">
      <c r="Q682" s="15">
        <f t="shared" si="18"/>
        <v>0</v>
      </c>
      <c r="W682" s="22">
        <f t="shared" si="24"/>
        <v>0</v>
      </c>
      <c r="X682" s="19">
        <f t="shared" si="25"/>
        <v>0</v>
      </c>
    </row>
    <row r="683" ht="15.75" customHeight="1">
      <c r="Q683" s="15">
        <f t="shared" si="18"/>
        <v>0</v>
      </c>
      <c r="W683" s="22">
        <f t="shared" si="24"/>
        <v>0</v>
      </c>
      <c r="X683" s="19">
        <f t="shared" si="25"/>
        <v>0</v>
      </c>
    </row>
    <row r="684" ht="15.75" customHeight="1">
      <c r="Q684" s="15">
        <f t="shared" si="18"/>
        <v>0</v>
      </c>
      <c r="W684" s="22">
        <f t="shared" si="24"/>
        <v>0</v>
      </c>
      <c r="X684" s="19">
        <f t="shared" si="25"/>
        <v>0</v>
      </c>
    </row>
    <row r="685" ht="15.75" customHeight="1">
      <c r="Q685" s="15">
        <f t="shared" si="18"/>
        <v>0</v>
      </c>
      <c r="W685" s="22">
        <f t="shared" si="24"/>
        <v>0</v>
      </c>
      <c r="X685" s="19">
        <f t="shared" si="25"/>
        <v>0</v>
      </c>
    </row>
    <row r="686" ht="15.75" customHeight="1">
      <c r="Q686" s="15">
        <f t="shared" si="18"/>
        <v>0</v>
      </c>
      <c r="W686" s="22">
        <f t="shared" si="24"/>
        <v>0</v>
      </c>
      <c r="X686" s="19">
        <f t="shared" si="25"/>
        <v>0</v>
      </c>
    </row>
    <row r="687" ht="15.75" customHeight="1">
      <c r="Q687" s="15">
        <f t="shared" si="18"/>
        <v>0</v>
      </c>
      <c r="W687" s="22">
        <f t="shared" si="24"/>
        <v>0</v>
      </c>
      <c r="X687" s="19">
        <f t="shared" si="25"/>
        <v>0</v>
      </c>
    </row>
    <row r="688" ht="15.75" customHeight="1">
      <c r="Q688" s="15">
        <f t="shared" si="18"/>
        <v>0</v>
      </c>
      <c r="W688" s="22">
        <f t="shared" si="24"/>
        <v>0</v>
      </c>
      <c r="X688" s="19">
        <f t="shared" si="25"/>
        <v>0</v>
      </c>
    </row>
    <row r="689" ht="15.75" customHeight="1">
      <c r="Q689" s="15">
        <f t="shared" si="18"/>
        <v>0</v>
      </c>
      <c r="W689" s="22">
        <f t="shared" si="24"/>
        <v>0</v>
      </c>
      <c r="X689" s="19">
        <f t="shared" si="25"/>
        <v>0</v>
      </c>
    </row>
    <row r="690" ht="15.75" customHeight="1">
      <c r="Q690" s="15">
        <f t="shared" si="18"/>
        <v>0</v>
      </c>
      <c r="W690" s="22">
        <f t="shared" si="24"/>
        <v>0</v>
      </c>
      <c r="X690" s="19">
        <f t="shared" si="25"/>
        <v>0</v>
      </c>
    </row>
    <row r="691" ht="15.75" customHeight="1">
      <c r="Q691" s="15">
        <f t="shared" si="18"/>
        <v>0</v>
      </c>
      <c r="W691" s="22">
        <f t="shared" si="24"/>
        <v>0</v>
      </c>
      <c r="X691" s="19">
        <f t="shared" si="25"/>
        <v>0</v>
      </c>
    </row>
    <row r="692" ht="15.75" customHeight="1">
      <c r="Q692" s="15">
        <f t="shared" si="18"/>
        <v>0</v>
      </c>
      <c r="W692" s="22">
        <f t="shared" si="24"/>
        <v>0</v>
      </c>
      <c r="X692" s="19">
        <f t="shared" si="25"/>
        <v>0</v>
      </c>
    </row>
    <row r="693" ht="15.75" customHeight="1">
      <c r="Q693" s="15">
        <f t="shared" si="18"/>
        <v>0</v>
      </c>
      <c r="W693" s="22">
        <f t="shared" si="24"/>
        <v>0</v>
      </c>
      <c r="X693" s="19">
        <f t="shared" si="25"/>
        <v>0</v>
      </c>
    </row>
    <row r="694" ht="15.75" customHeight="1">
      <c r="Q694" s="15">
        <f t="shared" si="18"/>
        <v>0</v>
      </c>
      <c r="W694" s="22">
        <f t="shared" si="24"/>
        <v>0</v>
      </c>
      <c r="X694" s="19">
        <f t="shared" si="25"/>
        <v>0</v>
      </c>
    </row>
    <row r="695" ht="15.75" customHeight="1">
      <c r="Q695" s="15">
        <f t="shared" si="18"/>
        <v>0</v>
      </c>
      <c r="W695" s="22">
        <f t="shared" si="24"/>
        <v>0</v>
      </c>
      <c r="X695" s="19">
        <f t="shared" si="25"/>
        <v>0</v>
      </c>
    </row>
    <row r="696" ht="15.75" customHeight="1">
      <c r="Q696" s="15">
        <f t="shared" si="18"/>
        <v>0</v>
      </c>
      <c r="W696" s="22">
        <f t="shared" si="24"/>
        <v>0</v>
      </c>
      <c r="X696" s="19">
        <f t="shared" si="25"/>
        <v>0</v>
      </c>
    </row>
    <row r="697" ht="15.75" customHeight="1">
      <c r="Q697" s="15">
        <f t="shared" si="18"/>
        <v>0</v>
      </c>
      <c r="W697" s="22">
        <f t="shared" si="24"/>
        <v>0</v>
      </c>
      <c r="X697" s="19">
        <f t="shared" si="25"/>
        <v>0</v>
      </c>
    </row>
    <row r="698" ht="15.75" customHeight="1">
      <c r="Q698" s="15">
        <f t="shared" si="18"/>
        <v>0</v>
      </c>
      <c r="W698" s="22">
        <f t="shared" si="24"/>
        <v>0</v>
      </c>
      <c r="X698" s="19">
        <f t="shared" si="25"/>
        <v>0</v>
      </c>
    </row>
    <row r="699" ht="15.75" customHeight="1">
      <c r="Q699" s="15">
        <f t="shared" si="18"/>
        <v>0</v>
      </c>
      <c r="W699" s="22">
        <f t="shared" si="24"/>
        <v>0</v>
      </c>
      <c r="X699" s="19">
        <f t="shared" si="25"/>
        <v>0</v>
      </c>
    </row>
    <row r="700" ht="15.75" customHeight="1">
      <c r="Q700" s="15">
        <f t="shared" si="18"/>
        <v>0</v>
      </c>
      <c r="W700" s="22">
        <f t="shared" si="24"/>
        <v>0</v>
      </c>
      <c r="X700" s="19">
        <f t="shared" si="25"/>
        <v>0</v>
      </c>
    </row>
    <row r="701" ht="15.75" customHeight="1">
      <c r="Q701" s="15">
        <f t="shared" si="18"/>
        <v>0</v>
      </c>
      <c r="W701" s="22">
        <f t="shared" si="24"/>
        <v>0</v>
      </c>
      <c r="X701" s="19">
        <f t="shared" si="25"/>
        <v>0</v>
      </c>
    </row>
    <row r="702" ht="15.75" customHeight="1">
      <c r="Q702" s="15">
        <f t="shared" si="18"/>
        <v>0</v>
      </c>
      <c r="W702" s="22">
        <f t="shared" si="24"/>
        <v>0</v>
      </c>
      <c r="X702" s="19">
        <f t="shared" si="25"/>
        <v>0</v>
      </c>
    </row>
    <row r="703" ht="15.75" customHeight="1">
      <c r="Q703" s="15">
        <f t="shared" si="18"/>
        <v>0</v>
      </c>
      <c r="W703" s="22">
        <f t="shared" si="24"/>
        <v>0</v>
      </c>
      <c r="X703" s="19">
        <f t="shared" si="25"/>
        <v>0</v>
      </c>
    </row>
    <row r="704" ht="15.75" customHeight="1">
      <c r="Q704" s="15">
        <f t="shared" si="18"/>
        <v>0</v>
      </c>
      <c r="W704" s="22">
        <f t="shared" si="24"/>
        <v>0</v>
      </c>
      <c r="X704" s="19">
        <f t="shared" si="25"/>
        <v>0</v>
      </c>
    </row>
    <row r="705" ht="15.75" customHeight="1">
      <c r="Q705" s="15">
        <f t="shared" si="18"/>
        <v>0</v>
      </c>
      <c r="W705" s="22">
        <f t="shared" si="24"/>
        <v>0</v>
      </c>
      <c r="X705" s="19">
        <f t="shared" si="25"/>
        <v>0</v>
      </c>
    </row>
    <row r="706" ht="15.75" customHeight="1">
      <c r="Q706" s="15">
        <f t="shared" si="18"/>
        <v>0</v>
      </c>
      <c r="W706" s="22">
        <f t="shared" si="24"/>
        <v>0</v>
      </c>
      <c r="X706" s="19">
        <f t="shared" si="25"/>
        <v>0</v>
      </c>
    </row>
    <row r="707" ht="15.75" customHeight="1">
      <c r="Q707" s="15">
        <f t="shared" si="18"/>
        <v>0</v>
      </c>
      <c r="W707" s="22">
        <f t="shared" si="24"/>
        <v>0</v>
      </c>
      <c r="X707" s="19">
        <f t="shared" si="25"/>
        <v>0</v>
      </c>
    </row>
    <row r="708" ht="15.75" customHeight="1">
      <c r="Q708" s="15">
        <f t="shared" si="18"/>
        <v>0</v>
      </c>
      <c r="W708" s="22">
        <f t="shared" si="24"/>
        <v>0</v>
      </c>
      <c r="X708" s="19">
        <f t="shared" si="25"/>
        <v>0</v>
      </c>
    </row>
    <row r="709" ht="15.75" customHeight="1">
      <c r="Q709" s="15">
        <f t="shared" si="18"/>
        <v>0</v>
      </c>
      <c r="W709" s="22">
        <f t="shared" si="24"/>
        <v>0</v>
      </c>
      <c r="X709" s="19">
        <f t="shared" si="25"/>
        <v>0</v>
      </c>
    </row>
    <row r="710" ht="15.75" customHeight="1">
      <c r="Q710" s="15">
        <f t="shared" si="18"/>
        <v>0</v>
      </c>
      <c r="W710" s="22">
        <f t="shared" si="24"/>
        <v>0</v>
      </c>
      <c r="X710" s="19">
        <f t="shared" si="25"/>
        <v>0</v>
      </c>
    </row>
    <row r="711" ht="15.75" customHeight="1">
      <c r="Q711" s="15">
        <f t="shared" si="18"/>
        <v>0</v>
      </c>
      <c r="W711" s="22">
        <f t="shared" si="24"/>
        <v>0</v>
      </c>
      <c r="X711" s="19">
        <f t="shared" si="25"/>
        <v>0</v>
      </c>
    </row>
    <row r="712" ht="15.75" customHeight="1">
      <c r="Q712" s="15">
        <f t="shared" si="18"/>
        <v>0</v>
      </c>
      <c r="W712" s="22">
        <f t="shared" si="24"/>
        <v>0</v>
      </c>
      <c r="X712" s="19">
        <f t="shared" si="25"/>
        <v>0</v>
      </c>
    </row>
    <row r="713" ht="15.75" customHeight="1">
      <c r="Q713" s="15">
        <f t="shared" si="18"/>
        <v>0</v>
      </c>
      <c r="W713" s="22">
        <f t="shared" si="24"/>
        <v>0</v>
      </c>
      <c r="X713" s="19">
        <f t="shared" si="25"/>
        <v>0</v>
      </c>
    </row>
    <row r="714" ht="15.75" customHeight="1">
      <c r="Q714" s="15">
        <f t="shared" si="18"/>
        <v>0</v>
      </c>
      <c r="W714" s="22">
        <f t="shared" si="24"/>
        <v>0</v>
      </c>
      <c r="X714" s="19">
        <f t="shared" si="25"/>
        <v>0</v>
      </c>
    </row>
    <row r="715" ht="15.75" customHeight="1">
      <c r="Q715" s="15">
        <f t="shared" si="18"/>
        <v>0</v>
      </c>
      <c r="W715" s="22">
        <f t="shared" si="24"/>
        <v>0</v>
      </c>
      <c r="X715" s="19">
        <f t="shared" si="25"/>
        <v>0</v>
      </c>
    </row>
    <row r="716" ht="15.75" customHeight="1">
      <c r="Q716" s="15">
        <f t="shared" si="18"/>
        <v>0</v>
      </c>
      <c r="W716" s="22">
        <f t="shared" si="24"/>
        <v>0</v>
      </c>
      <c r="X716" s="19">
        <f t="shared" si="25"/>
        <v>0</v>
      </c>
    </row>
    <row r="717" ht="15.75" customHeight="1">
      <c r="Q717" s="15">
        <f t="shared" si="18"/>
        <v>0</v>
      </c>
      <c r="W717" s="22">
        <f t="shared" si="24"/>
        <v>0</v>
      </c>
      <c r="X717" s="19">
        <f t="shared" si="25"/>
        <v>0</v>
      </c>
    </row>
    <row r="718" ht="15.75" customHeight="1">
      <c r="Q718" s="15">
        <f t="shared" si="18"/>
        <v>0</v>
      </c>
      <c r="W718" s="22">
        <f t="shared" si="24"/>
        <v>0</v>
      </c>
      <c r="X718" s="19">
        <f t="shared" si="25"/>
        <v>0</v>
      </c>
    </row>
    <row r="719" ht="15.75" customHeight="1">
      <c r="Q719" s="15">
        <f t="shared" si="18"/>
        <v>0</v>
      </c>
      <c r="W719" s="22">
        <f t="shared" si="24"/>
        <v>0</v>
      </c>
      <c r="X719" s="19">
        <f t="shared" si="25"/>
        <v>0</v>
      </c>
    </row>
    <row r="720" ht="15.75" customHeight="1">
      <c r="Q720" s="15">
        <f t="shared" si="18"/>
        <v>0</v>
      </c>
      <c r="W720" s="22">
        <f t="shared" si="24"/>
        <v>0</v>
      </c>
      <c r="X720" s="19">
        <f t="shared" si="25"/>
        <v>0</v>
      </c>
    </row>
    <row r="721" ht="15.75" customHeight="1">
      <c r="Q721" s="15">
        <f t="shared" si="18"/>
        <v>0</v>
      </c>
      <c r="W721" s="22">
        <f t="shared" si="24"/>
        <v>0</v>
      </c>
      <c r="X721" s="19">
        <f t="shared" si="25"/>
        <v>0</v>
      </c>
    </row>
    <row r="722" ht="15.75" customHeight="1">
      <c r="Q722" s="15">
        <f t="shared" si="18"/>
        <v>0</v>
      </c>
      <c r="W722" s="22">
        <f t="shared" si="24"/>
        <v>0</v>
      </c>
      <c r="X722" s="19">
        <f t="shared" si="25"/>
        <v>0</v>
      </c>
    </row>
    <row r="723" ht="15.75" customHeight="1">
      <c r="Q723" s="15">
        <f t="shared" si="18"/>
        <v>0</v>
      </c>
      <c r="W723" s="22">
        <f t="shared" si="24"/>
        <v>0</v>
      </c>
      <c r="X723" s="19">
        <f t="shared" si="25"/>
        <v>0</v>
      </c>
    </row>
    <row r="724" ht="15.75" customHeight="1">
      <c r="Q724" s="15">
        <f t="shared" si="18"/>
        <v>0</v>
      </c>
      <c r="W724" s="22">
        <f t="shared" si="24"/>
        <v>0</v>
      </c>
      <c r="X724" s="19">
        <f t="shared" si="25"/>
        <v>0</v>
      </c>
    </row>
    <row r="725" ht="15.75" customHeight="1">
      <c r="Q725" s="15">
        <f t="shared" si="18"/>
        <v>0</v>
      </c>
      <c r="W725" s="22">
        <f t="shared" si="24"/>
        <v>0</v>
      </c>
      <c r="X725" s="19">
        <f t="shared" si="25"/>
        <v>0</v>
      </c>
    </row>
    <row r="726" ht="15.75" customHeight="1">
      <c r="Q726" s="15">
        <f t="shared" si="18"/>
        <v>0</v>
      </c>
      <c r="W726" s="22">
        <f t="shared" si="24"/>
        <v>0</v>
      </c>
      <c r="X726" s="19">
        <f t="shared" si="25"/>
        <v>0</v>
      </c>
    </row>
    <row r="727" ht="15.75" customHeight="1">
      <c r="Q727" s="15">
        <f t="shared" si="18"/>
        <v>0</v>
      </c>
      <c r="W727" s="22">
        <f t="shared" si="24"/>
        <v>0</v>
      </c>
      <c r="X727" s="19">
        <f t="shared" si="25"/>
        <v>0</v>
      </c>
    </row>
    <row r="728" ht="15.75" customHeight="1">
      <c r="Q728" s="15">
        <f t="shared" si="18"/>
        <v>0</v>
      </c>
      <c r="W728" s="22">
        <f t="shared" si="24"/>
        <v>0</v>
      </c>
      <c r="X728" s="19">
        <f t="shared" si="25"/>
        <v>0</v>
      </c>
    </row>
    <row r="729" ht="15.75" customHeight="1">
      <c r="Q729" s="15">
        <f t="shared" si="18"/>
        <v>0</v>
      </c>
      <c r="W729" s="22">
        <f t="shared" si="24"/>
        <v>0</v>
      </c>
      <c r="X729" s="19">
        <f t="shared" si="25"/>
        <v>0</v>
      </c>
    </row>
    <row r="730" ht="15.75" customHeight="1">
      <c r="Q730" s="15">
        <f t="shared" si="18"/>
        <v>0</v>
      </c>
      <c r="W730" s="22">
        <f t="shared" si="24"/>
        <v>0</v>
      </c>
      <c r="X730" s="19">
        <f t="shared" si="25"/>
        <v>0</v>
      </c>
    </row>
    <row r="731" ht="15.75" customHeight="1">
      <c r="Q731" s="15">
        <f t="shared" si="18"/>
        <v>0</v>
      </c>
      <c r="W731" s="22">
        <f t="shared" si="24"/>
        <v>0</v>
      </c>
      <c r="X731" s="19">
        <f t="shared" si="25"/>
        <v>0</v>
      </c>
    </row>
    <row r="732" ht="15.75" customHeight="1">
      <c r="Q732" s="15">
        <f t="shared" si="18"/>
        <v>0</v>
      </c>
      <c r="W732" s="22">
        <f t="shared" si="24"/>
        <v>0</v>
      </c>
      <c r="X732" s="19">
        <f t="shared" si="25"/>
        <v>0</v>
      </c>
    </row>
    <row r="733" ht="15.75" customHeight="1">
      <c r="Q733" s="15">
        <f t="shared" si="18"/>
        <v>0</v>
      </c>
      <c r="W733" s="22">
        <f t="shared" si="24"/>
        <v>0</v>
      </c>
      <c r="X733" s="19">
        <f t="shared" si="25"/>
        <v>0</v>
      </c>
    </row>
    <row r="734" ht="15.75" customHeight="1">
      <c r="Q734" s="15">
        <f t="shared" si="18"/>
        <v>0</v>
      </c>
      <c r="W734" s="22">
        <f t="shared" si="24"/>
        <v>0</v>
      </c>
      <c r="X734" s="19">
        <f t="shared" si="25"/>
        <v>0</v>
      </c>
    </row>
    <row r="735" ht="15.75" customHeight="1">
      <c r="Q735" s="15">
        <f t="shared" si="18"/>
        <v>0</v>
      </c>
      <c r="W735" s="22">
        <f t="shared" si="24"/>
        <v>0</v>
      </c>
      <c r="X735" s="19">
        <f t="shared" si="25"/>
        <v>0</v>
      </c>
    </row>
    <row r="736" ht="15.75" customHeight="1">
      <c r="Q736" s="15">
        <f t="shared" si="18"/>
        <v>0</v>
      </c>
      <c r="W736" s="22">
        <f t="shared" si="24"/>
        <v>0</v>
      </c>
      <c r="X736" s="19">
        <f t="shared" si="25"/>
        <v>0</v>
      </c>
    </row>
    <row r="737" ht="15.75" customHeight="1">
      <c r="Q737" s="15">
        <f t="shared" si="18"/>
        <v>0</v>
      </c>
      <c r="W737" s="22">
        <f t="shared" si="24"/>
        <v>0</v>
      </c>
      <c r="X737" s="19">
        <f t="shared" si="25"/>
        <v>0</v>
      </c>
    </row>
    <row r="738" ht="15.75" customHeight="1">
      <c r="Q738" s="15">
        <f t="shared" si="18"/>
        <v>0</v>
      </c>
      <c r="W738" s="22">
        <f t="shared" si="24"/>
        <v>0</v>
      </c>
      <c r="X738" s="19">
        <f t="shared" si="25"/>
        <v>0</v>
      </c>
    </row>
    <row r="739" ht="15.75" customHeight="1">
      <c r="Q739" s="15">
        <f t="shared" si="18"/>
        <v>0</v>
      </c>
      <c r="W739" s="22">
        <f t="shared" si="24"/>
        <v>0</v>
      </c>
      <c r="X739" s="19">
        <f t="shared" si="25"/>
        <v>0</v>
      </c>
    </row>
    <row r="740" ht="15.75" customHeight="1">
      <c r="Q740" s="15">
        <f t="shared" si="18"/>
        <v>0</v>
      </c>
      <c r="W740" s="22">
        <f t="shared" si="24"/>
        <v>0</v>
      </c>
      <c r="X740" s="19">
        <f t="shared" si="25"/>
        <v>0</v>
      </c>
    </row>
    <row r="741" ht="15.75" customHeight="1">
      <c r="Q741" s="15">
        <f t="shared" si="18"/>
        <v>0</v>
      </c>
      <c r="W741" s="22">
        <f t="shared" si="24"/>
        <v>0</v>
      </c>
      <c r="X741" s="19">
        <f t="shared" si="25"/>
        <v>0</v>
      </c>
    </row>
    <row r="742" ht="15.75" customHeight="1">
      <c r="Q742" s="15">
        <f t="shared" si="18"/>
        <v>0</v>
      </c>
      <c r="W742" s="22">
        <f t="shared" si="24"/>
        <v>0</v>
      </c>
      <c r="X742" s="19">
        <f t="shared" si="25"/>
        <v>0</v>
      </c>
    </row>
    <row r="743" ht="15.75" customHeight="1">
      <c r="Q743" s="15">
        <f t="shared" si="18"/>
        <v>0</v>
      </c>
      <c r="W743" s="22">
        <f t="shared" si="24"/>
        <v>0</v>
      </c>
      <c r="X743" s="19">
        <f t="shared" si="25"/>
        <v>0</v>
      </c>
    </row>
    <row r="744" ht="15.75" customHeight="1">
      <c r="Q744" s="15">
        <f t="shared" si="18"/>
        <v>0</v>
      </c>
      <c r="W744" s="22">
        <f t="shared" si="24"/>
        <v>0</v>
      </c>
      <c r="X744" s="19">
        <f t="shared" si="25"/>
        <v>0</v>
      </c>
    </row>
    <row r="745" ht="15.75" customHeight="1">
      <c r="Q745" s="15">
        <f t="shared" si="18"/>
        <v>0</v>
      </c>
      <c r="W745" s="22">
        <f t="shared" si="24"/>
        <v>0</v>
      </c>
      <c r="X745" s="19">
        <f t="shared" si="25"/>
        <v>0</v>
      </c>
    </row>
    <row r="746" ht="15.75" customHeight="1">
      <c r="Q746" s="15">
        <f t="shared" si="18"/>
        <v>0</v>
      </c>
      <c r="W746" s="22">
        <f t="shared" si="24"/>
        <v>0</v>
      </c>
      <c r="X746" s="19">
        <f t="shared" si="25"/>
        <v>0</v>
      </c>
    </row>
    <row r="747" ht="15.75" customHeight="1">
      <c r="Q747" s="15">
        <f t="shared" si="18"/>
        <v>0</v>
      </c>
      <c r="W747" s="22">
        <f t="shared" si="24"/>
        <v>0</v>
      </c>
      <c r="X747" s="19">
        <f t="shared" si="25"/>
        <v>0</v>
      </c>
    </row>
    <row r="748" ht="15.75" customHeight="1">
      <c r="Q748" s="15">
        <f t="shared" si="18"/>
        <v>0</v>
      </c>
      <c r="W748" s="22">
        <f t="shared" si="24"/>
        <v>0</v>
      </c>
      <c r="X748" s="19">
        <f t="shared" si="25"/>
        <v>0</v>
      </c>
    </row>
    <row r="749" ht="15.75" customHeight="1">
      <c r="Q749" s="15">
        <f t="shared" si="18"/>
        <v>0</v>
      </c>
      <c r="W749" s="22">
        <f t="shared" si="24"/>
        <v>0</v>
      </c>
      <c r="X749" s="19">
        <f t="shared" si="25"/>
        <v>0</v>
      </c>
    </row>
    <row r="750" ht="15.75" customHeight="1">
      <c r="Q750" s="15">
        <f t="shared" si="18"/>
        <v>0</v>
      </c>
      <c r="W750" s="22">
        <f t="shared" si="24"/>
        <v>0</v>
      </c>
      <c r="X750" s="19">
        <f t="shared" si="25"/>
        <v>0</v>
      </c>
    </row>
    <row r="751" ht="15.75" customHeight="1">
      <c r="Q751" s="15">
        <f t="shared" si="18"/>
        <v>0</v>
      </c>
      <c r="W751" s="22">
        <f t="shared" si="24"/>
        <v>0</v>
      </c>
      <c r="X751" s="19">
        <f t="shared" si="25"/>
        <v>0</v>
      </c>
    </row>
    <row r="752" ht="15.75" customHeight="1">
      <c r="Q752" s="15">
        <f t="shared" si="18"/>
        <v>0</v>
      </c>
      <c r="W752" s="22">
        <f t="shared" si="24"/>
        <v>0</v>
      </c>
      <c r="X752" s="19">
        <f t="shared" si="25"/>
        <v>0</v>
      </c>
    </row>
    <row r="753" ht="15.75" customHeight="1">
      <c r="Q753" s="15">
        <f t="shared" si="18"/>
        <v>0</v>
      </c>
      <c r="W753" s="22">
        <f t="shared" si="24"/>
        <v>0</v>
      </c>
      <c r="X753" s="19">
        <f t="shared" si="25"/>
        <v>0</v>
      </c>
    </row>
    <row r="754" ht="15.75" customHeight="1">
      <c r="Q754" s="15">
        <f t="shared" si="18"/>
        <v>0</v>
      </c>
      <c r="W754" s="22">
        <f t="shared" si="24"/>
        <v>0</v>
      </c>
      <c r="X754" s="19">
        <f t="shared" si="25"/>
        <v>0</v>
      </c>
    </row>
    <row r="755" ht="15.75" customHeight="1">
      <c r="Q755" s="15">
        <f t="shared" si="18"/>
        <v>0</v>
      </c>
      <c r="W755" s="22">
        <f t="shared" si="24"/>
        <v>0</v>
      </c>
      <c r="X755" s="19">
        <f t="shared" si="25"/>
        <v>0</v>
      </c>
    </row>
    <row r="756" ht="15.75" customHeight="1">
      <c r="Q756" s="15">
        <f t="shared" si="18"/>
        <v>0</v>
      </c>
      <c r="W756" s="22">
        <f t="shared" si="24"/>
        <v>0</v>
      </c>
      <c r="X756" s="19">
        <f t="shared" si="25"/>
        <v>0</v>
      </c>
    </row>
    <row r="757" ht="15.75" customHeight="1">
      <c r="Q757" s="15">
        <f t="shared" si="18"/>
        <v>0</v>
      </c>
      <c r="W757" s="22">
        <f t="shared" si="24"/>
        <v>0</v>
      </c>
      <c r="X757" s="19">
        <f t="shared" si="25"/>
        <v>0</v>
      </c>
    </row>
    <row r="758" ht="15.75" customHeight="1">
      <c r="Q758" s="15">
        <f t="shared" si="18"/>
        <v>0</v>
      </c>
      <c r="W758" s="22">
        <f t="shared" si="24"/>
        <v>0</v>
      </c>
      <c r="X758" s="19">
        <f t="shared" si="25"/>
        <v>0</v>
      </c>
    </row>
    <row r="759" ht="15.75" customHeight="1">
      <c r="Q759" s="15">
        <f t="shared" si="18"/>
        <v>0</v>
      </c>
      <c r="W759" s="22">
        <f t="shared" si="24"/>
        <v>0</v>
      </c>
      <c r="X759" s="19">
        <f t="shared" si="25"/>
        <v>0</v>
      </c>
    </row>
    <row r="760" ht="15.75" customHeight="1">
      <c r="Q760" s="15">
        <f t="shared" si="18"/>
        <v>0</v>
      </c>
      <c r="W760" s="22">
        <f t="shared" si="24"/>
        <v>0</v>
      </c>
      <c r="X760" s="19">
        <f t="shared" si="25"/>
        <v>0</v>
      </c>
    </row>
    <row r="761" ht="15.75" customHeight="1">
      <c r="Q761" s="15">
        <f t="shared" si="18"/>
        <v>0</v>
      </c>
      <c r="W761" s="22">
        <f t="shared" si="24"/>
        <v>0</v>
      </c>
      <c r="X761" s="19">
        <f t="shared" si="25"/>
        <v>0</v>
      </c>
    </row>
    <row r="762" ht="15.75" customHeight="1">
      <c r="Q762" s="15">
        <f t="shared" si="18"/>
        <v>0</v>
      </c>
      <c r="W762" s="22">
        <f t="shared" si="24"/>
        <v>0</v>
      </c>
      <c r="X762" s="19">
        <f t="shared" si="25"/>
        <v>0</v>
      </c>
    </row>
    <row r="763" ht="15.75" customHeight="1">
      <c r="Q763" s="15">
        <f t="shared" si="18"/>
        <v>0</v>
      </c>
      <c r="W763" s="22">
        <f t="shared" si="24"/>
        <v>0</v>
      </c>
      <c r="X763" s="19">
        <f t="shared" si="25"/>
        <v>0</v>
      </c>
    </row>
    <row r="764" ht="15.75" customHeight="1">
      <c r="Q764" s="15">
        <f t="shared" si="18"/>
        <v>0</v>
      </c>
      <c r="W764" s="22">
        <f t="shared" si="24"/>
        <v>0</v>
      </c>
      <c r="X764" s="19">
        <f t="shared" si="25"/>
        <v>0</v>
      </c>
    </row>
    <row r="765" ht="15.75" customHeight="1">
      <c r="Q765" s="15">
        <f t="shared" si="18"/>
        <v>0</v>
      </c>
      <c r="W765" s="22">
        <f t="shared" si="24"/>
        <v>0</v>
      </c>
      <c r="X765" s="19">
        <f t="shared" si="25"/>
        <v>0</v>
      </c>
    </row>
    <row r="766" ht="15.75" customHeight="1">
      <c r="Q766" s="15">
        <f t="shared" si="18"/>
        <v>0</v>
      </c>
      <c r="W766" s="22">
        <f t="shared" si="24"/>
        <v>0</v>
      </c>
      <c r="X766" s="19">
        <f t="shared" si="25"/>
        <v>0</v>
      </c>
    </row>
    <row r="767" ht="15.75" customHeight="1">
      <c r="Q767" s="15">
        <f t="shared" si="18"/>
        <v>0</v>
      </c>
      <c r="W767" s="22">
        <f t="shared" si="24"/>
        <v>0</v>
      </c>
      <c r="X767" s="19">
        <f t="shared" si="25"/>
        <v>0</v>
      </c>
    </row>
    <row r="768" ht="15.75" customHeight="1">
      <c r="Q768" s="15">
        <f t="shared" si="18"/>
        <v>0</v>
      </c>
      <c r="W768" s="22">
        <f t="shared" si="24"/>
        <v>0</v>
      </c>
      <c r="X768" s="19">
        <f t="shared" si="25"/>
        <v>0</v>
      </c>
    </row>
    <row r="769" ht="15.75" customHeight="1">
      <c r="Q769" s="15">
        <f t="shared" si="18"/>
        <v>0</v>
      </c>
      <c r="W769" s="22">
        <f t="shared" si="24"/>
        <v>0</v>
      </c>
      <c r="X769" s="19">
        <f t="shared" si="25"/>
        <v>0</v>
      </c>
    </row>
    <row r="770" ht="15.75" customHeight="1">
      <c r="Q770" s="15">
        <f t="shared" si="18"/>
        <v>0</v>
      </c>
      <c r="W770" s="22">
        <f t="shared" si="24"/>
        <v>0</v>
      </c>
      <c r="X770" s="19">
        <f t="shared" si="25"/>
        <v>0</v>
      </c>
    </row>
    <row r="771" ht="15.75" customHeight="1">
      <c r="Q771" s="15">
        <f t="shared" si="18"/>
        <v>0</v>
      </c>
      <c r="W771" s="22">
        <f t="shared" si="24"/>
        <v>0</v>
      </c>
      <c r="X771" s="19">
        <f t="shared" si="25"/>
        <v>0</v>
      </c>
    </row>
    <row r="772" ht="15.75" customHeight="1">
      <c r="Q772" s="15">
        <f t="shared" si="18"/>
        <v>0</v>
      </c>
      <c r="W772" s="22">
        <f t="shared" si="24"/>
        <v>0</v>
      </c>
      <c r="X772" s="19">
        <f t="shared" si="25"/>
        <v>0</v>
      </c>
    </row>
    <row r="773" ht="15.75" customHeight="1">
      <c r="Q773" s="15">
        <f t="shared" si="18"/>
        <v>0</v>
      </c>
      <c r="W773" s="22">
        <f t="shared" si="24"/>
        <v>0</v>
      </c>
      <c r="X773" s="19">
        <f t="shared" si="25"/>
        <v>0</v>
      </c>
    </row>
    <row r="774" ht="15.75" customHeight="1">
      <c r="Q774" s="15">
        <f t="shared" si="18"/>
        <v>0</v>
      </c>
      <c r="W774" s="22">
        <f t="shared" si="24"/>
        <v>0</v>
      </c>
      <c r="X774" s="19">
        <f t="shared" si="25"/>
        <v>0</v>
      </c>
    </row>
    <row r="775" ht="15.75" customHeight="1">
      <c r="Q775" s="15">
        <f t="shared" si="18"/>
        <v>0</v>
      </c>
      <c r="W775" s="22">
        <f t="shared" si="24"/>
        <v>0</v>
      </c>
      <c r="X775" s="19">
        <f t="shared" si="25"/>
        <v>0</v>
      </c>
    </row>
    <row r="776" ht="15.75" customHeight="1">
      <c r="Q776" s="15">
        <f t="shared" si="18"/>
        <v>0</v>
      </c>
      <c r="W776" s="22">
        <f t="shared" si="24"/>
        <v>0</v>
      </c>
      <c r="X776" s="19">
        <f t="shared" si="25"/>
        <v>0</v>
      </c>
    </row>
    <row r="777" ht="15.75" customHeight="1">
      <c r="Q777" s="15">
        <f t="shared" si="18"/>
        <v>0</v>
      </c>
      <c r="W777" s="22">
        <f t="shared" si="24"/>
        <v>0</v>
      </c>
      <c r="X777" s="19">
        <f t="shared" si="25"/>
        <v>0</v>
      </c>
    </row>
    <row r="778" ht="15.75" customHeight="1">
      <c r="Q778" s="15">
        <f t="shared" si="18"/>
        <v>0</v>
      </c>
      <c r="W778" s="22">
        <f t="shared" si="24"/>
        <v>0</v>
      </c>
      <c r="X778" s="19">
        <f t="shared" si="25"/>
        <v>0</v>
      </c>
    </row>
    <row r="779" ht="15.75" customHeight="1">
      <c r="Q779" s="15">
        <f t="shared" si="18"/>
        <v>0</v>
      </c>
      <c r="W779" s="22">
        <f t="shared" si="24"/>
        <v>0</v>
      </c>
      <c r="X779" s="19">
        <f t="shared" si="25"/>
        <v>0</v>
      </c>
    </row>
    <row r="780" ht="15.75" customHeight="1">
      <c r="Q780" s="15">
        <f t="shared" si="18"/>
        <v>0</v>
      </c>
      <c r="W780" s="22">
        <f t="shared" si="24"/>
        <v>0</v>
      </c>
      <c r="X780" s="19">
        <f t="shared" si="25"/>
        <v>0</v>
      </c>
    </row>
    <row r="781" ht="15.75" customHeight="1">
      <c r="Q781" s="15">
        <f t="shared" si="18"/>
        <v>0</v>
      </c>
      <c r="W781" s="22">
        <f t="shared" si="24"/>
        <v>0</v>
      </c>
      <c r="X781" s="19">
        <f t="shared" si="25"/>
        <v>0</v>
      </c>
    </row>
    <row r="782" ht="15.75" customHeight="1">
      <c r="Q782" s="15">
        <f t="shared" si="18"/>
        <v>0</v>
      </c>
      <c r="W782" s="22">
        <f t="shared" si="24"/>
        <v>0</v>
      </c>
      <c r="X782" s="19">
        <f t="shared" si="25"/>
        <v>0</v>
      </c>
    </row>
    <row r="783" ht="15.75" customHeight="1">
      <c r="Q783" s="15">
        <f t="shared" si="18"/>
        <v>0</v>
      </c>
      <c r="W783" s="22">
        <f t="shared" si="24"/>
        <v>0</v>
      </c>
      <c r="X783" s="19">
        <f t="shared" si="25"/>
        <v>0</v>
      </c>
    </row>
    <row r="784" ht="15.75" customHeight="1">
      <c r="Q784" s="15">
        <f t="shared" si="18"/>
        <v>0</v>
      </c>
      <c r="W784" s="22">
        <f t="shared" si="24"/>
        <v>0</v>
      </c>
      <c r="X784" s="19">
        <f t="shared" si="25"/>
        <v>0</v>
      </c>
    </row>
    <row r="785" ht="15.75" customHeight="1">
      <c r="Q785" s="15">
        <f t="shared" si="18"/>
        <v>0</v>
      </c>
      <c r="W785" s="22">
        <f t="shared" si="24"/>
        <v>0</v>
      </c>
      <c r="X785" s="19">
        <f t="shared" si="25"/>
        <v>0</v>
      </c>
    </row>
    <row r="786" ht="15.75" customHeight="1">
      <c r="Q786" s="15">
        <f t="shared" si="18"/>
        <v>0</v>
      </c>
      <c r="W786" s="22">
        <f t="shared" si="24"/>
        <v>0</v>
      </c>
      <c r="X786" s="19">
        <f t="shared" si="25"/>
        <v>0</v>
      </c>
    </row>
    <row r="787" ht="15.75" customHeight="1">
      <c r="Q787" s="15">
        <f t="shared" si="18"/>
        <v>0</v>
      </c>
      <c r="W787" s="22">
        <f t="shared" si="24"/>
        <v>0</v>
      </c>
      <c r="X787" s="19">
        <f t="shared" si="25"/>
        <v>0</v>
      </c>
    </row>
    <row r="788" ht="15.75" customHeight="1">
      <c r="Q788" s="15">
        <f t="shared" si="18"/>
        <v>0</v>
      </c>
      <c r="W788" s="22">
        <f t="shared" si="24"/>
        <v>0</v>
      </c>
      <c r="X788" s="19">
        <f t="shared" si="25"/>
        <v>0</v>
      </c>
    </row>
    <row r="789" ht="15.75" customHeight="1">
      <c r="Q789" s="15">
        <f t="shared" si="18"/>
        <v>0</v>
      </c>
      <c r="W789" s="22">
        <f t="shared" si="24"/>
        <v>0</v>
      </c>
      <c r="X789" s="19">
        <f t="shared" si="25"/>
        <v>0</v>
      </c>
    </row>
    <row r="790" ht="15.75" customHeight="1">
      <c r="Q790" s="15">
        <f t="shared" si="18"/>
        <v>0</v>
      </c>
      <c r="W790" s="22">
        <f t="shared" si="24"/>
        <v>0</v>
      </c>
      <c r="X790" s="19">
        <f t="shared" si="25"/>
        <v>0</v>
      </c>
    </row>
    <row r="791" ht="15.75" customHeight="1">
      <c r="Q791" s="15">
        <f t="shared" si="18"/>
        <v>0</v>
      </c>
      <c r="W791" s="22">
        <f t="shared" si="24"/>
        <v>0</v>
      </c>
      <c r="X791" s="19">
        <f t="shared" si="25"/>
        <v>0</v>
      </c>
    </row>
    <row r="792" ht="15.75" customHeight="1">
      <c r="Q792" s="15">
        <f t="shared" si="18"/>
        <v>0</v>
      </c>
      <c r="W792" s="22">
        <f t="shared" si="24"/>
        <v>0</v>
      </c>
      <c r="X792" s="19">
        <f t="shared" si="25"/>
        <v>0</v>
      </c>
    </row>
    <row r="793" ht="15.75" customHeight="1">
      <c r="Q793" s="15">
        <f t="shared" si="18"/>
        <v>0</v>
      </c>
      <c r="W793" s="22">
        <f t="shared" si="24"/>
        <v>0</v>
      </c>
      <c r="X793" s="19">
        <f t="shared" si="25"/>
        <v>0</v>
      </c>
    </row>
    <row r="794" ht="15.75" customHeight="1">
      <c r="Q794" s="15">
        <f t="shared" si="18"/>
        <v>0</v>
      </c>
      <c r="W794" s="22">
        <f t="shared" si="24"/>
        <v>0</v>
      </c>
      <c r="X794" s="19">
        <f t="shared" si="25"/>
        <v>0</v>
      </c>
    </row>
    <row r="795" ht="15.75" customHeight="1">
      <c r="Q795" s="15">
        <f t="shared" si="18"/>
        <v>0</v>
      </c>
      <c r="W795" s="22">
        <f t="shared" si="24"/>
        <v>0</v>
      </c>
      <c r="X795" s="19">
        <f t="shared" si="25"/>
        <v>0</v>
      </c>
    </row>
    <row r="796" ht="15.75" customHeight="1">
      <c r="Q796" s="15">
        <f t="shared" si="18"/>
        <v>0</v>
      </c>
      <c r="W796" s="22">
        <f t="shared" si="24"/>
        <v>0</v>
      </c>
      <c r="X796" s="19">
        <f t="shared" si="25"/>
        <v>0</v>
      </c>
    </row>
    <row r="797" ht="15.75" customHeight="1">
      <c r="Q797" s="15">
        <f t="shared" si="18"/>
        <v>0</v>
      </c>
      <c r="W797" s="22">
        <f t="shared" si="24"/>
        <v>0</v>
      </c>
      <c r="X797" s="19">
        <f t="shared" si="25"/>
        <v>0</v>
      </c>
    </row>
    <row r="798" ht="15.75" customHeight="1">
      <c r="Q798" s="15">
        <f t="shared" si="18"/>
        <v>0</v>
      </c>
      <c r="W798" s="22">
        <f t="shared" si="24"/>
        <v>0</v>
      </c>
      <c r="X798" s="19">
        <f t="shared" si="25"/>
        <v>0</v>
      </c>
    </row>
    <row r="799" ht="15.75" customHeight="1">
      <c r="Q799" s="15">
        <f t="shared" si="18"/>
        <v>0</v>
      </c>
      <c r="W799" s="22">
        <f t="shared" si="24"/>
        <v>0</v>
      </c>
      <c r="X799" s="19">
        <f t="shared" si="25"/>
        <v>0</v>
      </c>
    </row>
    <row r="800" ht="15.75" customHeight="1">
      <c r="Q800" s="15">
        <f t="shared" si="18"/>
        <v>0</v>
      </c>
      <c r="W800" s="22">
        <f t="shared" si="24"/>
        <v>0</v>
      </c>
      <c r="X800" s="19">
        <f t="shared" si="25"/>
        <v>0</v>
      </c>
    </row>
    <row r="801" ht="15.75" customHeight="1">
      <c r="Q801" s="15">
        <f t="shared" si="18"/>
        <v>0</v>
      </c>
      <c r="W801" s="22">
        <f t="shared" si="24"/>
        <v>0</v>
      </c>
      <c r="X801" s="19">
        <f t="shared" si="25"/>
        <v>0</v>
      </c>
    </row>
    <row r="802" ht="15.75" customHeight="1">
      <c r="Q802" s="15">
        <f t="shared" si="18"/>
        <v>0</v>
      </c>
      <c r="W802" s="22">
        <f t="shared" si="24"/>
        <v>0</v>
      </c>
      <c r="X802" s="19">
        <f t="shared" si="25"/>
        <v>0</v>
      </c>
    </row>
    <row r="803" ht="15.75" customHeight="1">
      <c r="Q803" s="15">
        <f t="shared" si="18"/>
        <v>0</v>
      </c>
      <c r="W803" s="22">
        <f t="shared" si="24"/>
        <v>0</v>
      </c>
      <c r="X803" s="19">
        <f t="shared" si="25"/>
        <v>0</v>
      </c>
    </row>
    <row r="804" ht="15.75" customHeight="1">
      <c r="Q804" s="15">
        <f t="shared" si="18"/>
        <v>0</v>
      </c>
      <c r="W804" s="22">
        <f t="shared" si="24"/>
        <v>0</v>
      </c>
      <c r="X804" s="19">
        <f t="shared" si="25"/>
        <v>0</v>
      </c>
    </row>
    <row r="805" ht="15.75" customHeight="1">
      <c r="Q805" s="15">
        <f t="shared" si="18"/>
        <v>0</v>
      </c>
      <c r="W805" s="22">
        <f t="shared" si="24"/>
        <v>0</v>
      </c>
      <c r="X805" s="19">
        <f t="shared" si="25"/>
        <v>0</v>
      </c>
    </row>
    <row r="806" ht="15.75" customHeight="1">
      <c r="Q806" s="15">
        <f t="shared" si="18"/>
        <v>0</v>
      </c>
      <c r="W806" s="22">
        <f t="shared" si="24"/>
        <v>0</v>
      </c>
      <c r="X806" s="19">
        <f t="shared" si="25"/>
        <v>0</v>
      </c>
    </row>
    <row r="807" ht="15.75" customHeight="1">
      <c r="Q807" s="15">
        <f t="shared" si="18"/>
        <v>0</v>
      </c>
      <c r="W807" s="22">
        <f t="shared" si="24"/>
        <v>0</v>
      </c>
      <c r="X807" s="19">
        <f t="shared" si="25"/>
        <v>0</v>
      </c>
    </row>
    <row r="808" ht="15.75" customHeight="1">
      <c r="Q808" s="15">
        <f t="shared" si="18"/>
        <v>0</v>
      </c>
      <c r="W808" s="22">
        <f t="shared" si="24"/>
        <v>0</v>
      </c>
      <c r="X808" s="19">
        <f t="shared" si="25"/>
        <v>0</v>
      </c>
    </row>
    <row r="809" ht="15.75" customHeight="1">
      <c r="Q809" s="15">
        <f t="shared" si="18"/>
        <v>0</v>
      </c>
      <c r="W809" s="22">
        <f t="shared" si="24"/>
        <v>0</v>
      </c>
      <c r="X809" s="19">
        <f t="shared" si="25"/>
        <v>0</v>
      </c>
    </row>
    <row r="810" ht="15.75" customHeight="1">
      <c r="Q810" s="15">
        <f t="shared" si="18"/>
        <v>0</v>
      </c>
      <c r="W810" s="22">
        <f t="shared" si="24"/>
        <v>0</v>
      </c>
      <c r="X810" s="19">
        <f t="shared" si="25"/>
        <v>0</v>
      </c>
    </row>
    <row r="811" ht="15.75" customHeight="1">
      <c r="Q811" s="15">
        <f t="shared" si="18"/>
        <v>0</v>
      </c>
      <c r="W811" s="22">
        <f t="shared" si="24"/>
        <v>0</v>
      </c>
      <c r="X811" s="19">
        <f t="shared" si="25"/>
        <v>0</v>
      </c>
    </row>
    <row r="812" ht="15.75" customHeight="1">
      <c r="Q812" s="15">
        <f t="shared" si="18"/>
        <v>0</v>
      </c>
      <c r="W812" s="22">
        <f t="shared" si="24"/>
        <v>0</v>
      </c>
      <c r="X812" s="19">
        <f t="shared" si="25"/>
        <v>0</v>
      </c>
    </row>
    <row r="813" ht="15.75" customHeight="1">
      <c r="Q813" s="15">
        <f t="shared" si="18"/>
        <v>0</v>
      </c>
      <c r="W813" s="22">
        <f t="shared" si="24"/>
        <v>0</v>
      </c>
      <c r="X813" s="19">
        <f t="shared" si="25"/>
        <v>0</v>
      </c>
    </row>
    <row r="814" ht="15.75" customHeight="1">
      <c r="Q814" s="15">
        <f t="shared" si="18"/>
        <v>0</v>
      </c>
      <c r="W814" s="22">
        <f t="shared" si="24"/>
        <v>0</v>
      </c>
      <c r="X814" s="19">
        <f t="shared" si="25"/>
        <v>0</v>
      </c>
    </row>
    <row r="815" ht="15.75" customHeight="1">
      <c r="Q815" s="15">
        <f t="shared" si="18"/>
        <v>0</v>
      </c>
      <c r="W815" s="22">
        <f t="shared" si="24"/>
        <v>0</v>
      </c>
      <c r="X815" s="19">
        <f t="shared" si="25"/>
        <v>0</v>
      </c>
    </row>
    <row r="816" ht="15.75" customHeight="1">
      <c r="Q816" s="15">
        <f t="shared" si="18"/>
        <v>0</v>
      </c>
      <c r="W816" s="22">
        <f t="shared" si="24"/>
        <v>0</v>
      </c>
      <c r="X816" s="19">
        <f t="shared" si="25"/>
        <v>0</v>
      </c>
    </row>
    <row r="817" ht="15.75" customHeight="1">
      <c r="Q817" s="15">
        <f t="shared" si="18"/>
        <v>0</v>
      </c>
      <c r="W817" s="22">
        <f t="shared" si="24"/>
        <v>0</v>
      </c>
      <c r="X817" s="19">
        <f t="shared" si="25"/>
        <v>0</v>
      </c>
    </row>
    <row r="818" ht="15.75" customHeight="1">
      <c r="Q818" s="15">
        <f t="shared" si="18"/>
        <v>0</v>
      </c>
      <c r="W818" s="22">
        <f t="shared" si="24"/>
        <v>0</v>
      </c>
      <c r="X818" s="19">
        <f t="shared" si="25"/>
        <v>0</v>
      </c>
    </row>
    <row r="819" ht="15.75" customHeight="1">
      <c r="Q819" s="15">
        <f t="shared" si="18"/>
        <v>0</v>
      </c>
      <c r="W819" s="22">
        <f t="shared" si="24"/>
        <v>0</v>
      </c>
      <c r="X819" s="19">
        <f t="shared" si="25"/>
        <v>0</v>
      </c>
    </row>
    <row r="820" ht="15.75" customHeight="1">
      <c r="Q820" s="15">
        <f t="shared" si="18"/>
        <v>0</v>
      </c>
      <c r="W820" s="22">
        <f t="shared" si="24"/>
        <v>0</v>
      </c>
      <c r="X820" s="19">
        <f t="shared" si="25"/>
        <v>0</v>
      </c>
    </row>
    <row r="821" ht="15.75" customHeight="1">
      <c r="Q821" s="15">
        <f t="shared" si="18"/>
        <v>0</v>
      </c>
      <c r="W821" s="22">
        <f t="shared" si="24"/>
        <v>0</v>
      </c>
      <c r="X821" s="19">
        <f t="shared" si="25"/>
        <v>0</v>
      </c>
    </row>
    <row r="822" ht="15.75" customHeight="1">
      <c r="Q822" s="15">
        <f t="shared" si="18"/>
        <v>0</v>
      </c>
      <c r="W822" s="22">
        <f t="shared" si="24"/>
        <v>0</v>
      </c>
      <c r="X822" s="19">
        <f t="shared" si="25"/>
        <v>0</v>
      </c>
    </row>
    <row r="823" ht="15.75" customHeight="1">
      <c r="Q823" s="15">
        <f t="shared" si="18"/>
        <v>0</v>
      </c>
      <c r="W823" s="22">
        <f t="shared" si="24"/>
        <v>0</v>
      </c>
      <c r="X823" s="19">
        <f t="shared" si="25"/>
        <v>0</v>
      </c>
    </row>
    <row r="824" ht="15.75" customHeight="1">
      <c r="Q824" s="15">
        <f t="shared" si="18"/>
        <v>0</v>
      </c>
      <c r="W824" s="22">
        <f t="shared" si="24"/>
        <v>0</v>
      </c>
      <c r="X824" s="19">
        <f t="shared" si="25"/>
        <v>0</v>
      </c>
    </row>
    <row r="825" ht="15.75" customHeight="1">
      <c r="Q825" s="15">
        <f t="shared" si="18"/>
        <v>0</v>
      </c>
      <c r="W825" s="22">
        <f t="shared" si="24"/>
        <v>0</v>
      </c>
      <c r="X825" s="19">
        <f t="shared" si="25"/>
        <v>0</v>
      </c>
    </row>
    <row r="826" ht="15.75" customHeight="1">
      <c r="Q826" s="15">
        <f t="shared" si="18"/>
        <v>0</v>
      </c>
      <c r="W826" s="22">
        <f t="shared" si="24"/>
        <v>0</v>
      </c>
      <c r="X826" s="19">
        <f t="shared" si="25"/>
        <v>0</v>
      </c>
    </row>
    <row r="827" ht="15.75" customHeight="1">
      <c r="Q827" s="15">
        <f t="shared" si="18"/>
        <v>0</v>
      </c>
      <c r="W827" s="22">
        <f t="shared" si="24"/>
        <v>0</v>
      </c>
      <c r="X827" s="19">
        <f t="shared" si="25"/>
        <v>0</v>
      </c>
    </row>
    <row r="828" ht="15.75" customHeight="1">
      <c r="Q828" s="15">
        <f t="shared" si="18"/>
        <v>0</v>
      </c>
      <c r="W828" s="22">
        <f t="shared" si="24"/>
        <v>0</v>
      </c>
      <c r="X828" s="19">
        <f t="shared" si="25"/>
        <v>0</v>
      </c>
    </row>
    <row r="829" ht="15.75" customHeight="1">
      <c r="Q829" s="15">
        <f t="shared" si="18"/>
        <v>0</v>
      </c>
      <c r="W829" s="22">
        <f t="shared" si="24"/>
        <v>0</v>
      </c>
      <c r="X829" s="19">
        <f t="shared" si="25"/>
        <v>0</v>
      </c>
    </row>
    <row r="830" ht="15.75" customHeight="1">
      <c r="Q830" s="15">
        <f t="shared" si="18"/>
        <v>0</v>
      </c>
      <c r="W830" s="22">
        <f t="shared" si="24"/>
        <v>0</v>
      </c>
      <c r="X830" s="19">
        <f t="shared" si="25"/>
        <v>0</v>
      </c>
    </row>
    <row r="831" ht="15.75" customHeight="1">
      <c r="Q831" s="15">
        <f t="shared" si="18"/>
        <v>0</v>
      </c>
      <c r="W831" s="22">
        <f t="shared" si="24"/>
        <v>0</v>
      </c>
      <c r="X831" s="19">
        <f t="shared" si="25"/>
        <v>0</v>
      </c>
    </row>
    <row r="832" ht="15.75" customHeight="1">
      <c r="Q832" s="15">
        <f t="shared" si="18"/>
        <v>0</v>
      </c>
      <c r="W832" s="22">
        <f t="shared" si="24"/>
        <v>0</v>
      </c>
      <c r="X832" s="19">
        <f t="shared" si="25"/>
        <v>0</v>
      </c>
    </row>
    <row r="833" ht="15.75" customHeight="1">
      <c r="Q833" s="15">
        <f t="shared" si="18"/>
        <v>0</v>
      </c>
      <c r="W833" s="22">
        <f t="shared" si="24"/>
        <v>0</v>
      </c>
      <c r="X833" s="19">
        <f t="shared" si="25"/>
        <v>0</v>
      </c>
    </row>
    <row r="834" ht="15.75" customHeight="1">
      <c r="Q834" s="15">
        <f t="shared" si="18"/>
        <v>0</v>
      </c>
      <c r="W834" s="22">
        <f t="shared" si="24"/>
        <v>0</v>
      </c>
      <c r="X834" s="19">
        <f t="shared" si="25"/>
        <v>0</v>
      </c>
    </row>
    <row r="835" ht="15.75" customHeight="1">
      <c r="Q835" s="15">
        <f t="shared" si="18"/>
        <v>0</v>
      </c>
      <c r="W835" s="22">
        <f t="shared" si="24"/>
        <v>0</v>
      </c>
      <c r="X835" s="19">
        <f t="shared" si="25"/>
        <v>0</v>
      </c>
    </row>
    <row r="836" ht="15.75" customHeight="1">
      <c r="Q836" s="15">
        <f t="shared" si="18"/>
        <v>0</v>
      </c>
      <c r="W836" s="22">
        <f t="shared" si="24"/>
        <v>0</v>
      </c>
      <c r="X836" s="19">
        <f t="shared" si="25"/>
        <v>0</v>
      </c>
    </row>
    <row r="837" ht="15.75" customHeight="1">
      <c r="Q837" s="15">
        <f t="shared" si="18"/>
        <v>0</v>
      </c>
      <c r="W837" s="22">
        <f t="shared" si="24"/>
        <v>0</v>
      </c>
      <c r="X837" s="19">
        <f t="shared" si="25"/>
        <v>0</v>
      </c>
    </row>
    <row r="838" ht="15.75" customHeight="1">
      <c r="Q838" s="15">
        <f t="shared" si="18"/>
        <v>0</v>
      </c>
      <c r="W838" s="22">
        <f t="shared" si="24"/>
        <v>0</v>
      </c>
      <c r="X838" s="19">
        <f t="shared" si="25"/>
        <v>0</v>
      </c>
    </row>
    <row r="839" ht="15.75" customHeight="1">
      <c r="Q839" s="15">
        <f t="shared" si="18"/>
        <v>0</v>
      </c>
      <c r="W839" s="22">
        <f t="shared" si="24"/>
        <v>0</v>
      </c>
      <c r="X839" s="19">
        <f t="shared" si="25"/>
        <v>0</v>
      </c>
    </row>
    <row r="840" ht="15.75" customHeight="1">
      <c r="Q840" s="15">
        <f t="shared" si="18"/>
        <v>0</v>
      </c>
      <c r="W840" s="22">
        <f t="shared" si="24"/>
        <v>0</v>
      </c>
      <c r="X840" s="19">
        <f t="shared" si="25"/>
        <v>0</v>
      </c>
    </row>
    <row r="841" ht="15.75" customHeight="1">
      <c r="Q841" s="15">
        <f t="shared" si="18"/>
        <v>0</v>
      </c>
      <c r="W841" s="22">
        <f t="shared" si="24"/>
        <v>0</v>
      </c>
      <c r="X841" s="19">
        <f t="shared" si="25"/>
        <v>0</v>
      </c>
    </row>
    <row r="842" ht="15.75" customHeight="1">
      <c r="Q842" s="15">
        <f t="shared" si="18"/>
        <v>0</v>
      </c>
      <c r="W842" s="22">
        <f t="shared" si="24"/>
        <v>0</v>
      </c>
      <c r="X842" s="19">
        <f t="shared" si="25"/>
        <v>0</v>
      </c>
    </row>
    <row r="843" ht="15.75" customHeight="1">
      <c r="Q843" s="15">
        <f t="shared" si="18"/>
        <v>0</v>
      </c>
      <c r="W843" s="22">
        <f t="shared" si="24"/>
        <v>0</v>
      </c>
      <c r="X843" s="19">
        <f t="shared" si="25"/>
        <v>0</v>
      </c>
    </row>
    <row r="844" ht="15.75" customHeight="1">
      <c r="Q844" s="15">
        <f t="shared" si="18"/>
        <v>0</v>
      </c>
      <c r="W844" s="22">
        <f t="shared" si="24"/>
        <v>0</v>
      </c>
      <c r="X844" s="19">
        <f t="shared" si="25"/>
        <v>0</v>
      </c>
    </row>
    <row r="845" ht="15.75" customHeight="1">
      <c r="Q845" s="15">
        <f t="shared" si="18"/>
        <v>0</v>
      </c>
      <c r="W845" s="22">
        <f t="shared" si="24"/>
        <v>0</v>
      </c>
      <c r="X845" s="19">
        <f t="shared" si="25"/>
        <v>0</v>
      </c>
    </row>
    <row r="846" ht="15.75" customHeight="1">
      <c r="Q846" s="15">
        <f t="shared" si="18"/>
        <v>0</v>
      </c>
      <c r="W846" s="22">
        <f t="shared" si="24"/>
        <v>0</v>
      </c>
      <c r="X846" s="19">
        <f t="shared" si="25"/>
        <v>0</v>
      </c>
    </row>
    <row r="847" ht="15.75" customHeight="1">
      <c r="Q847" s="15">
        <f t="shared" si="18"/>
        <v>0</v>
      </c>
      <c r="W847" s="22">
        <f t="shared" si="24"/>
        <v>0</v>
      </c>
      <c r="X847" s="19">
        <f t="shared" si="25"/>
        <v>0</v>
      </c>
    </row>
    <row r="848" ht="15.75" customHeight="1">
      <c r="Q848" s="15">
        <f t="shared" si="18"/>
        <v>0</v>
      </c>
      <c r="W848" s="22">
        <f t="shared" si="24"/>
        <v>0</v>
      </c>
      <c r="X848" s="19">
        <f t="shared" si="25"/>
        <v>0</v>
      </c>
    </row>
    <row r="849" ht="15.75" customHeight="1">
      <c r="Q849" s="15">
        <f t="shared" si="18"/>
        <v>0</v>
      </c>
      <c r="W849" s="22">
        <f t="shared" si="24"/>
        <v>0</v>
      </c>
      <c r="X849" s="19">
        <f t="shared" si="25"/>
        <v>0</v>
      </c>
    </row>
    <row r="850" ht="15.75" customHeight="1">
      <c r="Q850" s="15">
        <f t="shared" si="18"/>
        <v>0</v>
      </c>
      <c r="W850" s="22">
        <f t="shared" si="24"/>
        <v>0</v>
      </c>
      <c r="X850" s="19">
        <f t="shared" si="25"/>
        <v>0</v>
      </c>
    </row>
    <row r="851" ht="15.75" customHeight="1">
      <c r="Q851" s="15">
        <f t="shared" si="18"/>
        <v>0</v>
      </c>
      <c r="W851" s="22">
        <f t="shared" si="24"/>
        <v>0</v>
      </c>
      <c r="X851" s="19">
        <f t="shared" si="25"/>
        <v>0</v>
      </c>
    </row>
    <row r="852" ht="15.75" customHeight="1">
      <c r="Q852" s="15">
        <f t="shared" si="18"/>
        <v>0</v>
      </c>
      <c r="W852" s="22">
        <f t="shared" si="24"/>
        <v>0</v>
      </c>
      <c r="X852" s="19">
        <f t="shared" si="25"/>
        <v>0</v>
      </c>
    </row>
    <row r="853" ht="15.75" customHeight="1">
      <c r="Q853" s="15">
        <f t="shared" si="18"/>
        <v>0</v>
      </c>
      <c r="W853" s="22">
        <f t="shared" si="24"/>
        <v>0</v>
      </c>
      <c r="X853" s="19">
        <f t="shared" si="25"/>
        <v>0</v>
      </c>
    </row>
    <row r="854" ht="15.75" customHeight="1">
      <c r="Q854" s="15">
        <f t="shared" si="18"/>
        <v>0</v>
      </c>
      <c r="W854" s="22">
        <f t="shared" si="24"/>
        <v>0</v>
      </c>
      <c r="X854" s="19">
        <f t="shared" si="25"/>
        <v>0</v>
      </c>
    </row>
    <row r="855" ht="15.75" customHeight="1">
      <c r="Q855" s="15">
        <f t="shared" si="18"/>
        <v>0</v>
      </c>
      <c r="W855" s="22">
        <f t="shared" si="24"/>
        <v>0</v>
      </c>
      <c r="X855" s="19">
        <f t="shared" si="25"/>
        <v>0</v>
      </c>
    </row>
    <row r="856" ht="15.75" customHeight="1">
      <c r="Q856" s="15">
        <f t="shared" si="18"/>
        <v>0</v>
      </c>
      <c r="W856" s="22">
        <f t="shared" si="24"/>
        <v>0</v>
      </c>
      <c r="X856" s="19">
        <f t="shared" si="25"/>
        <v>0</v>
      </c>
    </row>
    <row r="857" ht="15.75" customHeight="1">
      <c r="Q857" s="15">
        <f t="shared" si="18"/>
        <v>0</v>
      </c>
      <c r="W857" s="22">
        <f t="shared" si="24"/>
        <v>0</v>
      </c>
      <c r="X857" s="19">
        <f t="shared" si="25"/>
        <v>0</v>
      </c>
    </row>
    <row r="858" ht="15.75" customHeight="1">
      <c r="Q858" s="15">
        <f t="shared" si="18"/>
        <v>0</v>
      </c>
      <c r="W858" s="22">
        <f t="shared" si="24"/>
        <v>0</v>
      </c>
      <c r="X858" s="19">
        <f t="shared" si="25"/>
        <v>0</v>
      </c>
    </row>
    <row r="859" ht="15.75" customHeight="1">
      <c r="Q859" s="15">
        <f t="shared" si="18"/>
        <v>0</v>
      </c>
      <c r="W859" s="22">
        <f t="shared" si="24"/>
        <v>0</v>
      </c>
      <c r="X859" s="19">
        <f t="shared" si="25"/>
        <v>0</v>
      </c>
    </row>
    <row r="860" ht="15.75" customHeight="1">
      <c r="Q860" s="15">
        <f t="shared" si="18"/>
        <v>0</v>
      </c>
      <c r="W860" s="22">
        <f t="shared" si="24"/>
        <v>0</v>
      </c>
      <c r="X860" s="19">
        <f t="shared" si="25"/>
        <v>0</v>
      </c>
    </row>
    <row r="861" ht="15.75" customHeight="1">
      <c r="Q861" s="15">
        <f t="shared" si="18"/>
        <v>0</v>
      </c>
      <c r="W861" s="22">
        <f t="shared" si="24"/>
        <v>0</v>
      </c>
      <c r="X861" s="19">
        <f t="shared" si="25"/>
        <v>0</v>
      </c>
    </row>
    <row r="862" ht="15.75" customHeight="1">
      <c r="Q862" s="15">
        <f t="shared" si="18"/>
        <v>0</v>
      </c>
      <c r="W862" s="22">
        <f t="shared" si="24"/>
        <v>0</v>
      </c>
      <c r="X862" s="19">
        <f t="shared" si="25"/>
        <v>0</v>
      </c>
    </row>
    <row r="863" ht="15.75" customHeight="1">
      <c r="Q863" s="15">
        <f t="shared" si="18"/>
        <v>0</v>
      </c>
      <c r="W863" s="22">
        <f t="shared" si="24"/>
        <v>0</v>
      </c>
      <c r="X863" s="19">
        <f t="shared" si="25"/>
        <v>0</v>
      </c>
    </row>
    <row r="864" ht="15.75" customHeight="1">
      <c r="Q864" s="15">
        <f t="shared" si="18"/>
        <v>0</v>
      </c>
      <c r="W864" s="22">
        <f t="shared" si="24"/>
        <v>0</v>
      </c>
      <c r="X864" s="19">
        <f t="shared" si="25"/>
        <v>0</v>
      </c>
    </row>
    <row r="865" ht="15.75" customHeight="1">
      <c r="Q865" s="15">
        <f t="shared" si="18"/>
        <v>0</v>
      </c>
      <c r="W865" s="22">
        <f t="shared" si="24"/>
        <v>0</v>
      </c>
      <c r="X865" s="19">
        <f t="shared" si="25"/>
        <v>0</v>
      </c>
    </row>
    <row r="866" ht="15.75" customHeight="1">
      <c r="Q866" s="15">
        <f t="shared" si="18"/>
        <v>0</v>
      </c>
      <c r="W866" s="22">
        <f t="shared" si="24"/>
        <v>0</v>
      </c>
      <c r="X866" s="19">
        <f t="shared" si="25"/>
        <v>0</v>
      </c>
    </row>
    <row r="867" ht="15.75" customHeight="1">
      <c r="Q867" s="15">
        <f t="shared" si="18"/>
        <v>0</v>
      </c>
      <c r="W867" s="22">
        <f t="shared" si="24"/>
        <v>0</v>
      </c>
      <c r="X867" s="19">
        <f t="shared" si="25"/>
        <v>0</v>
      </c>
    </row>
    <row r="868" ht="15.75" customHeight="1">
      <c r="Q868" s="15">
        <f t="shared" si="18"/>
        <v>0</v>
      </c>
      <c r="W868" s="22">
        <f t="shared" si="24"/>
        <v>0</v>
      </c>
      <c r="X868" s="19">
        <f t="shared" si="25"/>
        <v>0</v>
      </c>
    </row>
    <row r="869" ht="15.75" customHeight="1">
      <c r="Q869" s="15">
        <f t="shared" si="18"/>
        <v>0</v>
      </c>
      <c r="W869" s="22">
        <f t="shared" si="24"/>
        <v>0</v>
      </c>
      <c r="X869" s="19">
        <f t="shared" si="25"/>
        <v>0</v>
      </c>
    </row>
    <row r="870" ht="15.75" customHeight="1">
      <c r="Q870" s="15">
        <f t="shared" si="18"/>
        <v>0</v>
      </c>
      <c r="W870" s="22">
        <f t="shared" si="24"/>
        <v>0</v>
      </c>
      <c r="X870" s="19">
        <f t="shared" si="25"/>
        <v>0</v>
      </c>
    </row>
    <row r="871" ht="15.75" customHeight="1">
      <c r="Q871" s="15">
        <f t="shared" si="18"/>
        <v>0</v>
      </c>
      <c r="W871" s="22">
        <f t="shared" si="24"/>
        <v>0</v>
      </c>
      <c r="X871" s="19">
        <f t="shared" si="25"/>
        <v>0</v>
      </c>
    </row>
    <row r="872" ht="15.75" customHeight="1">
      <c r="Q872" s="15">
        <f t="shared" si="18"/>
        <v>0</v>
      </c>
      <c r="W872" s="22">
        <f t="shared" si="24"/>
        <v>0</v>
      </c>
      <c r="X872" s="19">
        <f t="shared" si="25"/>
        <v>0</v>
      </c>
    </row>
    <row r="873" ht="15.75" customHeight="1">
      <c r="Q873" s="15">
        <f t="shared" si="18"/>
        <v>0</v>
      </c>
      <c r="W873" s="22">
        <f t="shared" si="24"/>
        <v>0</v>
      </c>
      <c r="X873" s="19">
        <f t="shared" si="25"/>
        <v>0</v>
      </c>
    </row>
    <row r="874" ht="15.75" customHeight="1">
      <c r="Q874" s="15">
        <f t="shared" si="18"/>
        <v>0</v>
      </c>
      <c r="W874" s="22">
        <f t="shared" si="24"/>
        <v>0</v>
      </c>
      <c r="X874" s="19">
        <f t="shared" si="25"/>
        <v>0</v>
      </c>
    </row>
    <row r="875" ht="15.75" customHeight="1">
      <c r="Q875" s="15">
        <f t="shared" si="18"/>
        <v>0</v>
      </c>
      <c r="W875" s="22">
        <f t="shared" si="24"/>
        <v>0</v>
      </c>
      <c r="X875" s="19">
        <f t="shared" si="25"/>
        <v>0</v>
      </c>
    </row>
    <row r="876" ht="15.75" customHeight="1">
      <c r="Q876" s="15">
        <f t="shared" si="18"/>
        <v>0</v>
      </c>
      <c r="W876" s="22">
        <f t="shared" si="24"/>
        <v>0</v>
      </c>
      <c r="X876" s="19">
        <f t="shared" si="25"/>
        <v>0</v>
      </c>
    </row>
    <row r="877" ht="15.75" customHeight="1">
      <c r="Q877" s="15">
        <f t="shared" si="18"/>
        <v>0</v>
      </c>
      <c r="W877" s="22">
        <f t="shared" si="24"/>
        <v>0</v>
      </c>
      <c r="X877" s="19">
        <f t="shared" si="25"/>
        <v>0</v>
      </c>
    </row>
    <row r="878" ht="15.75" customHeight="1">
      <c r="Q878" s="15">
        <f t="shared" si="18"/>
        <v>0</v>
      </c>
      <c r="W878" s="22">
        <f t="shared" si="24"/>
        <v>0</v>
      </c>
      <c r="X878" s="19">
        <f t="shared" si="25"/>
        <v>0</v>
      </c>
    </row>
    <row r="879" ht="15.75" customHeight="1">
      <c r="Q879" s="15">
        <f t="shared" si="18"/>
        <v>0</v>
      </c>
      <c r="W879" s="22">
        <f t="shared" si="24"/>
        <v>0</v>
      </c>
      <c r="X879" s="19">
        <f t="shared" si="25"/>
        <v>0</v>
      </c>
    </row>
    <row r="880" ht="15.75" customHeight="1">
      <c r="Q880" s="15">
        <f t="shared" si="18"/>
        <v>0</v>
      </c>
      <c r="W880" s="22">
        <f t="shared" si="24"/>
        <v>0</v>
      </c>
      <c r="X880" s="19">
        <f t="shared" si="25"/>
        <v>0</v>
      </c>
    </row>
    <row r="881" ht="15.75" customHeight="1">
      <c r="Q881" s="15">
        <f t="shared" si="18"/>
        <v>0</v>
      </c>
      <c r="W881" s="22">
        <f t="shared" si="24"/>
        <v>0</v>
      </c>
      <c r="X881" s="19">
        <f t="shared" si="25"/>
        <v>0</v>
      </c>
    </row>
    <row r="882" ht="15.75" customHeight="1">
      <c r="Q882" s="15">
        <f t="shared" si="18"/>
        <v>0</v>
      </c>
      <c r="W882" s="22">
        <f t="shared" si="24"/>
        <v>0</v>
      </c>
      <c r="X882" s="19">
        <f t="shared" si="25"/>
        <v>0</v>
      </c>
    </row>
    <row r="883" ht="15.75" customHeight="1">
      <c r="Q883" s="15">
        <f t="shared" si="18"/>
        <v>0</v>
      </c>
      <c r="W883" s="22">
        <f t="shared" si="24"/>
        <v>0</v>
      </c>
      <c r="X883" s="19">
        <f t="shared" si="25"/>
        <v>0</v>
      </c>
    </row>
    <row r="884" ht="15.75" customHeight="1">
      <c r="Q884" s="15">
        <f t="shared" si="18"/>
        <v>0</v>
      </c>
      <c r="W884" s="22">
        <f t="shared" si="24"/>
        <v>0</v>
      </c>
      <c r="X884" s="19">
        <f t="shared" si="25"/>
        <v>0</v>
      </c>
    </row>
    <row r="885" ht="15.75" customHeight="1">
      <c r="Q885" s="15">
        <f t="shared" si="18"/>
        <v>0</v>
      </c>
      <c r="W885" s="22">
        <f t="shared" si="24"/>
        <v>0</v>
      </c>
      <c r="X885" s="19">
        <f t="shared" si="25"/>
        <v>0</v>
      </c>
    </row>
    <row r="886" ht="15.75" customHeight="1">
      <c r="Q886" s="15">
        <f t="shared" si="18"/>
        <v>0</v>
      </c>
      <c r="W886" s="22">
        <f t="shared" si="24"/>
        <v>0</v>
      </c>
      <c r="X886" s="19">
        <f t="shared" si="25"/>
        <v>0</v>
      </c>
    </row>
    <row r="887" ht="15.75" customHeight="1">
      <c r="Q887" s="15">
        <f t="shared" si="18"/>
        <v>0</v>
      </c>
      <c r="W887" s="22">
        <f t="shared" si="24"/>
        <v>0</v>
      </c>
      <c r="X887" s="19">
        <f t="shared" si="25"/>
        <v>0</v>
      </c>
    </row>
    <row r="888" ht="15.75" customHeight="1">
      <c r="Q888" s="15">
        <f t="shared" si="18"/>
        <v>0</v>
      </c>
      <c r="W888" s="22">
        <f t="shared" si="24"/>
        <v>0</v>
      </c>
      <c r="X888" s="19">
        <f t="shared" si="25"/>
        <v>0</v>
      </c>
    </row>
    <row r="889" ht="15.75" customHeight="1">
      <c r="Q889" s="15">
        <f t="shared" si="18"/>
        <v>0</v>
      </c>
      <c r="W889" s="22">
        <f t="shared" si="24"/>
        <v>0</v>
      </c>
      <c r="X889" s="19">
        <f t="shared" si="25"/>
        <v>0</v>
      </c>
    </row>
    <row r="890" ht="15.75" customHeight="1">
      <c r="Q890" s="15">
        <f t="shared" si="18"/>
        <v>0</v>
      </c>
      <c r="W890" s="22">
        <f t="shared" si="24"/>
        <v>0</v>
      </c>
      <c r="X890" s="19">
        <f t="shared" si="25"/>
        <v>0</v>
      </c>
    </row>
    <row r="891" ht="15.75" customHeight="1">
      <c r="Q891" s="15">
        <f t="shared" si="18"/>
        <v>0</v>
      </c>
      <c r="W891" s="22">
        <f t="shared" si="24"/>
        <v>0</v>
      </c>
      <c r="X891" s="19">
        <f t="shared" si="25"/>
        <v>0</v>
      </c>
    </row>
    <row r="892" ht="15.75" customHeight="1">
      <c r="Q892" s="15">
        <f t="shared" si="18"/>
        <v>0</v>
      </c>
      <c r="W892" s="22">
        <f t="shared" si="24"/>
        <v>0</v>
      </c>
      <c r="X892" s="19">
        <f t="shared" si="25"/>
        <v>0</v>
      </c>
    </row>
    <row r="893" ht="15.75" customHeight="1">
      <c r="Q893" s="15">
        <f t="shared" si="18"/>
        <v>0</v>
      </c>
      <c r="W893" s="22">
        <f t="shared" si="24"/>
        <v>0</v>
      </c>
      <c r="X893" s="19">
        <f t="shared" si="25"/>
        <v>0</v>
      </c>
    </row>
    <row r="894" ht="15.75" customHeight="1">
      <c r="Q894" s="15">
        <f t="shared" si="18"/>
        <v>0</v>
      </c>
      <c r="W894" s="22">
        <f t="shared" si="24"/>
        <v>0</v>
      </c>
      <c r="X894" s="19">
        <f t="shared" si="25"/>
        <v>0</v>
      </c>
    </row>
    <row r="895" ht="15.75" customHeight="1">
      <c r="Q895" s="15">
        <f t="shared" si="18"/>
        <v>0</v>
      </c>
      <c r="W895" s="22">
        <f t="shared" si="24"/>
        <v>0</v>
      </c>
      <c r="X895" s="19">
        <f t="shared" si="25"/>
        <v>0</v>
      </c>
    </row>
    <row r="896" ht="15.75" customHeight="1">
      <c r="Q896" s="15">
        <f t="shared" si="18"/>
        <v>0</v>
      </c>
      <c r="W896" s="22">
        <f t="shared" si="24"/>
        <v>0</v>
      </c>
      <c r="X896" s="19">
        <f t="shared" si="25"/>
        <v>0</v>
      </c>
    </row>
    <row r="897" ht="15.75" customHeight="1">
      <c r="Q897" s="15">
        <f t="shared" si="18"/>
        <v>0</v>
      </c>
      <c r="W897" s="22">
        <f t="shared" si="24"/>
        <v>0</v>
      </c>
      <c r="X897" s="19">
        <f t="shared" si="25"/>
        <v>0</v>
      </c>
    </row>
    <row r="898" ht="15.75" customHeight="1">
      <c r="Q898" s="15">
        <f t="shared" si="18"/>
        <v>0</v>
      </c>
      <c r="W898" s="22">
        <f t="shared" si="24"/>
        <v>0</v>
      </c>
      <c r="X898" s="19">
        <f t="shared" si="25"/>
        <v>0</v>
      </c>
    </row>
    <row r="899" ht="15.75" customHeight="1">
      <c r="Q899" s="15">
        <f t="shared" si="18"/>
        <v>0</v>
      </c>
      <c r="W899" s="22">
        <f t="shared" si="24"/>
        <v>0</v>
      </c>
      <c r="X899" s="19">
        <f t="shared" si="25"/>
        <v>0</v>
      </c>
    </row>
    <row r="900" ht="15.75" customHeight="1">
      <c r="Q900" s="15">
        <f t="shared" si="18"/>
        <v>0</v>
      </c>
      <c r="W900" s="22">
        <f t="shared" si="24"/>
        <v>0</v>
      </c>
      <c r="X900" s="19">
        <f t="shared" si="25"/>
        <v>0</v>
      </c>
    </row>
    <row r="901" ht="15.75" customHeight="1">
      <c r="Q901" s="15">
        <f t="shared" si="18"/>
        <v>0</v>
      </c>
      <c r="W901" s="22">
        <f t="shared" si="24"/>
        <v>0</v>
      </c>
      <c r="X901" s="19">
        <f t="shared" si="25"/>
        <v>0</v>
      </c>
    </row>
    <row r="902" ht="15.75" customHeight="1">
      <c r="Q902" s="15">
        <f t="shared" si="18"/>
        <v>0</v>
      </c>
      <c r="W902" s="22">
        <f t="shared" si="24"/>
        <v>0</v>
      </c>
      <c r="X902" s="19">
        <f t="shared" si="25"/>
        <v>0</v>
      </c>
    </row>
    <row r="903" ht="15.75" customHeight="1">
      <c r="Q903" s="15">
        <f t="shared" si="18"/>
        <v>0</v>
      </c>
      <c r="W903" s="22">
        <f t="shared" si="24"/>
        <v>0</v>
      </c>
      <c r="X903" s="19">
        <f t="shared" si="25"/>
        <v>0</v>
      </c>
    </row>
    <row r="904" ht="15.75" customHeight="1">
      <c r="Q904" s="15">
        <f t="shared" si="18"/>
        <v>0</v>
      </c>
      <c r="W904" s="22">
        <f t="shared" si="24"/>
        <v>0</v>
      </c>
      <c r="X904" s="19">
        <f t="shared" si="25"/>
        <v>0</v>
      </c>
    </row>
    <row r="905" ht="15.75" customHeight="1">
      <c r="Q905" s="15">
        <f t="shared" si="18"/>
        <v>0</v>
      </c>
      <c r="W905" s="22">
        <f t="shared" si="24"/>
        <v>0</v>
      </c>
      <c r="X905" s="19">
        <f t="shared" si="25"/>
        <v>0</v>
      </c>
    </row>
    <row r="906" ht="15.75" customHeight="1">
      <c r="Q906" s="15">
        <f t="shared" si="18"/>
        <v>0</v>
      </c>
      <c r="W906" s="22">
        <f t="shared" si="24"/>
        <v>0</v>
      </c>
      <c r="X906" s="19">
        <f t="shared" si="25"/>
        <v>0</v>
      </c>
    </row>
    <row r="907" ht="15.75" customHeight="1">
      <c r="Q907" s="15">
        <f t="shared" si="18"/>
        <v>0</v>
      </c>
      <c r="W907" s="22">
        <f t="shared" si="24"/>
        <v>0</v>
      </c>
      <c r="X907" s="19">
        <f t="shared" si="25"/>
        <v>0</v>
      </c>
    </row>
    <row r="908" ht="15.75" customHeight="1">
      <c r="Q908" s="15">
        <f t="shared" si="18"/>
        <v>0</v>
      </c>
      <c r="W908" s="22">
        <f t="shared" si="24"/>
        <v>0</v>
      </c>
      <c r="X908" s="19">
        <f t="shared" si="25"/>
        <v>0</v>
      </c>
    </row>
    <row r="909" ht="15.75" customHeight="1">
      <c r="Q909" s="15">
        <f t="shared" si="18"/>
        <v>0</v>
      </c>
      <c r="W909" s="22">
        <f t="shared" si="24"/>
        <v>0</v>
      </c>
      <c r="X909" s="19">
        <f t="shared" si="25"/>
        <v>0</v>
      </c>
    </row>
    <row r="910" ht="15.75" customHeight="1">
      <c r="Q910" s="15">
        <f t="shared" si="18"/>
        <v>0</v>
      </c>
      <c r="W910" s="22">
        <f t="shared" si="24"/>
        <v>0</v>
      </c>
      <c r="X910" s="19">
        <f t="shared" si="25"/>
        <v>0</v>
      </c>
    </row>
    <row r="911" ht="15.75" customHeight="1">
      <c r="Q911" s="15">
        <f t="shared" si="18"/>
        <v>0</v>
      </c>
      <c r="W911" s="22">
        <f t="shared" si="24"/>
        <v>0</v>
      </c>
      <c r="X911" s="19">
        <f t="shared" si="25"/>
        <v>0</v>
      </c>
    </row>
    <row r="912" ht="15.75" customHeight="1">
      <c r="Q912" s="15">
        <f t="shared" si="18"/>
        <v>0</v>
      </c>
      <c r="W912" s="22">
        <f t="shared" si="24"/>
        <v>0</v>
      </c>
      <c r="X912" s="19">
        <f t="shared" si="25"/>
        <v>0</v>
      </c>
    </row>
    <row r="913" ht="15.75" customHeight="1">
      <c r="Q913" s="15">
        <f t="shared" si="18"/>
        <v>0</v>
      </c>
      <c r="W913" s="22">
        <f t="shared" si="24"/>
        <v>0</v>
      </c>
      <c r="X913" s="19">
        <f t="shared" si="25"/>
        <v>0</v>
      </c>
    </row>
    <row r="914" ht="15.75" customHeight="1">
      <c r="Q914" s="15">
        <f t="shared" si="18"/>
        <v>0</v>
      </c>
      <c r="W914" s="22">
        <f t="shared" si="24"/>
        <v>0</v>
      </c>
      <c r="X914" s="19">
        <f t="shared" si="25"/>
        <v>0</v>
      </c>
    </row>
    <row r="915" ht="15.75" customHeight="1">
      <c r="Q915" s="15">
        <f t="shared" si="18"/>
        <v>0</v>
      </c>
      <c r="W915" s="22">
        <f t="shared" si="24"/>
        <v>0</v>
      </c>
      <c r="X915" s="19">
        <f t="shared" si="25"/>
        <v>0</v>
      </c>
    </row>
    <row r="916" ht="15.75" customHeight="1">
      <c r="Q916" s="15">
        <f t="shared" si="18"/>
        <v>0</v>
      </c>
      <c r="W916" s="22">
        <f t="shared" si="24"/>
        <v>0</v>
      </c>
      <c r="X916" s="19">
        <f t="shared" si="25"/>
        <v>0</v>
      </c>
    </row>
    <row r="917" ht="15.75" customHeight="1">
      <c r="Q917" s="15">
        <f t="shared" si="18"/>
        <v>0</v>
      </c>
      <c r="W917" s="22">
        <f t="shared" si="24"/>
        <v>0</v>
      </c>
      <c r="X917" s="19">
        <f t="shared" si="25"/>
        <v>0</v>
      </c>
    </row>
    <row r="918" ht="15.75" customHeight="1">
      <c r="Q918" s="15">
        <f t="shared" si="18"/>
        <v>0</v>
      </c>
      <c r="W918" s="22">
        <f t="shared" si="24"/>
        <v>0</v>
      </c>
      <c r="X918" s="19">
        <f t="shared" si="25"/>
        <v>0</v>
      </c>
    </row>
    <row r="919" ht="15.75" customHeight="1">
      <c r="Q919" s="15">
        <f t="shared" si="18"/>
        <v>0</v>
      </c>
      <c r="W919" s="22">
        <f t="shared" si="24"/>
        <v>0</v>
      </c>
      <c r="X919" s="19">
        <f t="shared" si="25"/>
        <v>0</v>
      </c>
    </row>
    <row r="920" ht="15.75" customHeight="1">
      <c r="Q920" s="15">
        <f t="shared" si="18"/>
        <v>0</v>
      </c>
      <c r="W920" s="22">
        <f t="shared" si="24"/>
        <v>0</v>
      </c>
      <c r="X920" s="19">
        <f t="shared" si="25"/>
        <v>0</v>
      </c>
    </row>
    <row r="921" ht="15.75" customHeight="1">
      <c r="Q921" s="15">
        <f t="shared" si="18"/>
        <v>0</v>
      </c>
      <c r="W921" s="22">
        <f t="shared" si="24"/>
        <v>0</v>
      </c>
      <c r="X921" s="19">
        <f t="shared" si="25"/>
        <v>0</v>
      </c>
    </row>
    <row r="922" ht="15.75" customHeight="1">
      <c r="Q922" s="15">
        <f t="shared" si="18"/>
        <v>0</v>
      </c>
      <c r="W922" s="22">
        <f t="shared" si="24"/>
        <v>0</v>
      </c>
      <c r="X922" s="19">
        <f t="shared" si="25"/>
        <v>0</v>
      </c>
    </row>
    <row r="923" ht="15.75" customHeight="1">
      <c r="Q923" s="15">
        <f t="shared" si="18"/>
        <v>0</v>
      </c>
      <c r="W923" s="22">
        <f t="shared" si="24"/>
        <v>0</v>
      </c>
      <c r="X923" s="19">
        <f t="shared" si="25"/>
        <v>0</v>
      </c>
    </row>
    <row r="924" ht="15.75" customHeight="1">
      <c r="Q924" s="15">
        <f t="shared" si="18"/>
        <v>0</v>
      </c>
      <c r="W924" s="22">
        <f t="shared" si="24"/>
        <v>0</v>
      </c>
      <c r="X924" s="19">
        <f t="shared" si="25"/>
        <v>0</v>
      </c>
    </row>
    <row r="925" ht="15.75" customHeight="1">
      <c r="Q925" s="15">
        <f t="shared" si="18"/>
        <v>0</v>
      </c>
      <c r="W925" s="22">
        <f t="shared" si="24"/>
        <v>0</v>
      </c>
      <c r="X925" s="19">
        <f t="shared" si="25"/>
        <v>0</v>
      </c>
    </row>
    <row r="926" ht="15.75" customHeight="1">
      <c r="Q926" s="15">
        <f t="shared" si="18"/>
        <v>0</v>
      </c>
      <c r="W926" s="22">
        <f t="shared" si="24"/>
        <v>0</v>
      </c>
      <c r="X926" s="19">
        <f t="shared" si="25"/>
        <v>0</v>
      </c>
    </row>
    <row r="927" ht="15.75" customHeight="1">
      <c r="Q927" s="15">
        <f t="shared" si="18"/>
        <v>0</v>
      </c>
      <c r="W927" s="22">
        <f t="shared" si="24"/>
        <v>0</v>
      </c>
      <c r="X927" s="19">
        <f t="shared" si="25"/>
        <v>0</v>
      </c>
    </row>
    <row r="928" ht="15.75" customHeight="1">
      <c r="Q928" s="15">
        <f t="shared" si="18"/>
        <v>0</v>
      </c>
      <c r="W928" s="22">
        <f t="shared" si="24"/>
        <v>0</v>
      </c>
      <c r="X928" s="19">
        <f t="shared" si="25"/>
        <v>0</v>
      </c>
    </row>
    <row r="929" ht="15.75" customHeight="1">
      <c r="Q929" s="15">
        <f t="shared" si="18"/>
        <v>0</v>
      </c>
      <c r="W929" s="22">
        <f t="shared" si="24"/>
        <v>0</v>
      </c>
      <c r="X929" s="19">
        <f t="shared" si="25"/>
        <v>0</v>
      </c>
    </row>
    <row r="930" ht="15.75" customHeight="1">
      <c r="Q930" s="15">
        <f t="shared" si="18"/>
        <v>0</v>
      </c>
      <c r="W930" s="22">
        <f t="shared" si="24"/>
        <v>0</v>
      </c>
      <c r="X930" s="19">
        <f t="shared" si="25"/>
        <v>0</v>
      </c>
    </row>
    <row r="931" ht="15.75" customHeight="1">
      <c r="Q931" s="15">
        <f t="shared" si="18"/>
        <v>0</v>
      </c>
      <c r="W931" s="22">
        <f t="shared" si="24"/>
        <v>0</v>
      </c>
      <c r="X931" s="19">
        <f t="shared" si="25"/>
        <v>0</v>
      </c>
    </row>
    <row r="932" ht="15.75" customHeight="1">
      <c r="Q932" s="15">
        <f t="shared" si="18"/>
        <v>0</v>
      </c>
      <c r="W932" s="22">
        <f t="shared" si="24"/>
        <v>0</v>
      </c>
      <c r="X932" s="19">
        <f t="shared" si="25"/>
        <v>0</v>
      </c>
    </row>
    <row r="933" ht="15.75" customHeight="1">
      <c r="Q933" s="15">
        <f t="shared" si="18"/>
        <v>0</v>
      </c>
      <c r="W933" s="22">
        <f t="shared" si="24"/>
        <v>0</v>
      </c>
      <c r="X933" s="19">
        <f t="shared" si="25"/>
        <v>0</v>
      </c>
    </row>
    <row r="934" ht="15.75" customHeight="1">
      <c r="Q934" s="15">
        <f t="shared" si="18"/>
        <v>0</v>
      </c>
      <c r="W934" s="22">
        <f t="shared" si="24"/>
        <v>0</v>
      </c>
      <c r="X934" s="19">
        <f t="shared" si="25"/>
        <v>0</v>
      </c>
    </row>
    <row r="935" ht="15.75" customHeight="1">
      <c r="Q935" s="15">
        <f t="shared" si="18"/>
        <v>0</v>
      </c>
      <c r="W935" s="22">
        <f t="shared" si="24"/>
        <v>0</v>
      </c>
      <c r="X935" s="19">
        <f t="shared" si="25"/>
        <v>0</v>
      </c>
    </row>
    <row r="936" ht="15.75" customHeight="1">
      <c r="Q936" s="15">
        <f t="shared" si="18"/>
        <v>0</v>
      </c>
      <c r="W936" s="22">
        <f t="shared" si="24"/>
        <v>0</v>
      </c>
      <c r="X936" s="19">
        <f t="shared" si="25"/>
        <v>0</v>
      </c>
    </row>
    <row r="937" ht="15.75" customHeight="1">
      <c r="Q937" s="15">
        <f t="shared" si="18"/>
        <v>0</v>
      </c>
      <c r="W937" s="22">
        <f t="shared" si="24"/>
        <v>0</v>
      </c>
      <c r="X937" s="19">
        <f t="shared" si="25"/>
        <v>0</v>
      </c>
    </row>
    <row r="938" ht="15.75" customHeight="1">
      <c r="Q938" s="15">
        <f t="shared" si="18"/>
        <v>0</v>
      </c>
      <c r="W938" s="22">
        <f t="shared" si="24"/>
        <v>0</v>
      </c>
      <c r="X938" s="19">
        <f t="shared" si="25"/>
        <v>0</v>
      </c>
    </row>
    <row r="939" ht="15.75" customHeight="1">
      <c r="Q939" s="15">
        <f t="shared" si="18"/>
        <v>0</v>
      </c>
      <c r="W939" s="22">
        <f t="shared" si="24"/>
        <v>0</v>
      </c>
      <c r="X939" s="19">
        <f t="shared" si="25"/>
        <v>0</v>
      </c>
    </row>
    <row r="940" ht="15.75" customHeight="1">
      <c r="Q940" s="15">
        <f t="shared" si="18"/>
        <v>0</v>
      </c>
      <c r="W940" s="22">
        <f t="shared" si="24"/>
        <v>0</v>
      </c>
      <c r="X940" s="19">
        <f t="shared" si="25"/>
        <v>0</v>
      </c>
    </row>
    <row r="941" ht="15.75" customHeight="1">
      <c r="Q941" s="15">
        <f t="shared" si="18"/>
        <v>0</v>
      </c>
      <c r="W941" s="22">
        <f t="shared" si="24"/>
        <v>0</v>
      </c>
      <c r="X941" s="19">
        <f t="shared" si="25"/>
        <v>0</v>
      </c>
    </row>
    <row r="942" ht="15.75" customHeight="1">
      <c r="Q942" s="15">
        <f t="shared" si="18"/>
        <v>0</v>
      </c>
      <c r="W942" s="22">
        <f t="shared" si="24"/>
        <v>0</v>
      </c>
      <c r="X942" s="19">
        <f t="shared" si="25"/>
        <v>0</v>
      </c>
    </row>
    <row r="943" ht="15.75" customHeight="1">
      <c r="Q943" s="15">
        <f t="shared" si="18"/>
        <v>0</v>
      </c>
      <c r="W943" s="22">
        <f t="shared" si="24"/>
        <v>0</v>
      </c>
      <c r="X943" s="19">
        <f t="shared" si="25"/>
        <v>0</v>
      </c>
    </row>
    <row r="944" ht="15.75" customHeight="1">
      <c r="Q944" s="15">
        <f t="shared" si="18"/>
        <v>0</v>
      </c>
      <c r="W944" s="22">
        <f t="shared" si="24"/>
        <v>0</v>
      </c>
      <c r="X944" s="19">
        <f t="shared" si="25"/>
        <v>0</v>
      </c>
    </row>
    <row r="945" ht="15.75" customHeight="1">
      <c r="Q945" s="15">
        <f t="shared" si="18"/>
        <v>0</v>
      </c>
      <c r="W945" s="22">
        <f t="shared" si="24"/>
        <v>0</v>
      </c>
      <c r="X945" s="19">
        <f t="shared" si="25"/>
        <v>0</v>
      </c>
    </row>
    <row r="946" ht="15.75" customHeight="1">
      <c r="Q946" s="15">
        <f t="shared" si="18"/>
        <v>0</v>
      </c>
      <c r="W946" s="22">
        <f t="shared" si="24"/>
        <v>0</v>
      </c>
      <c r="X946" s="19">
        <f t="shared" si="25"/>
        <v>0</v>
      </c>
    </row>
    <row r="947" ht="15.75" customHeight="1">
      <c r="Q947" s="15">
        <f t="shared" si="18"/>
        <v>0</v>
      </c>
      <c r="W947" s="22">
        <f t="shared" si="24"/>
        <v>0</v>
      </c>
      <c r="X947" s="19">
        <f t="shared" si="25"/>
        <v>0</v>
      </c>
    </row>
    <row r="948" ht="15.75" customHeight="1">
      <c r="Q948" s="15">
        <f t="shared" si="18"/>
        <v>0</v>
      </c>
      <c r="W948" s="22">
        <f t="shared" si="24"/>
        <v>0</v>
      </c>
      <c r="X948" s="19">
        <f t="shared" si="25"/>
        <v>0</v>
      </c>
    </row>
    <row r="949" ht="15.75" customHeight="1">
      <c r="Q949" s="15">
        <f t="shared" si="18"/>
        <v>0</v>
      </c>
      <c r="W949" s="22">
        <f t="shared" si="24"/>
        <v>0</v>
      </c>
      <c r="X949" s="19">
        <f t="shared" si="25"/>
        <v>0</v>
      </c>
    </row>
    <row r="950" ht="15.75" customHeight="1">
      <c r="Q950" s="15">
        <f t="shared" si="18"/>
        <v>0</v>
      </c>
      <c r="W950" s="22">
        <f t="shared" si="24"/>
        <v>0</v>
      </c>
      <c r="X950" s="19">
        <f t="shared" si="25"/>
        <v>0</v>
      </c>
    </row>
    <row r="951" ht="15.75" customHeight="1">
      <c r="Q951" s="15">
        <f t="shared" si="18"/>
        <v>0</v>
      </c>
      <c r="W951" s="22">
        <f t="shared" si="24"/>
        <v>0</v>
      </c>
      <c r="X951" s="19">
        <f t="shared" si="25"/>
        <v>0</v>
      </c>
    </row>
    <row r="952" ht="15.75" customHeight="1">
      <c r="Q952" s="15">
        <f t="shared" si="18"/>
        <v>0</v>
      </c>
      <c r="W952" s="22">
        <f t="shared" si="24"/>
        <v>0</v>
      </c>
      <c r="X952" s="19">
        <f t="shared" si="25"/>
        <v>0</v>
      </c>
    </row>
    <row r="953" ht="15.75" customHeight="1">
      <c r="Q953" s="15">
        <f t="shared" si="18"/>
        <v>0</v>
      </c>
      <c r="W953" s="22">
        <f t="shared" si="24"/>
        <v>0</v>
      </c>
      <c r="X953" s="19">
        <f t="shared" si="25"/>
        <v>0</v>
      </c>
    </row>
    <row r="954" ht="15.75" customHeight="1">
      <c r="Q954" s="15">
        <f t="shared" si="18"/>
        <v>0</v>
      </c>
      <c r="W954" s="22">
        <f t="shared" si="24"/>
        <v>0</v>
      </c>
      <c r="X954" s="19">
        <f t="shared" si="25"/>
        <v>0</v>
      </c>
    </row>
    <row r="955" ht="15.75" customHeight="1">
      <c r="Q955" s="15">
        <f t="shared" si="18"/>
        <v>0</v>
      </c>
      <c r="W955" s="22">
        <f t="shared" si="24"/>
        <v>0</v>
      </c>
      <c r="X955" s="19">
        <f t="shared" si="25"/>
        <v>0</v>
      </c>
    </row>
    <row r="956" ht="15.75" customHeight="1">
      <c r="Q956" s="15">
        <f t="shared" si="18"/>
        <v>0</v>
      </c>
      <c r="W956" s="22">
        <f t="shared" si="24"/>
        <v>0</v>
      </c>
      <c r="X956" s="19">
        <f t="shared" si="25"/>
        <v>0</v>
      </c>
    </row>
    <row r="957" ht="15.75" customHeight="1">
      <c r="Q957" s="15">
        <f t="shared" si="18"/>
        <v>0</v>
      </c>
      <c r="W957" s="22">
        <f t="shared" si="24"/>
        <v>0</v>
      </c>
      <c r="X957" s="19">
        <f t="shared" si="25"/>
        <v>0</v>
      </c>
    </row>
    <row r="958" ht="15.75" customHeight="1">
      <c r="Q958" s="15">
        <f t="shared" si="18"/>
        <v>0</v>
      </c>
      <c r="W958" s="22">
        <f t="shared" si="24"/>
        <v>0</v>
      </c>
      <c r="X958" s="19">
        <f t="shared" si="25"/>
        <v>0</v>
      </c>
    </row>
    <row r="959" ht="15.75" customHeight="1">
      <c r="Q959" s="15">
        <f t="shared" si="18"/>
        <v>0</v>
      </c>
      <c r="W959" s="22">
        <f t="shared" si="24"/>
        <v>0</v>
      </c>
      <c r="X959" s="19">
        <f t="shared" si="25"/>
        <v>0</v>
      </c>
    </row>
    <row r="960" ht="15.75" customHeight="1">
      <c r="Q960" s="15">
        <f t="shared" si="18"/>
        <v>0</v>
      </c>
      <c r="W960" s="22">
        <f t="shared" si="24"/>
        <v>0</v>
      </c>
      <c r="X960" s="19">
        <f t="shared" si="25"/>
        <v>0</v>
      </c>
    </row>
    <row r="961" ht="15.75" customHeight="1">
      <c r="Q961" s="15">
        <f t="shared" si="18"/>
        <v>0</v>
      </c>
      <c r="W961" s="22">
        <f t="shared" si="24"/>
        <v>0</v>
      </c>
      <c r="X961" s="19">
        <f t="shared" si="25"/>
        <v>0</v>
      </c>
    </row>
    <row r="962" ht="15.75" customHeight="1">
      <c r="Q962" s="15">
        <f t="shared" si="18"/>
        <v>0</v>
      </c>
      <c r="W962" s="22">
        <f t="shared" si="24"/>
        <v>0</v>
      </c>
      <c r="X962" s="19">
        <f t="shared" si="25"/>
        <v>0</v>
      </c>
    </row>
    <row r="963" ht="15.75" customHeight="1">
      <c r="Q963" s="15">
        <f t="shared" si="18"/>
        <v>0</v>
      </c>
      <c r="W963" s="22">
        <f t="shared" si="24"/>
        <v>0</v>
      </c>
      <c r="X963" s="19">
        <f t="shared" si="25"/>
        <v>0</v>
      </c>
    </row>
    <row r="964" ht="15.75" customHeight="1">
      <c r="Q964" s="15">
        <f t="shared" si="18"/>
        <v>0</v>
      </c>
      <c r="W964" s="22">
        <f t="shared" si="24"/>
        <v>0</v>
      </c>
      <c r="X964" s="19">
        <f t="shared" si="25"/>
        <v>0</v>
      </c>
    </row>
    <row r="965" ht="15.75" customHeight="1">
      <c r="Q965" s="15">
        <f t="shared" si="18"/>
        <v>0</v>
      </c>
      <c r="W965" s="22">
        <f t="shared" si="24"/>
        <v>0</v>
      </c>
      <c r="X965" s="19">
        <f t="shared" si="25"/>
        <v>0</v>
      </c>
    </row>
    <row r="966" ht="15.75" customHeight="1">
      <c r="Q966" s="15">
        <f t="shared" si="18"/>
        <v>0</v>
      </c>
      <c r="W966" s="22">
        <f t="shared" si="24"/>
        <v>0</v>
      </c>
      <c r="X966" s="19">
        <f t="shared" si="25"/>
        <v>0</v>
      </c>
    </row>
    <row r="967" ht="15.75" customHeight="1">
      <c r="Q967" s="15">
        <f t="shared" si="18"/>
        <v>0</v>
      </c>
      <c r="W967" s="22">
        <f t="shared" si="24"/>
        <v>0</v>
      </c>
      <c r="X967" s="19">
        <f t="shared" si="25"/>
        <v>0</v>
      </c>
    </row>
    <row r="968" ht="15.75" customHeight="1">
      <c r="Q968" s="15">
        <f t="shared" si="18"/>
        <v>0</v>
      </c>
      <c r="W968" s="22">
        <f t="shared" si="24"/>
        <v>0</v>
      </c>
      <c r="X968" s="19">
        <f t="shared" si="25"/>
        <v>0</v>
      </c>
    </row>
    <row r="969" ht="15.75" customHeight="1">
      <c r="Q969" s="15">
        <f t="shared" si="18"/>
        <v>0</v>
      </c>
      <c r="W969" s="22">
        <f t="shared" si="24"/>
        <v>0</v>
      </c>
      <c r="X969" s="19">
        <f t="shared" si="25"/>
        <v>0</v>
      </c>
    </row>
    <row r="970" ht="15.75" customHeight="1">
      <c r="Q970" s="15">
        <f t="shared" si="18"/>
        <v>0</v>
      </c>
      <c r="W970" s="22">
        <f t="shared" si="24"/>
        <v>0</v>
      </c>
      <c r="X970" s="19">
        <f t="shared" si="25"/>
        <v>0</v>
      </c>
    </row>
    <row r="971" ht="15.75" customHeight="1">
      <c r="Q971" s="15">
        <f t="shared" si="18"/>
        <v>0</v>
      </c>
      <c r="W971" s="22">
        <f t="shared" si="24"/>
        <v>0</v>
      </c>
      <c r="X971" s="19">
        <f t="shared" si="25"/>
        <v>0</v>
      </c>
    </row>
    <row r="972" ht="15.75" customHeight="1">
      <c r="Q972" s="15">
        <f t="shared" si="18"/>
        <v>0</v>
      </c>
      <c r="W972" s="22">
        <f t="shared" si="24"/>
        <v>0</v>
      </c>
      <c r="X972" s="19">
        <f t="shared" si="25"/>
        <v>0</v>
      </c>
    </row>
    <row r="973" ht="15.75" customHeight="1">
      <c r="Q973" s="15">
        <f t="shared" si="18"/>
        <v>0</v>
      </c>
      <c r="W973" s="22">
        <f t="shared" si="24"/>
        <v>0</v>
      </c>
      <c r="X973" s="19">
        <f t="shared" si="25"/>
        <v>0</v>
      </c>
    </row>
    <row r="974" ht="15.75" customHeight="1">
      <c r="Q974" s="15">
        <f t="shared" si="18"/>
        <v>0</v>
      </c>
      <c r="W974" s="22">
        <f t="shared" si="24"/>
        <v>0</v>
      </c>
      <c r="X974" s="19">
        <f t="shared" si="25"/>
        <v>0</v>
      </c>
    </row>
    <row r="975" ht="15.75" customHeight="1">
      <c r="Q975" s="15">
        <f t="shared" si="18"/>
        <v>0</v>
      </c>
      <c r="W975" s="22">
        <f t="shared" si="24"/>
        <v>0</v>
      </c>
      <c r="X975" s="19">
        <f t="shared" si="25"/>
        <v>0</v>
      </c>
    </row>
    <row r="976" ht="15.75" customHeight="1">
      <c r="Q976" s="15">
        <f t="shared" si="18"/>
        <v>0</v>
      </c>
      <c r="W976" s="22">
        <f t="shared" si="24"/>
        <v>0</v>
      </c>
      <c r="X976" s="19">
        <f t="shared" si="25"/>
        <v>0</v>
      </c>
    </row>
    <row r="977" ht="15.75" customHeight="1">
      <c r="Q977" s="15">
        <f t="shared" si="18"/>
        <v>0</v>
      </c>
      <c r="W977" s="22">
        <f t="shared" si="24"/>
        <v>0</v>
      </c>
      <c r="X977" s="19">
        <f t="shared" si="25"/>
        <v>0</v>
      </c>
    </row>
    <row r="978" ht="15.75" customHeight="1">
      <c r="Q978" s="15">
        <f t="shared" si="18"/>
        <v>0</v>
      </c>
      <c r="W978" s="22">
        <f t="shared" si="24"/>
        <v>0</v>
      </c>
      <c r="X978" s="19">
        <f t="shared" si="25"/>
        <v>0</v>
      </c>
    </row>
    <row r="979" ht="15.75" customHeight="1">
      <c r="Q979" s="15">
        <f t="shared" si="18"/>
        <v>0</v>
      </c>
      <c r="W979" s="22">
        <f t="shared" si="24"/>
        <v>0</v>
      </c>
      <c r="X979" s="19">
        <f t="shared" si="25"/>
        <v>0</v>
      </c>
    </row>
    <row r="980" ht="15.75" customHeight="1">
      <c r="Q980" s="15">
        <f t="shared" si="18"/>
        <v>0</v>
      </c>
      <c r="W980" s="22">
        <f t="shared" si="24"/>
        <v>0</v>
      </c>
      <c r="X980" s="19">
        <f t="shared" si="25"/>
        <v>0</v>
      </c>
    </row>
    <row r="981" ht="15.75" customHeight="1">
      <c r="Q981" s="15">
        <f t="shared" si="18"/>
        <v>0</v>
      </c>
      <c r="W981" s="22">
        <f t="shared" si="24"/>
        <v>0</v>
      </c>
      <c r="X981" s="19">
        <f t="shared" si="25"/>
        <v>0</v>
      </c>
    </row>
    <row r="982" ht="15.75" customHeight="1">
      <c r="Q982" s="15">
        <f t="shared" si="18"/>
        <v>0</v>
      </c>
      <c r="W982" s="22">
        <f t="shared" si="24"/>
        <v>0</v>
      </c>
      <c r="X982" s="19">
        <f t="shared" si="25"/>
        <v>0</v>
      </c>
    </row>
    <row r="983" ht="15.75" customHeight="1">
      <c r="Q983" s="15">
        <f t="shared" si="18"/>
        <v>0</v>
      </c>
      <c r="W983" s="22">
        <f t="shared" si="24"/>
        <v>0</v>
      </c>
      <c r="X983" s="19">
        <f t="shared" si="25"/>
        <v>0</v>
      </c>
    </row>
    <row r="984" ht="15.75" customHeight="1">
      <c r="Q984" s="15">
        <f t="shared" si="18"/>
        <v>0</v>
      </c>
      <c r="W984" s="22">
        <f t="shared" si="24"/>
        <v>0</v>
      </c>
      <c r="X984" s="19">
        <f t="shared" si="25"/>
        <v>0</v>
      </c>
    </row>
    <row r="985" ht="15.75" customHeight="1">
      <c r="Q985" s="15">
        <f t="shared" si="18"/>
        <v>0</v>
      </c>
      <c r="W985" s="22">
        <f t="shared" si="24"/>
        <v>0</v>
      </c>
      <c r="X985" s="19">
        <f t="shared" si="25"/>
        <v>0</v>
      </c>
    </row>
    <row r="986" ht="15.75" customHeight="1">
      <c r="Q986" s="15">
        <f t="shared" si="18"/>
        <v>0</v>
      </c>
      <c r="W986" s="22">
        <f t="shared" si="24"/>
        <v>0</v>
      </c>
      <c r="X986" s="19">
        <f t="shared" si="25"/>
        <v>0</v>
      </c>
    </row>
    <row r="987" ht="15.75" customHeight="1">
      <c r="Q987" s="15">
        <f t="shared" si="18"/>
        <v>0</v>
      </c>
      <c r="W987" s="22">
        <f t="shared" si="24"/>
        <v>0</v>
      </c>
      <c r="X987" s="19">
        <f t="shared" si="25"/>
        <v>0</v>
      </c>
    </row>
    <row r="988" ht="15.75" customHeight="1">
      <c r="Q988" s="15">
        <f t="shared" si="18"/>
        <v>0</v>
      </c>
      <c r="W988" s="22">
        <f t="shared" si="24"/>
        <v>0</v>
      </c>
      <c r="X988" s="19">
        <f t="shared" si="25"/>
        <v>0</v>
      </c>
    </row>
    <row r="989" ht="15.75" customHeight="1">
      <c r="Q989" s="15">
        <f t="shared" si="18"/>
        <v>0</v>
      </c>
      <c r="W989" s="22">
        <f t="shared" si="24"/>
        <v>0</v>
      </c>
      <c r="X989" s="19">
        <f t="shared" si="25"/>
        <v>0</v>
      </c>
    </row>
    <row r="990" ht="15.75" customHeight="1">
      <c r="Q990" s="15">
        <f t="shared" si="18"/>
        <v>0</v>
      </c>
      <c r="W990" s="22">
        <f t="shared" si="24"/>
        <v>0</v>
      </c>
      <c r="X990" s="19">
        <f t="shared" si="25"/>
        <v>0</v>
      </c>
    </row>
    <row r="991" ht="15.75" customHeight="1">
      <c r="Q991" s="15">
        <f t="shared" si="18"/>
        <v>0</v>
      </c>
      <c r="W991" s="22">
        <f t="shared" si="24"/>
        <v>0</v>
      </c>
      <c r="X991" s="19">
        <f t="shared" si="25"/>
        <v>0</v>
      </c>
    </row>
    <row r="992" ht="15.75" customHeight="1">
      <c r="Q992" s="15">
        <f t="shared" si="18"/>
        <v>0</v>
      </c>
      <c r="W992" s="22">
        <f t="shared" si="24"/>
        <v>0</v>
      </c>
      <c r="X992" s="19">
        <f t="shared" si="25"/>
        <v>0</v>
      </c>
    </row>
    <row r="993" ht="15.75" customHeight="1">
      <c r="Q993" s="15">
        <f t="shared" si="18"/>
        <v>0</v>
      </c>
      <c r="W993" s="22">
        <f t="shared" si="24"/>
        <v>0</v>
      </c>
      <c r="X993" s="19">
        <f t="shared" si="25"/>
        <v>0</v>
      </c>
    </row>
    <row r="994" ht="15.75" customHeight="1">
      <c r="Q994" s="15">
        <f t="shared" si="18"/>
        <v>0</v>
      </c>
      <c r="W994" s="22">
        <f t="shared" si="24"/>
        <v>0</v>
      </c>
      <c r="X994" s="19">
        <f t="shared" si="25"/>
        <v>0</v>
      </c>
    </row>
    <row r="995" ht="15.75" customHeight="1">
      <c r="Q995" s="15">
        <f t="shared" si="18"/>
        <v>0</v>
      </c>
      <c r="W995" s="22">
        <f t="shared" si="24"/>
        <v>0</v>
      </c>
      <c r="X995" s="19">
        <f t="shared" si="25"/>
        <v>0</v>
      </c>
    </row>
    <row r="996" ht="15.75" customHeight="1">
      <c r="Q996" s="15">
        <f t="shared" si="18"/>
        <v>0</v>
      </c>
      <c r="W996" s="22">
        <f t="shared" si="24"/>
        <v>0</v>
      </c>
      <c r="X996" s="19">
        <f t="shared" si="25"/>
        <v>0</v>
      </c>
    </row>
    <row r="997" ht="15.75" customHeight="1">
      <c r="Q997" s="15">
        <f t="shared" si="18"/>
        <v>0</v>
      </c>
      <c r="W997" s="22">
        <f t="shared" si="24"/>
        <v>0</v>
      </c>
      <c r="X997" s="19">
        <f t="shared" si="25"/>
        <v>0</v>
      </c>
    </row>
    <row r="998" ht="15.75" customHeight="1">
      <c r="Q998" s="15">
        <f t="shared" si="18"/>
        <v>0</v>
      </c>
      <c r="W998" s="22">
        <f t="shared" si="24"/>
        <v>0</v>
      </c>
      <c r="X998" s="19">
        <f t="shared" si="25"/>
        <v>0</v>
      </c>
    </row>
    <row r="999" ht="15.75" customHeight="1">
      <c r="Q999" s="15">
        <f t="shared" si="18"/>
        <v>0</v>
      </c>
      <c r="W999" s="22">
        <f t="shared" si="24"/>
        <v>0</v>
      </c>
      <c r="X999" s="19">
        <f t="shared" si="25"/>
        <v>0</v>
      </c>
    </row>
    <row r="1000" ht="15.75" customHeight="1">
      <c r="Q1000" s="15">
        <f t="shared" si="18"/>
        <v>0</v>
      </c>
      <c r="W1000" s="22">
        <f t="shared" si="24"/>
        <v>0</v>
      </c>
      <c r="X1000" s="19">
        <f t="shared" si="25"/>
        <v>0</v>
      </c>
    </row>
    <row r="1001" ht="15.75" customHeight="1">
      <c r="Q1001" s="15">
        <f t="shared" si="18"/>
        <v>0</v>
      </c>
      <c r="W1001" s="22">
        <f t="shared" si="24"/>
        <v>0</v>
      </c>
      <c r="X1001" s="19">
        <f t="shared" si="25"/>
        <v>0</v>
      </c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6">
    <mergeCell ref="AA16:AB16"/>
    <mergeCell ref="AA23:AB23"/>
    <mergeCell ref="AA29:AB29"/>
    <mergeCell ref="AA37:AB37"/>
    <mergeCell ref="AA47:AB47"/>
    <mergeCell ref="AA58:AB58"/>
  </mergeCells>
  <dataValidations>
    <dataValidation type="list" allowBlank="1" showErrorMessage="1" sqref="AB7">
      <formula1>"Interior HP 2c walls,Interior Super Paint 2c walls,Interior Duration 2c walls"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3" t="s">
        <v>115</v>
      </c>
      <c r="C2" s="10">
        <v>13.0</v>
      </c>
      <c r="D2" s="10">
        <v>11.0</v>
      </c>
      <c r="E2" s="10">
        <v>10.0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3">
        <v>1.0</v>
      </c>
      <c r="M2" s="13">
        <f>IF(G2,(C2*E2*2)+(D2*E2*2),0)</f>
        <v>480</v>
      </c>
      <c r="N2" s="13">
        <f>IF(H2,C2*D2,0)</f>
        <v>0</v>
      </c>
      <c r="O2" s="13">
        <f>(C2+D2)*2</f>
        <v>48</v>
      </c>
      <c r="P2" s="14">
        <f t="shared" ref="P2:P51" si="1">M2*$AB$9</f>
        <v>576</v>
      </c>
      <c r="Q2" s="15"/>
      <c r="R2" s="14"/>
      <c r="S2" s="14"/>
      <c r="T2" s="14"/>
      <c r="U2" s="14"/>
      <c r="V2" s="14"/>
      <c r="W2" s="14"/>
      <c r="X2" s="16"/>
      <c r="AA2" s="18"/>
      <c r="AB2" s="1"/>
      <c r="AC2" s="2"/>
    </row>
    <row r="3" ht="15.75" customHeight="1">
      <c r="B3" s="3" t="s">
        <v>116</v>
      </c>
      <c r="C3" s="10">
        <v>8.0</v>
      </c>
      <c r="D3" s="10">
        <v>8.0</v>
      </c>
      <c r="E3" s="10">
        <v>6.0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ref="M3:M6" si="2">IF(G3,(C3*E3*2)+(D3*E3*2),0)</f>
        <v>192</v>
      </c>
      <c r="N3" s="13">
        <f t="shared" ref="N3:N6" si="3">IF(H3,C3*D3,0)</f>
        <v>0</v>
      </c>
      <c r="O3" s="13">
        <f t="shared" ref="O3:O6" si="4">(C3+D3)*2</f>
        <v>32</v>
      </c>
      <c r="P3" s="14">
        <f t="shared" si="1"/>
        <v>230.4</v>
      </c>
      <c r="Q3" s="15">
        <f t="shared" ref="Q3:Q6" si="5">IFERROR(P3*0.35,0)</f>
        <v>80.64</v>
      </c>
      <c r="R3" s="14">
        <f t="shared" ref="R3:R6" si="6">N3*$AB$10</f>
        <v>0</v>
      </c>
      <c r="S3" s="14">
        <f t="shared" ref="S3:S6" si="7">IF(I3,C3*D3*$AB$14,0)</f>
        <v>0</v>
      </c>
      <c r="T3" s="14">
        <f t="shared" ref="T3:T6" si="8">F3*$AB$11</f>
        <v>0</v>
      </c>
      <c r="U3" s="14">
        <f t="shared" ref="U3:U6" si="9">IF(K3,IF(L3&gt;0,O3*$AB$12*L3,0),0)</f>
        <v>64</v>
      </c>
      <c r="V3" s="14">
        <f t="shared" ref="V3:V6" si="10">IF(J3,O3*$AB$13,0)</f>
        <v>0</v>
      </c>
      <c r="W3" s="14">
        <f t="shared" ref="W3:W1002" si="11">SUM(P3,R3:V3)</f>
        <v>294.4</v>
      </c>
      <c r="X3" s="16">
        <f t="shared" ref="X3:X6" si="12">IFERROR((W3*$AB$49)/$AB$50,0)</f>
        <v>3.140266667</v>
      </c>
      <c r="AA3" s="18" t="s">
        <v>28</v>
      </c>
      <c r="AB3" s="1">
        <v>1.0</v>
      </c>
      <c r="AC3" s="2" t="s">
        <v>26</v>
      </c>
    </row>
    <row r="4" ht="15.75" customHeight="1">
      <c r="B4" s="3" t="s">
        <v>117</v>
      </c>
      <c r="C4" s="10">
        <v>8.0</v>
      </c>
      <c r="D4" s="10">
        <v>15.0</v>
      </c>
      <c r="E4" s="10">
        <v>10.0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2"/>
        <v>460</v>
      </c>
      <c r="N4" s="13">
        <f t="shared" si="3"/>
        <v>0</v>
      </c>
      <c r="O4" s="13">
        <f t="shared" si="4"/>
        <v>46</v>
      </c>
      <c r="P4" s="14">
        <f t="shared" si="1"/>
        <v>552</v>
      </c>
      <c r="Q4" s="15">
        <f t="shared" si="5"/>
        <v>193.2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92</v>
      </c>
      <c r="V4" s="14">
        <f t="shared" si="10"/>
        <v>0</v>
      </c>
      <c r="W4" s="14">
        <f t="shared" si="11"/>
        <v>644</v>
      </c>
      <c r="X4" s="19">
        <f t="shared" si="12"/>
        <v>6.869333333</v>
      </c>
      <c r="AA4" s="8" t="s">
        <v>30</v>
      </c>
      <c r="AB4" s="3">
        <v>1.1</v>
      </c>
      <c r="AC4" s="20" t="s">
        <v>26</v>
      </c>
    </row>
    <row r="5" ht="15.75" customHeight="1">
      <c r="B5" s="3" t="s">
        <v>118</v>
      </c>
      <c r="C5" s="10">
        <v>7.0</v>
      </c>
      <c r="D5" s="10">
        <v>3.0</v>
      </c>
      <c r="E5" s="10">
        <v>8.0</v>
      </c>
      <c r="F5" s="1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2"/>
        <v>160</v>
      </c>
      <c r="N5" s="13">
        <f t="shared" si="3"/>
        <v>0</v>
      </c>
      <c r="O5" s="13">
        <f t="shared" si="4"/>
        <v>20</v>
      </c>
      <c r="P5" s="14">
        <f t="shared" si="1"/>
        <v>192</v>
      </c>
      <c r="Q5" s="15">
        <f t="shared" si="5"/>
        <v>67.2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40</v>
      </c>
      <c r="V5" s="14">
        <f t="shared" si="10"/>
        <v>0</v>
      </c>
      <c r="W5" s="14">
        <f t="shared" si="11"/>
        <v>232</v>
      </c>
      <c r="X5" s="19">
        <f t="shared" si="12"/>
        <v>2.474666667</v>
      </c>
      <c r="AA5" s="8" t="s">
        <v>31</v>
      </c>
      <c r="AB5" s="3">
        <v>1.2</v>
      </c>
      <c r="AC5" s="20" t="s">
        <v>26</v>
      </c>
    </row>
    <row r="6" ht="15.75" customHeight="1">
      <c r="B6" s="3" t="s">
        <v>88</v>
      </c>
      <c r="C6" s="10">
        <v>13.0</v>
      </c>
      <c r="D6" s="10">
        <v>15.0</v>
      </c>
      <c r="E6" s="10">
        <v>11.0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2"/>
        <v>616</v>
      </c>
      <c r="N6" s="13">
        <f t="shared" si="3"/>
        <v>0</v>
      </c>
      <c r="O6" s="13">
        <f t="shared" si="4"/>
        <v>56</v>
      </c>
      <c r="P6" s="14">
        <f t="shared" si="1"/>
        <v>739.2</v>
      </c>
      <c r="Q6" s="15">
        <f t="shared" si="5"/>
        <v>258.72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112</v>
      </c>
      <c r="V6" s="14">
        <f t="shared" si="10"/>
        <v>0</v>
      </c>
      <c r="W6" s="14">
        <f t="shared" si="11"/>
        <v>851.2</v>
      </c>
      <c r="X6" s="19">
        <f t="shared" si="12"/>
        <v>9.079466667</v>
      </c>
      <c r="AA6" s="8" t="s">
        <v>26</v>
      </c>
      <c r="AB6" s="8" t="s">
        <v>26</v>
      </c>
      <c r="AC6" s="20" t="s">
        <v>26</v>
      </c>
    </row>
    <row r="7" ht="15.75" customHeight="1">
      <c r="B7" s="3" t="s">
        <v>119</v>
      </c>
      <c r="C7" s="10">
        <v>7.0</v>
      </c>
      <c r="D7" s="10">
        <v>3.0</v>
      </c>
      <c r="E7" s="10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3">
        <v>1.0</v>
      </c>
      <c r="M7" s="13">
        <f t="shared" ref="M7:O7" si="13">M8</f>
        <v>198</v>
      </c>
      <c r="N7" s="13">
        <f t="shared" si="13"/>
        <v>0</v>
      </c>
      <c r="O7" s="13">
        <f t="shared" si="13"/>
        <v>22</v>
      </c>
      <c r="P7" s="14">
        <f t="shared" si="1"/>
        <v>237.6</v>
      </c>
      <c r="Q7" s="15">
        <f>N7*$AB$9</f>
        <v>0</v>
      </c>
      <c r="R7" s="14"/>
      <c r="S7" s="14"/>
      <c r="T7" s="14"/>
      <c r="U7" s="14">
        <f>IF(K7,IF(L7&gt;0,O7*$AB$12*L7,0),0)</f>
        <v>44</v>
      </c>
      <c r="V7" s="14"/>
      <c r="W7" s="14">
        <f t="shared" si="11"/>
        <v>281.6</v>
      </c>
      <c r="X7" s="19"/>
      <c r="AA7" s="8"/>
      <c r="AB7" s="3"/>
      <c r="AC7" s="20"/>
    </row>
    <row r="8" ht="15.75" customHeight="1">
      <c r="B8" s="3" t="s">
        <v>120</v>
      </c>
      <c r="C8" s="10">
        <v>8.0</v>
      </c>
      <c r="D8" s="10">
        <v>3.0</v>
      </c>
      <c r="E8" s="10">
        <v>9.0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ref="M8:M51" si="14">IF(G8,(C8*E8*2)+(D8*E8*2),0)</f>
        <v>198</v>
      </c>
      <c r="N8" s="13">
        <f t="shared" ref="N8:N51" si="15">IF(H8,C8*D8,0)</f>
        <v>0</v>
      </c>
      <c r="O8" s="13">
        <f t="shared" ref="O8:O51" si="16">(C8+D8)*2</f>
        <v>22</v>
      </c>
      <c r="P8" s="14">
        <f t="shared" si="1"/>
        <v>237.6</v>
      </c>
      <c r="Q8" s="15">
        <f t="shared" ref="Q8:Q1002" si="17">IFERROR(P8*0.35,0)</f>
        <v>83.16</v>
      </c>
      <c r="R8" s="14">
        <f t="shared" ref="R8:R51" si="18">N8*$AB$10</f>
        <v>0</v>
      </c>
      <c r="S8" s="14">
        <f t="shared" ref="S8:S51" si="19">IF(I8,C8*D8*$AB$14,0)</f>
        <v>0</v>
      </c>
      <c r="T8" s="14">
        <f t="shared" ref="T8:T51" si="20">F8*$AB$11</f>
        <v>0</v>
      </c>
      <c r="U8" s="14">
        <f t="shared" ref="U8:U51" si="21">IF(K8,IF(L8&gt;0,O8*$AB$12*L8,0),0)</f>
        <v>44</v>
      </c>
      <c r="V8" s="14">
        <f t="shared" ref="V8:V51" si="22">IF(J8,O8*$AB$13,0)</f>
        <v>0</v>
      </c>
      <c r="W8" s="14">
        <f t="shared" si="11"/>
        <v>281.6</v>
      </c>
      <c r="X8" s="19">
        <f t="shared" ref="X8:X1002" si="23">IFERROR((W8*$AB$49)/$AB$50,0)</f>
        <v>3.003733333</v>
      </c>
      <c r="AA8" s="8" t="s">
        <v>34</v>
      </c>
      <c r="AB8" s="3" t="s">
        <v>31</v>
      </c>
      <c r="AC8" s="20" t="s">
        <v>26</v>
      </c>
    </row>
    <row r="9" ht="15.75" customHeight="1">
      <c r="B9" s="3" t="s">
        <v>121</v>
      </c>
      <c r="C9" s="11">
        <v>14.0</v>
      </c>
      <c r="D9" s="11">
        <v>11.0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4"/>
        <v>400</v>
      </c>
      <c r="N9" s="13">
        <f t="shared" si="15"/>
        <v>0</v>
      </c>
      <c r="O9" s="13">
        <f t="shared" si="16"/>
        <v>50</v>
      </c>
      <c r="P9" s="14">
        <f t="shared" si="1"/>
        <v>480</v>
      </c>
      <c r="Q9" s="15">
        <f t="shared" si="17"/>
        <v>168</v>
      </c>
      <c r="R9" s="14">
        <f t="shared" si="18"/>
        <v>0</v>
      </c>
      <c r="S9" s="14">
        <f t="shared" si="19"/>
        <v>0</v>
      </c>
      <c r="T9" s="14">
        <f t="shared" si="20"/>
        <v>0</v>
      </c>
      <c r="U9" s="14">
        <f t="shared" si="21"/>
        <v>100</v>
      </c>
      <c r="V9" s="14">
        <f t="shared" si="22"/>
        <v>0</v>
      </c>
      <c r="W9" s="14">
        <f t="shared" si="11"/>
        <v>580</v>
      </c>
      <c r="X9" s="19">
        <f t="shared" si="23"/>
        <v>6.186666667</v>
      </c>
      <c r="AA9" s="8" t="s">
        <v>36</v>
      </c>
      <c r="AB9" s="22">
        <f>IFERROR(VLOOKUP(AB8,AA3:AB5,2,FALSE),0)</f>
        <v>1.2</v>
      </c>
      <c r="AC9" s="20" t="s">
        <v>26</v>
      </c>
    </row>
    <row r="10" ht="15.75" customHeight="1">
      <c r="B10" s="3" t="s">
        <v>122</v>
      </c>
      <c r="C10" s="11">
        <v>5.0</v>
      </c>
      <c r="D10" s="11">
        <v>7.0</v>
      </c>
      <c r="E10" s="11">
        <v>8.0</v>
      </c>
      <c r="F10" s="21"/>
      <c r="G10" s="1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4"/>
        <v>192</v>
      </c>
      <c r="N10" s="13">
        <f t="shared" si="15"/>
        <v>0</v>
      </c>
      <c r="O10" s="13">
        <f t="shared" si="16"/>
        <v>24</v>
      </c>
      <c r="P10" s="14">
        <f t="shared" si="1"/>
        <v>230.4</v>
      </c>
      <c r="Q10" s="15">
        <f t="shared" si="17"/>
        <v>80.64</v>
      </c>
      <c r="R10" s="14">
        <f t="shared" si="18"/>
        <v>0</v>
      </c>
      <c r="S10" s="14">
        <f t="shared" si="19"/>
        <v>0</v>
      </c>
      <c r="T10" s="14">
        <f t="shared" si="20"/>
        <v>0</v>
      </c>
      <c r="U10" s="14">
        <f t="shared" si="21"/>
        <v>48</v>
      </c>
      <c r="V10" s="14">
        <f t="shared" si="22"/>
        <v>0</v>
      </c>
      <c r="W10" s="14">
        <f t="shared" si="11"/>
        <v>278.4</v>
      </c>
      <c r="X10" s="19">
        <f t="shared" si="23"/>
        <v>2.9696</v>
      </c>
      <c r="AA10" s="8" t="s">
        <v>38</v>
      </c>
      <c r="AB10" s="3">
        <v>1.2</v>
      </c>
      <c r="AC10" s="20" t="s">
        <v>26</v>
      </c>
    </row>
    <row r="11" ht="15.75" customHeight="1">
      <c r="B11" s="3" t="s">
        <v>108</v>
      </c>
      <c r="C11" s="11">
        <v>18.0</v>
      </c>
      <c r="D11" s="11">
        <v>8.0</v>
      </c>
      <c r="E11" s="11">
        <v>8.0</v>
      </c>
      <c r="F11" s="21"/>
      <c r="G11" s="11" t="b">
        <v>1</v>
      </c>
      <c r="H11" s="12" t="b">
        <v>0</v>
      </c>
      <c r="I11" s="3" t="b">
        <v>0</v>
      </c>
      <c r="J11" s="3" t="b">
        <v>0</v>
      </c>
      <c r="K11" s="3" t="b">
        <v>1</v>
      </c>
      <c r="L11" s="8">
        <v>1.0</v>
      </c>
      <c r="M11" s="13">
        <f t="shared" si="14"/>
        <v>416</v>
      </c>
      <c r="N11" s="13">
        <f t="shared" si="15"/>
        <v>0</v>
      </c>
      <c r="O11" s="13">
        <f t="shared" si="16"/>
        <v>52</v>
      </c>
      <c r="P11" s="14">
        <f t="shared" si="1"/>
        <v>499.2</v>
      </c>
      <c r="Q11" s="15">
        <f t="shared" si="17"/>
        <v>174.72</v>
      </c>
      <c r="R11" s="14">
        <f t="shared" si="18"/>
        <v>0</v>
      </c>
      <c r="S11" s="14">
        <f t="shared" si="19"/>
        <v>0</v>
      </c>
      <c r="T11" s="14">
        <f t="shared" si="20"/>
        <v>0</v>
      </c>
      <c r="U11" s="14">
        <f t="shared" si="21"/>
        <v>104</v>
      </c>
      <c r="V11" s="14">
        <f t="shared" si="22"/>
        <v>0</v>
      </c>
      <c r="W11" s="14">
        <f t="shared" si="11"/>
        <v>603.2</v>
      </c>
      <c r="X11" s="19">
        <f t="shared" si="23"/>
        <v>6.434133333</v>
      </c>
      <c r="AA11" s="8" t="s">
        <v>40</v>
      </c>
      <c r="AB11" s="3">
        <v>90.0</v>
      </c>
      <c r="AC11" s="24" t="s">
        <v>26</v>
      </c>
    </row>
    <row r="12" ht="15.75" customHeight="1">
      <c r="B12" s="3" t="s">
        <v>113</v>
      </c>
      <c r="C12" s="11">
        <v>14.0</v>
      </c>
      <c r="D12" s="11">
        <v>6.0</v>
      </c>
      <c r="E12" s="11">
        <v>8.0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4"/>
        <v>320</v>
      </c>
      <c r="N12" s="13">
        <f t="shared" si="15"/>
        <v>0</v>
      </c>
      <c r="O12" s="13">
        <f t="shared" si="16"/>
        <v>40</v>
      </c>
      <c r="P12" s="14">
        <f t="shared" si="1"/>
        <v>384</v>
      </c>
      <c r="Q12" s="15">
        <f t="shared" si="17"/>
        <v>134.4</v>
      </c>
      <c r="R12" s="14">
        <f t="shared" si="18"/>
        <v>0</v>
      </c>
      <c r="S12" s="14">
        <f t="shared" si="19"/>
        <v>0</v>
      </c>
      <c r="T12" s="14">
        <f t="shared" si="20"/>
        <v>0</v>
      </c>
      <c r="U12" s="14">
        <f t="shared" si="21"/>
        <v>80</v>
      </c>
      <c r="V12" s="14">
        <f t="shared" si="22"/>
        <v>0</v>
      </c>
      <c r="W12" s="14">
        <f t="shared" si="11"/>
        <v>464</v>
      </c>
      <c r="X12" s="19">
        <f t="shared" si="23"/>
        <v>4.949333333</v>
      </c>
      <c r="AA12" s="8" t="s">
        <v>42</v>
      </c>
      <c r="AB12" s="8">
        <v>2.0</v>
      </c>
    </row>
    <row r="13" ht="15.75" customHeight="1">
      <c r="B13" s="3" t="s">
        <v>123</v>
      </c>
      <c r="C13" s="11">
        <v>10.0</v>
      </c>
      <c r="D13" s="11">
        <v>6.0</v>
      </c>
      <c r="E13" s="11">
        <v>8.0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4"/>
        <v>256</v>
      </c>
      <c r="N13" s="13">
        <f t="shared" si="15"/>
        <v>0</v>
      </c>
      <c r="O13" s="13">
        <f t="shared" si="16"/>
        <v>32</v>
      </c>
      <c r="P13" s="14">
        <f t="shared" si="1"/>
        <v>307.2</v>
      </c>
      <c r="Q13" s="15">
        <f t="shared" si="17"/>
        <v>107.52</v>
      </c>
      <c r="R13" s="14">
        <f t="shared" si="18"/>
        <v>0</v>
      </c>
      <c r="S13" s="14">
        <f t="shared" si="19"/>
        <v>0</v>
      </c>
      <c r="T13" s="14">
        <f t="shared" si="20"/>
        <v>0</v>
      </c>
      <c r="U13" s="14">
        <f t="shared" si="21"/>
        <v>64</v>
      </c>
      <c r="V13" s="14">
        <f t="shared" si="22"/>
        <v>0</v>
      </c>
      <c r="W13" s="14">
        <f t="shared" si="11"/>
        <v>371.2</v>
      </c>
      <c r="X13" s="19">
        <f t="shared" si="23"/>
        <v>3.959466667</v>
      </c>
      <c r="AA13" s="8" t="s">
        <v>44</v>
      </c>
      <c r="AB13" s="3">
        <v>1.1</v>
      </c>
    </row>
    <row r="14" ht="15.75" customHeight="1">
      <c r="B14" s="3" t="s">
        <v>124</v>
      </c>
      <c r="C14" s="11">
        <v>12.0</v>
      </c>
      <c r="D14" s="11">
        <v>14.0</v>
      </c>
      <c r="E14" s="11">
        <v>8.0</v>
      </c>
      <c r="F14" s="21"/>
      <c r="G14" s="11" t="b">
        <v>1</v>
      </c>
      <c r="H14" s="12" t="b">
        <v>0</v>
      </c>
      <c r="I14" s="3" t="b">
        <v>0</v>
      </c>
      <c r="J14" s="3" t="b">
        <v>0</v>
      </c>
      <c r="K14" s="3" t="b">
        <v>1</v>
      </c>
      <c r="L14" s="8">
        <v>1.0</v>
      </c>
      <c r="M14" s="13">
        <f t="shared" si="14"/>
        <v>416</v>
      </c>
      <c r="N14" s="13">
        <f t="shared" si="15"/>
        <v>0</v>
      </c>
      <c r="O14" s="13">
        <f t="shared" si="16"/>
        <v>52</v>
      </c>
      <c r="P14" s="14">
        <f t="shared" si="1"/>
        <v>499.2</v>
      </c>
      <c r="Q14" s="15">
        <f t="shared" si="17"/>
        <v>174.72</v>
      </c>
      <c r="R14" s="14">
        <f t="shared" si="18"/>
        <v>0</v>
      </c>
      <c r="S14" s="14">
        <f t="shared" si="19"/>
        <v>0</v>
      </c>
      <c r="T14" s="14">
        <f t="shared" si="20"/>
        <v>0</v>
      </c>
      <c r="U14" s="14">
        <f t="shared" si="21"/>
        <v>104</v>
      </c>
      <c r="V14" s="14">
        <f t="shared" si="22"/>
        <v>0</v>
      </c>
      <c r="W14" s="14">
        <f t="shared" si="11"/>
        <v>603.2</v>
      </c>
      <c r="X14" s="19">
        <f t="shared" si="23"/>
        <v>6.434133333</v>
      </c>
      <c r="AA14" s="8" t="s">
        <v>46</v>
      </c>
      <c r="AB14" s="3">
        <v>8.0</v>
      </c>
    </row>
    <row r="15" ht="21.0" customHeight="1">
      <c r="B15" s="3" t="s">
        <v>101</v>
      </c>
      <c r="C15" s="11">
        <v>7.0</v>
      </c>
      <c r="D15" s="11">
        <v>6.0</v>
      </c>
      <c r="E15" s="11">
        <v>8.0</v>
      </c>
      <c r="F15" s="21"/>
      <c r="G15" s="11" t="b">
        <v>1</v>
      </c>
      <c r="H15" s="12" t="b">
        <v>0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4"/>
        <v>208</v>
      </c>
      <c r="N15" s="13">
        <f t="shared" si="15"/>
        <v>0</v>
      </c>
      <c r="O15" s="13">
        <f t="shared" si="16"/>
        <v>26</v>
      </c>
      <c r="P15" s="14">
        <f t="shared" si="1"/>
        <v>249.6</v>
      </c>
      <c r="Q15" s="15">
        <f t="shared" si="17"/>
        <v>87.36</v>
      </c>
      <c r="R15" s="14">
        <f t="shared" si="18"/>
        <v>0</v>
      </c>
      <c r="S15" s="14">
        <f t="shared" si="19"/>
        <v>0</v>
      </c>
      <c r="T15" s="14">
        <f t="shared" si="20"/>
        <v>0</v>
      </c>
      <c r="U15" s="14">
        <f t="shared" si="21"/>
        <v>52</v>
      </c>
      <c r="V15" s="14">
        <f t="shared" si="22"/>
        <v>0</v>
      </c>
      <c r="W15" s="14">
        <f t="shared" si="11"/>
        <v>301.6</v>
      </c>
      <c r="X15" s="19">
        <f t="shared" si="23"/>
        <v>3.217066667</v>
      </c>
      <c r="AA15" s="3" t="s">
        <v>48</v>
      </c>
      <c r="AB15" s="3">
        <v>185.0</v>
      </c>
    </row>
    <row r="16" ht="15.75" customHeight="1">
      <c r="B16" s="3" t="s">
        <v>125</v>
      </c>
      <c r="C16" s="11">
        <v>5.0</v>
      </c>
      <c r="D16" s="11">
        <v>8.0</v>
      </c>
      <c r="E16" s="11">
        <v>8.0</v>
      </c>
      <c r="F16" s="21"/>
      <c r="G16" s="11" t="b">
        <v>1</v>
      </c>
      <c r="H16" s="12" t="b">
        <v>0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4"/>
        <v>208</v>
      </c>
      <c r="N16" s="13">
        <f t="shared" si="15"/>
        <v>0</v>
      </c>
      <c r="O16" s="13">
        <f t="shared" si="16"/>
        <v>26</v>
      </c>
      <c r="P16" s="14">
        <f t="shared" si="1"/>
        <v>249.6</v>
      </c>
      <c r="Q16" s="15">
        <f t="shared" si="17"/>
        <v>87.36</v>
      </c>
      <c r="R16" s="14">
        <f t="shared" si="18"/>
        <v>0</v>
      </c>
      <c r="S16" s="14">
        <f t="shared" si="19"/>
        <v>0</v>
      </c>
      <c r="T16" s="14">
        <f t="shared" si="20"/>
        <v>0</v>
      </c>
      <c r="U16" s="14">
        <f t="shared" si="21"/>
        <v>52</v>
      </c>
      <c r="V16" s="14">
        <f t="shared" si="22"/>
        <v>0</v>
      </c>
      <c r="W16" s="14">
        <f t="shared" si="11"/>
        <v>301.6</v>
      </c>
      <c r="X16" s="19">
        <f t="shared" si="23"/>
        <v>3.217066667</v>
      </c>
    </row>
    <row r="17" ht="15.75" customHeight="1">
      <c r="B17" s="3" t="s">
        <v>126</v>
      </c>
      <c r="C17" s="11">
        <v>8.0</v>
      </c>
      <c r="D17" s="11">
        <v>3.0</v>
      </c>
      <c r="E17" s="11">
        <v>8.0</v>
      </c>
      <c r="F17" s="21"/>
      <c r="G17" s="11" t="b">
        <v>1</v>
      </c>
      <c r="H17" s="12" t="b">
        <v>0</v>
      </c>
      <c r="I17" s="8" t="b">
        <v>0</v>
      </c>
      <c r="J17" s="3" t="b">
        <v>0</v>
      </c>
      <c r="K17" s="3" t="b">
        <v>1</v>
      </c>
      <c r="L17" s="8">
        <v>1.0</v>
      </c>
      <c r="M17" s="13">
        <f t="shared" si="14"/>
        <v>176</v>
      </c>
      <c r="N17" s="13">
        <f t="shared" si="15"/>
        <v>0</v>
      </c>
      <c r="O17" s="13">
        <f t="shared" si="16"/>
        <v>22</v>
      </c>
      <c r="P17" s="14">
        <f t="shared" si="1"/>
        <v>211.2</v>
      </c>
      <c r="Q17" s="15">
        <f t="shared" si="17"/>
        <v>73.92</v>
      </c>
      <c r="R17" s="14">
        <f t="shared" si="18"/>
        <v>0</v>
      </c>
      <c r="S17" s="14">
        <f t="shared" si="19"/>
        <v>0</v>
      </c>
      <c r="T17" s="14">
        <f t="shared" si="20"/>
        <v>0</v>
      </c>
      <c r="U17" s="14">
        <f t="shared" si="21"/>
        <v>44</v>
      </c>
      <c r="V17" s="14">
        <f t="shared" si="22"/>
        <v>0</v>
      </c>
      <c r="W17" s="14">
        <f t="shared" si="11"/>
        <v>255.2</v>
      </c>
      <c r="X17" s="19">
        <f t="shared" si="23"/>
        <v>2.722133333</v>
      </c>
      <c r="AA17" s="25" t="s">
        <v>51</v>
      </c>
      <c r="AB17" s="26"/>
    </row>
    <row r="18" ht="15.75" customHeight="1">
      <c r="A18" s="27"/>
      <c r="B18" s="9" t="s">
        <v>127</v>
      </c>
      <c r="C18" s="11">
        <v>5.0</v>
      </c>
      <c r="D18" s="11">
        <v>3.0</v>
      </c>
      <c r="E18" s="11">
        <v>8.0</v>
      </c>
      <c r="F18" s="21"/>
      <c r="G18" s="11" t="b">
        <v>1</v>
      </c>
      <c r="H18" s="12" t="b">
        <v>0</v>
      </c>
      <c r="I18" s="8" t="b">
        <v>0</v>
      </c>
      <c r="J18" s="3" t="b">
        <v>0</v>
      </c>
      <c r="K18" s="3" t="b">
        <v>1</v>
      </c>
      <c r="L18" s="8">
        <v>1.0</v>
      </c>
      <c r="M18" s="13">
        <f t="shared" si="14"/>
        <v>128</v>
      </c>
      <c r="N18" s="13">
        <f t="shared" si="15"/>
        <v>0</v>
      </c>
      <c r="O18" s="13">
        <f t="shared" si="16"/>
        <v>16</v>
      </c>
      <c r="P18" s="14">
        <f t="shared" si="1"/>
        <v>153.6</v>
      </c>
      <c r="Q18" s="15">
        <f t="shared" si="17"/>
        <v>53.76</v>
      </c>
      <c r="R18" s="14">
        <f t="shared" si="18"/>
        <v>0</v>
      </c>
      <c r="S18" s="14">
        <f t="shared" si="19"/>
        <v>0</v>
      </c>
      <c r="T18" s="14">
        <f t="shared" si="20"/>
        <v>0</v>
      </c>
      <c r="U18" s="14">
        <f t="shared" si="21"/>
        <v>32</v>
      </c>
      <c r="V18" s="14">
        <f t="shared" si="22"/>
        <v>0</v>
      </c>
      <c r="W18" s="14">
        <f t="shared" si="11"/>
        <v>185.6</v>
      </c>
      <c r="X18" s="19">
        <f t="shared" si="23"/>
        <v>1.979733333</v>
      </c>
      <c r="AA18" s="28" t="s">
        <v>52</v>
      </c>
      <c r="AB18" s="29">
        <f>SUM(M3:M1002)</f>
        <v>4544</v>
      </c>
    </row>
    <row r="19" ht="15.75" customHeight="1">
      <c r="A19" s="21">
        <v>16.0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4"/>
        <v>0</v>
      </c>
      <c r="N19" s="13">
        <f t="shared" si="15"/>
        <v>0</v>
      </c>
      <c r="O19" s="13">
        <f t="shared" si="16"/>
        <v>0</v>
      </c>
      <c r="P19" s="14">
        <f t="shared" si="1"/>
        <v>0</v>
      </c>
      <c r="Q19" s="15">
        <f t="shared" si="17"/>
        <v>0</v>
      </c>
      <c r="R19" s="14">
        <f t="shared" si="18"/>
        <v>0</v>
      </c>
      <c r="S19" s="14">
        <f t="shared" si="19"/>
        <v>0</v>
      </c>
      <c r="T19" s="14">
        <f t="shared" si="20"/>
        <v>0</v>
      </c>
      <c r="U19" s="14">
        <f t="shared" si="21"/>
        <v>0</v>
      </c>
      <c r="V19" s="14">
        <f t="shared" si="22"/>
        <v>0</v>
      </c>
      <c r="W19" s="14">
        <f t="shared" si="11"/>
        <v>0</v>
      </c>
      <c r="X19" s="19">
        <f t="shared" si="23"/>
        <v>0</v>
      </c>
      <c r="AA19" s="28" t="s">
        <v>54</v>
      </c>
      <c r="AB19" s="29">
        <f>SUM(N3:N1002)</f>
        <v>0</v>
      </c>
    </row>
    <row r="20" ht="15.75" customHeight="1">
      <c r="A20" s="21">
        <v>17.0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4"/>
        <v>0</v>
      </c>
      <c r="N20" s="13">
        <f t="shared" si="15"/>
        <v>0</v>
      </c>
      <c r="O20" s="13">
        <f t="shared" si="16"/>
        <v>0</v>
      </c>
      <c r="P20" s="14">
        <f t="shared" si="1"/>
        <v>0</v>
      </c>
      <c r="Q20" s="15">
        <f t="shared" si="17"/>
        <v>0</v>
      </c>
      <c r="R20" s="14">
        <f t="shared" si="18"/>
        <v>0</v>
      </c>
      <c r="S20" s="14">
        <f t="shared" si="19"/>
        <v>0</v>
      </c>
      <c r="T20" s="14">
        <f t="shared" si="20"/>
        <v>0</v>
      </c>
      <c r="U20" s="14">
        <f t="shared" si="21"/>
        <v>0</v>
      </c>
      <c r="V20" s="14">
        <f t="shared" si="22"/>
        <v>0</v>
      </c>
      <c r="W20" s="14">
        <f t="shared" si="11"/>
        <v>0</v>
      </c>
      <c r="X20" s="19">
        <f t="shared" si="23"/>
        <v>0</v>
      </c>
      <c r="AA20" s="28" t="s">
        <v>56</v>
      </c>
      <c r="AB20" s="29">
        <f>SUM(F3:F1002)</f>
        <v>0</v>
      </c>
    </row>
    <row r="21" ht="18.0" customHeight="1">
      <c r="A21" s="21">
        <v>18.0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4"/>
        <v>0</v>
      </c>
      <c r="N21" s="13">
        <f t="shared" si="15"/>
        <v>0</v>
      </c>
      <c r="O21" s="13">
        <f t="shared" si="16"/>
        <v>0</v>
      </c>
      <c r="P21" s="14">
        <f t="shared" si="1"/>
        <v>0</v>
      </c>
      <c r="Q21" s="15">
        <f t="shared" si="17"/>
        <v>0</v>
      </c>
      <c r="R21" s="14">
        <f t="shared" si="18"/>
        <v>0</v>
      </c>
      <c r="S21" s="14">
        <f t="shared" si="19"/>
        <v>0</v>
      </c>
      <c r="T21" s="14">
        <f t="shared" si="20"/>
        <v>0</v>
      </c>
      <c r="U21" s="14">
        <f t="shared" si="21"/>
        <v>0</v>
      </c>
      <c r="V21" s="14">
        <f t="shared" si="22"/>
        <v>0</v>
      </c>
      <c r="W21" s="14">
        <f t="shared" si="11"/>
        <v>0</v>
      </c>
      <c r="X21" s="19">
        <f t="shared" si="23"/>
        <v>0</v>
      </c>
      <c r="AA21" s="28" t="s">
        <v>58</v>
      </c>
      <c r="AB21" s="30">
        <f>SUMPRODUCT((K3:K1002=TRUE)*(L3:L1002&gt;0)*O3:O1002)</f>
        <v>538</v>
      </c>
    </row>
    <row r="22" ht="21.0" customHeight="1">
      <c r="A22" s="31">
        <v>19.0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4"/>
        <v>0</v>
      </c>
      <c r="N22" s="13">
        <f t="shared" si="15"/>
        <v>0</v>
      </c>
      <c r="O22" s="13">
        <f t="shared" si="16"/>
        <v>0</v>
      </c>
      <c r="P22" s="14">
        <f t="shared" si="1"/>
        <v>0</v>
      </c>
      <c r="Q22" s="15">
        <f t="shared" si="17"/>
        <v>0</v>
      </c>
      <c r="R22" s="14">
        <f t="shared" si="18"/>
        <v>0</v>
      </c>
      <c r="S22" s="14">
        <f t="shared" si="19"/>
        <v>0</v>
      </c>
      <c r="T22" s="14">
        <f t="shared" si="20"/>
        <v>0</v>
      </c>
      <c r="U22" s="14">
        <f t="shared" si="21"/>
        <v>0</v>
      </c>
      <c r="V22" s="14">
        <f t="shared" si="22"/>
        <v>0</v>
      </c>
      <c r="W22" s="14">
        <f t="shared" si="11"/>
        <v>0</v>
      </c>
      <c r="X22" s="19">
        <f t="shared" si="23"/>
        <v>0</v>
      </c>
      <c r="AA22" s="32" t="s">
        <v>60</v>
      </c>
      <c r="AB22" s="33">
        <f>SUMPRODUCT((J3:J1002=TRUE)*O3:O1002)</f>
        <v>0</v>
      </c>
    </row>
    <row r="23" ht="15.75" customHeight="1">
      <c r="A23" s="31">
        <v>20.0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4"/>
        <v>0</v>
      </c>
      <c r="N23" s="13">
        <f t="shared" si="15"/>
        <v>0</v>
      </c>
      <c r="O23" s="13">
        <f t="shared" si="16"/>
        <v>0</v>
      </c>
      <c r="P23" s="14">
        <f t="shared" si="1"/>
        <v>0</v>
      </c>
      <c r="Q23" s="15">
        <f t="shared" si="17"/>
        <v>0</v>
      </c>
      <c r="R23" s="14">
        <f t="shared" si="18"/>
        <v>0</v>
      </c>
      <c r="S23" s="14">
        <f t="shared" si="19"/>
        <v>0</v>
      </c>
      <c r="T23" s="14">
        <f t="shared" si="20"/>
        <v>0</v>
      </c>
      <c r="U23" s="14">
        <f t="shared" si="21"/>
        <v>0</v>
      </c>
      <c r="V23" s="14">
        <f t="shared" si="22"/>
        <v>0</v>
      </c>
      <c r="W23" s="14">
        <f t="shared" si="11"/>
        <v>0</v>
      </c>
      <c r="X23" s="19">
        <f t="shared" si="23"/>
        <v>0</v>
      </c>
      <c r="AA23" s="34" t="s">
        <v>26</v>
      </c>
      <c r="AB23" s="34" t="s">
        <v>26</v>
      </c>
    </row>
    <row r="24" ht="15.75" customHeight="1">
      <c r="A24" s="31">
        <v>21.0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4"/>
        <v>0</v>
      </c>
      <c r="N24" s="13">
        <f t="shared" si="15"/>
        <v>0</v>
      </c>
      <c r="O24" s="13">
        <f t="shared" si="16"/>
        <v>0</v>
      </c>
      <c r="P24" s="14">
        <f t="shared" si="1"/>
        <v>0</v>
      </c>
      <c r="Q24" s="15">
        <f t="shared" si="17"/>
        <v>0</v>
      </c>
      <c r="R24" s="14">
        <f t="shared" si="18"/>
        <v>0</v>
      </c>
      <c r="S24" s="14">
        <f t="shared" si="19"/>
        <v>0</v>
      </c>
      <c r="T24" s="14">
        <f t="shared" si="20"/>
        <v>0</v>
      </c>
      <c r="U24" s="14">
        <f t="shared" si="21"/>
        <v>0</v>
      </c>
      <c r="V24" s="14">
        <f t="shared" si="22"/>
        <v>0</v>
      </c>
      <c r="W24" s="14">
        <f t="shared" si="11"/>
        <v>0</v>
      </c>
      <c r="X24" s="19">
        <f t="shared" si="23"/>
        <v>0</v>
      </c>
      <c r="AA24" s="25" t="s">
        <v>61</v>
      </c>
      <c r="AB24" s="26"/>
    </row>
    <row r="25" ht="15.75" customHeight="1">
      <c r="A25" s="31">
        <v>22.0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4"/>
        <v>0</v>
      </c>
      <c r="N25" s="13">
        <f t="shared" si="15"/>
        <v>0</v>
      </c>
      <c r="O25" s="13">
        <f t="shared" si="16"/>
        <v>0</v>
      </c>
      <c r="P25" s="14">
        <f t="shared" si="1"/>
        <v>0</v>
      </c>
      <c r="Q25" s="15">
        <f t="shared" si="17"/>
        <v>0</v>
      </c>
      <c r="R25" s="14">
        <f t="shared" si="18"/>
        <v>0</v>
      </c>
      <c r="S25" s="14">
        <f t="shared" si="19"/>
        <v>0</v>
      </c>
      <c r="T25" s="14">
        <f t="shared" si="20"/>
        <v>0</v>
      </c>
      <c r="U25" s="14">
        <f t="shared" si="21"/>
        <v>0</v>
      </c>
      <c r="V25" s="14">
        <f t="shared" si="22"/>
        <v>0</v>
      </c>
      <c r="W25" s="14">
        <f t="shared" si="11"/>
        <v>0</v>
      </c>
      <c r="X25" s="19">
        <f t="shared" si="23"/>
        <v>0</v>
      </c>
      <c r="AA25" s="28" t="s">
        <v>62</v>
      </c>
      <c r="AB25" s="35">
        <v>350.0</v>
      </c>
    </row>
    <row r="26" ht="15.75" customHeight="1">
      <c r="A26" s="11">
        <v>23.0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4"/>
        <v>0</v>
      </c>
      <c r="N26" s="13">
        <f t="shared" si="15"/>
        <v>0</v>
      </c>
      <c r="O26" s="13">
        <f t="shared" si="16"/>
        <v>0</v>
      </c>
      <c r="P26" s="14">
        <f t="shared" si="1"/>
        <v>0</v>
      </c>
      <c r="Q26" s="15">
        <f t="shared" si="17"/>
        <v>0</v>
      </c>
      <c r="R26" s="14">
        <f t="shared" si="18"/>
        <v>0</v>
      </c>
      <c r="S26" s="14">
        <f t="shared" si="19"/>
        <v>0</v>
      </c>
      <c r="T26" s="14">
        <f t="shared" si="20"/>
        <v>0</v>
      </c>
      <c r="U26" s="14">
        <f t="shared" si="21"/>
        <v>0</v>
      </c>
      <c r="V26" s="14">
        <f t="shared" si="22"/>
        <v>0</v>
      </c>
      <c r="W26" s="14">
        <f t="shared" si="11"/>
        <v>0</v>
      </c>
      <c r="X26" s="19">
        <f t="shared" si="23"/>
        <v>0</v>
      </c>
      <c r="AA26" s="28" t="s">
        <v>63</v>
      </c>
      <c r="AB26" s="35">
        <v>40.0</v>
      </c>
    </row>
    <row r="27" ht="12.75" customHeight="1">
      <c r="A27" s="11">
        <v>24.0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4"/>
        <v>0</v>
      </c>
      <c r="N27" s="13">
        <f t="shared" si="15"/>
        <v>0</v>
      </c>
      <c r="O27" s="13">
        <f t="shared" si="16"/>
        <v>0</v>
      </c>
      <c r="P27" s="14">
        <f t="shared" si="1"/>
        <v>0</v>
      </c>
      <c r="Q27" s="15">
        <f t="shared" si="17"/>
        <v>0</v>
      </c>
      <c r="R27" s="14">
        <f t="shared" si="18"/>
        <v>0</v>
      </c>
      <c r="S27" s="14">
        <f t="shared" si="19"/>
        <v>0</v>
      </c>
      <c r="T27" s="14">
        <f t="shared" si="20"/>
        <v>0</v>
      </c>
      <c r="U27" s="14">
        <f t="shared" si="21"/>
        <v>0</v>
      </c>
      <c r="V27" s="14">
        <f t="shared" si="22"/>
        <v>0</v>
      </c>
      <c r="W27" s="14">
        <f t="shared" si="11"/>
        <v>0</v>
      </c>
      <c r="X27" s="19">
        <f t="shared" si="23"/>
        <v>0</v>
      </c>
      <c r="AA27" s="28" t="s">
        <v>64</v>
      </c>
      <c r="AB27" s="35">
        <v>5.0</v>
      </c>
    </row>
    <row r="28" ht="21.0" customHeight="1">
      <c r="A28" s="31">
        <v>25.0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4"/>
        <v>0</v>
      </c>
      <c r="N28" s="13">
        <f t="shared" si="15"/>
        <v>0</v>
      </c>
      <c r="O28" s="13">
        <f t="shared" si="16"/>
        <v>0</v>
      </c>
      <c r="P28" s="14">
        <f t="shared" si="1"/>
        <v>0</v>
      </c>
      <c r="Q28" s="15">
        <f t="shared" si="17"/>
        <v>0</v>
      </c>
      <c r="R28" s="14">
        <f t="shared" si="18"/>
        <v>0</v>
      </c>
      <c r="S28" s="14">
        <f t="shared" si="19"/>
        <v>0</v>
      </c>
      <c r="T28" s="14">
        <f t="shared" si="20"/>
        <v>0</v>
      </c>
      <c r="U28" s="14">
        <f t="shared" si="21"/>
        <v>0</v>
      </c>
      <c r="V28" s="14">
        <f t="shared" si="22"/>
        <v>0</v>
      </c>
      <c r="W28" s="14">
        <f t="shared" si="11"/>
        <v>0</v>
      </c>
      <c r="X28" s="19">
        <f t="shared" si="23"/>
        <v>0</v>
      </c>
      <c r="AA28" s="32" t="s">
        <v>65</v>
      </c>
      <c r="AB28" s="36">
        <v>4.0</v>
      </c>
    </row>
    <row r="29" ht="15.75" customHeight="1">
      <c r="A29" s="31">
        <v>26.0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4"/>
        <v>0</v>
      </c>
      <c r="N29" s="13">
        <f t="shared" si="15"/>
        <v>0</v>
      </c>
      <c r="O29" s="13">
        <f t="shared" si="16"/>
        <v>0</v>
      </c>
      <c r="P29" s="14">
        <f t="shared" si="1"/>
        <v>0</v>
      </c>
      <c r="Q29" s="15">
        <f t="shared" si="17"/>
        <v>0</v>
      </c>
      <c r="R29" s="14">
        <f t="shared" si="18"/>
        <v>0</v>
      </c>
      <c r="S29" s="14">
        <f t="shared" si="19"/>
        <v>0</v>
      </c>
      <c r="T29" s="14">
        <f t="shared" si="20"/>
        <v>0</v>
      </c>
      <c r="U29" s="14">
        <f t="shared" si="21"/>
        <v>0</v>
      </c>
      <c r="V29" s="14">
        <f t="shared" si="22"/>
        <v>0</v>
      </c>
      <c r="W29" s="14">
        <f t="shared" si="11"/>
        <v>0</v>
      </c>
      <c r="X29" s="19">
        <f t="shared" si="23"/>
        <v>0</v>
      </c>
      <c r="AA29" s="34" t="s">
        <v>26</v>
      </c>
      <c r="AB29" s="34" t="s">
        <v>26</v>
      </c>
    </row>
    <row r="30" ht="15.75" customHeight="1">
      <c r="A30" s="31">
        <v>27.0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4"/>
        <v>0</v>
      </c>
      <c r="N30" s="13">
        <f t="shared" si="15"/>
        <v>0</v>
      </c>
      <c r="O30" s="13">
        <f t="shared" si="16"/>
        <v>0</v>
      </c>
      <c r="P30" s="14">
        <f t="shared" si="1"/>
        <v>0</v>
      </c>
      <c r="Q30" s="15">
        <f t="shared" si="17"/>
        <v>0</v>
      </c>
      <c r="R30" s="14">
        <f t="shared" si="18"/>
        <v>0</v>
      </c>
      <c r="S30" s="14">
        <f t="shared" si="19"/>
        <v>0</v>
      </c>
      <c r="T30" s="14">
        <f t="shared" si="20"/>
        <v>0</v>
      </c>
      <c r="U30" s="14">
        <f t="shared" si="21"/>
        <v>0</v>
      </c>
      <c r="V30" s="14">
        <f t="shared" si="22"/>
        <v>0</v>
      </c>
      <c r="W30" s="14">
        <f t="shared" si="11"/>
        <v>0</v>
      </c>
      <c r="X30" s="19">
        <f t="shared" si="23"/>
        <v>0</v>
      </c>
      <c r="AA30" s="25" t="s">
        <v>66</v>
      </c>
      <c r="AB30" s="26"/>
    </row>
    <row r="31" ht="15.75" customHeight="1">
      <c r="A31" s="31">
        <v>28.0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4"/>
        <v>0</v>
      </c>
      <c r="N31" s="13">
        <f t="shared" si="15"/>
        <v>0</v>
      </c>
      <c r="O31" s="13">
        <f t="shared" si="16"/>
        <v>0</v>
      </c>
      <c r="P31" s="14">
        <f t="shared" si="1"/>
        <v>0</v>
      </c>
      <c r="Q31" s="15">
        <f t="shared" si="17"/>
        <v>0</v>
      </c>
      <c r="R31" s="14">
        <f t="shared" si="18"/>
        <v>0</v>
      </c>
      <c r="S31" s="14">
        <f t="shared" si="19"/>
        <v>0</v>
      </c>
      <c r="T31" s="14">
        <f t="shared" si="20"/>
        <v>0</v>
      </c>
      <c r="U31" s="14">
        <f t="shared" si="21"/>
        <v>0</v>
      </c>
      <c r="V31" s="14">
        <f t="shared" si="22"/>
        <v>0</v>
      </c>
      <c r="W31" s="14">
        <f t="shared" si="11"/>
        <v>0</v>
      </c>
      <c r="X31" s="19">
        <f t="shared" si="23"/>
        <v>0</v>
      </c>
      <c r="AA31" s="37" t="s">
        <v>67</v>
      </c>
      <c r="AB31" s="30">
        <v>2.0</v>
      </c>
    </row>
    <row r="32" ht="15.75" customHeight="1">
      <c r="A32" s="31">
        <v>29.0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4"/>
        <v>0</v>
      </c>
      <c r="N32" s="13">
        <f t="shared" si="15"/>
        <v>0</v>
      </c>
      <c r="O32" s="13">
        <f t="shared" si="16"/>
        <v>0</v>
      </c>
      <c r="P32" s="14">
        <f t="shared" si="1"/>
        <v>0</v>
      </c>
      <c r="Q32" s="15">
        <f t="shared" si="17"/>
        <v>0</v>
      </c>
      <c r="R32" s="14">
        <f t="shared" si="18"/>
        <v>0</v>
      </c>
      <c r="S32" s="14">
        <f t="shared" si="19"/>
        <v>0</v>
      </c>
      <c r="T32" s="14">
        <f t="shared" si="20"/>
        <v>0</v>
      </c>
      <c r="U32" s="14">
        <f t="shared" si="21"/>
        <v>0</v>
      </c>
      <c r="V32" s="14">
        <f t="shared" si="22"/>
        <v>0</v>
      </c>
      <c r="W32" s="14">
        <f t="shared" si="11"/>
        <v>0</v>
      </c>
      <c r="X32" s="19">
        <f t="shared" si="23"/>
        <v>0</v>
      </c>
      <c r="AA32" s="37" t="s">
        <v>68</v>
      </c>
      <c r="AB32" s="30">
        <f>IFERROR(AB19/AB25,0)</f>
        <v>0</v>
      </c>
    </row>
    <row r="33" ht="15.75" customHeight="1">
      <c r="A33" s="31">
        <v>30.0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4"/>
        <v>0</v>
      </c>
      <c r="N33" s="13">
        <f t="shared" si="15"/>
        <v>0</v>
      </c>
      <c r="O33" s="13">
        <f t="shared" si="16"/>
        <v>0</v>
      </c>
      <c r="P33" s="14">
        <f t="shared" si="1"/>
        <v>0</v>
      </c>
      <c r="Q33" s="15">
        <f t="shared" si="17"/>
        <v>0</v>
      </c>
      <c r="R33" s="14">
        <f t="shared" si="18"/>
        <v>0</v>
      </c>
      <c r="S33" s="14">
        <f t="shared" si="19"/>
        <v>0</v>
      </c>
      <c r="T33" s="14">
        <f t="shared" si="20"/>
        <v>0</v>
      </c>
      <c r="U33" s="14">
        <f t="shared" si="21"/>
        <v>0</v>
      </c>
      <c r="V33" s="14">
        <f t="shared" si="22"/>
        <v>0</v>
      </c>
      <c r="W33" s="14">
        <f t="shared" si="11"/>
        <v>0</v>
      </c>
      <c r="X33" s="19">
        <f t="shared" si="23"/>
        <v>0</v>
      </c>
      <c r="AA33" s="37" t="s">
        <v>69</v>
      </c>
      <c r="AB33" s="29">
        <f>IFERROR((AB20*AB26)/AB25,0)</f>
        <v>0</v>
      </c>
    </row>
    <row r="34">
      <c r="A34" s="31">
        <v>31.0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4"/>
        <v>0</v>
      </c>
      <c r="N34" s="13">
        <f t="shared" si="15"/>
        <v>0</v>
      </c>
      <c r="O34" s="13">
        <f t="shared" si="16"/>
        <v>0</v>
      </c>
      <c r="P34" s="14">
        <f t="shared" si="1"/>
        <v>0</v>
      </c>
      <c r="Q34" s="15">
        <f t="shared" si="17"/>
        <v>0</v>
      </c>
      <c r="R34" s="14">
        <f t="shared" si="18"/>
        <v>0</v>
      </c>
      <c r="S34" s="14">
        <f t="shared" si="19"/>
        <v>0</v>
      </c>
      <c r="T34" s="14">
        <f t="shared" si="20"/>
        <v>0</v>
      </c>
      <c r="U34" s="14">
        <f t="shared" si="21"/>
        <v>0</v>
      </c>
      <c r="V34" s="14">
        <f t="shared" si="22"/>
        <v>0</v>
      </c>
      <c r="W34" s="14">
        <f t="shared" si="11"/>
        <v>0</v>
      </c>
      <c r="X34" s="19">
        <f t="shared" si="23"/>
        <v>0</v>
      </c>
      <c r="AA34" s="37" t="s">
        <v>70</v>
      </c>
      <c r="AB34" s="30">
        <v>1.5</v>
      </c>
    </row>
    <row r="35">
      <c r="A35" s="31">
        <v>32.0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4"/>
        <v>0</v>
      </c>
      <c r="N35" s="13">
        <f t="shared" si="15"/>
        <v>0</v>
      </c>
      <c r="O35" s="13">
        <f t="shared" si="16"/>
        <v>0</v>
      </c>
      <c r="P35" s="14">
        <f t="shared" si="1"/>
        <v>0</v>
      </c>
      <c r="Q35" s="15">
        <f t="shared" si="17"/>
        <v>0</v>
      </c>
      <c r="R35" s="14">
        <f t="shared" si="18"/>
        <v>0</v>
      </c>
      <c r="S35" s="14">
        <f t="shared" si="19"/>
        <v>0</v>
      </c>
      <c r="T35" s="14">
        <f t="shared" si="20"/>
        <v>0</v>
      </c>
      <c r="U35" s="14">
        <f t="shared" si="21"/>
        <v>0</v>
      </c>
      <c r="V35" s="14">
        <f t="shared" si="22"/>
        <v>0</v>
      </c>
      <c r="W35" s="14">
        <f t="shared" si="11"/>
        <v>0</v>
      </c>
      <c r="X35" s="19">
        <f t="shared" si="23"/>
        <v>0</v>
      </c>
      <c r="AA35" s="32" t="s">
        <v>71</v>
      </c>
      <c r="AB35" s="33">
        <f>IFERROR((AB22*(AB28/12))/AB25,0)</f>
        <v>0</v>
      </c>
    </row>
    <row r="36" ht="15.75" customHeight="1">
      <c r="A36" s="31">
        <v>33.0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4"/>
        <v>0</v>
      </c>
      <c r="N36" s="13">
        <f t="shared" si="15"/>
        <v>0</v>
      </c>
      <c r="O36" s="13">
        <f t="shared" si="16"/>
        <v>0</v>
      </c>
      <c r="P36" s="14">
        <f t="shared" si="1"/>
        <v>0</v>
      </c>
      <c r="Q36" s="15">
        <f t="shared" si="17"/>
        <v>0</v>
      </c>
      <c r="R36" s="14">
        <f t="shared" si="18"/>
        <v>0</v>
      </c>
      <c r="S36" s="14">
        <f t="shared" si="19"/>
        <v>0</v>
      </c>
      <c r="T36" s="14">
        <f t="shared" si="20"/>
        <v>0</v>
      </c>
      <c r="U36" s="14">
        <f t="shared" si="21"/>
        <v>0</v>
      </c>
      <c r="V36" s="14">
        <f t="shared" si="22"/>
        <v>0</v>
      </c>
      <c r="W36" s="14">
        <f t="shared" si="11"/>
        <v>0</v>
      </c>
      <c r="X36" s="19">
        <f t="shared" si="23"/>
        <v>0</v>
      </c>
      <c r="AA36" s="38" t="s">
        <v>21</v>
      </c>
      <c r="AB36" s="39">
        <f>SUM(AB31:AB35)</f>
        <v>3.5</v>
      </c>
    </row>
    <row r="37" ht="15.75" customHeight="1">
      <c r="A37" s="31">
        <v>34.0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4"/>
        <v>0</v>
      </c>
      <c r="N37" s="13">
        <f t="shared" si="15"/>
        <v>0</v>
      </c>
      <c r="O37" s="13">
        <f t="shared" si="16"/>
        <v>0</v>
      </c>
      <c r="P37" s="14">
        <f t="shared" si="1"/>
        <v>0</v>
      </c>
      <c r="Q37" s="15">
        <f t="shared" si="17"/>
        <v>0</v>
      </c>
      <c r="R37" s="14">
        <f t="shared" si="18"/>
        <v>0</v>
      </c>
      <c r="S37" s="14">
        <f t="shared" si="19"/>
        <v>0</v>
      </c>
      <c r="T37" s="14">
        <f t="shared" si="20"/>
        <v>0</v>
      </c>
      <c r="U37" s="14">
        <f t="shared" si="21"/>
        <v>0</v>
      </c>
      <c r="V37" s="14">
        <f t="shared" si="22"/>
        <v>0</v>
      </c>
      <c r="W37" s="14">
        <f t="shared" si="11"/>
        <v>0</v>
      </c>
      <c r="X37" s="19">
        <f t="shared" si="23"/>
        <v>0</v>
      </c>
    </row>
    <row r="38" ht="15.75" customHeight="1">
      <c r="A38" s="31">
        <v>35.0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4"/>
        <v>0</v>
      </c>
      <c r="N38" s="13">
        <f t="shared" si="15"/>
        <v>0</v>
      </c>
      <c r="O38" s="13">
        <f t="shared" si="16"/>
        <v>0</v>
      </c>
      <c r="P38" s="14">
        <f t="shared" si="1"/>
        <v>0</v>
      </c>
      <c r="Q38" s="15">
        <f t="shared" si="17"/>
        <v>0</v>
      </c>
      <c r="R38" s="14">
        <f t="shared" si="18"/>
        <v>0</v>
      </c>
      <c r="S38" s="14">
        <f t="shared" si="19"/>
        <v>0</v>
      </c>
      <c r="T38" s="14">
        <f t="shared" si="20"/>
        <v>0</v>
      </c>
      <c r="U38" s="14">
        <f t="shared" si="21"/>
        <v>0</v>
      </c>
      <c r="V38" s="14">
        <f t="shared" si="22"/>
        <v>0</v>
      </c>
      <c r="W38" s="14">
        <f t="shared" si="11"/>
        <v>0</v>
      </c>
      <c r="X38" s="19">
        <f t="shared" si="23"/>
        <v>0</v>
      </c>
      <c r="AA38" s="25" t="s">
        <v>72</v>
      </c>
      <c r="AB38" s="26"/>
    </row>
    <row r="39" ht="15.75" customHeight="1">
      <c r="A39" s="31">
        <v>36.0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4"/>
        <v>0</v>
      </c>
      <c r="N39" s="13">
        <f t="shared" si="15"/>
        <v>0</v>
      </c>
      <c r="O39" s="13">
        <f t="shared" si="16"/>
        <v>0</v>
      </c>
      <c r="P39" s="14">
        <f t="shared" si="1"/>
        <v>0</v>
      </c>
      <c r="Q39" s="15">
        <f t="shared" si="17"/>
        <v>0</v>
      </c>
      <c r="R39" s="14">
        <f t="shared" si="18"/>
        <v>0</v>
      </c>
      <c r="S39" s="14">
        <f t="shared" si="19"/>
        <v>0</v>
      </c>
      <c r="T39" s="14">
        <f t="shared" si="20"/>
        <v>0</v>
      </c>
      <c r="U39" s="14">
        <f t="shared" si="21"/>
        <v>0</v>
      </c>
      <c r="V39" s="14">
        <f t="shared" si="22"/>
        <v>0</v>
      </c>
      <c r="W39" s="14">
        <f t="shared" si="11"/>
        <v>0</v>
      </c>
      <c r="X39" s="19">
        <f t="shared" si="23"/>
        <v>0</v>
      </c>
      <c r="AA39" s="37" t="s">
        <v>73</v>
      </c>
      <c r="AB39" s="40">
        <f>COUNTIF(C3:C1002,"&gt;0")</f>
        <v>16</v>
      </c>
    </row>
    <row r="40" ht="15.75" customHeight="1">
      <c r="A40" s="31">
        <v>37.0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4"/>
        <v>0</v>
      </c>
      <c r="N40" s="13">
        <f t="shared" si="15"/>
        <v>0</v>
      </c>
      <c r="O40" s="13">
        <f t="shared" si="16"/>
        <v>0</v>
      </c>
      <c r="P40" s="14">
        <f t="shared" si="1"/>
        <v>0</v>
      </c>
      <c r="Q40" s="15">
        <f t="shared" si="17"/>
        <v>0</v>
      </c>
      <c r="R40" s="14">
        <f t="shared" si="18"/>
        <v>0</v>
      </c>
      <c r="S40" s="14">
        <f t="shared" si="19"/>
        <v>0</v>
      </c>
      <c r="T40" s="14">
        <f t="shared" si="20"/>
        <v>0</v>
      </c>
      <c r="U40" s="14">
        <f t="shared" si="21"/>
        <v>0</v>
      </c>
      <c r="V40" s="14">
        <f t="shared" si="22"/>
        <v>0</v>
      </c>
      <c r="W40" s="14">
        <f t="shared" si="11"/>
        <v>0</v>
      </c>
      <c r="X40" s="19">
        <f t="shared" si="23"/>
        <v>0</v>
      </c>
      <c r="AA40" s="37" t="s">
        <v>74</v>
      </c>
      <c r="AB40" s="41">
        <f>SUM(P3:P1002)</f>
        <v>5452.8</v>
      </c>
    </row>
    <row r="41" ht="15.75" customHeight="1">
      <c r="A41" s="31">
        <v>38.0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4"/>
        <v>0</v>
      </c>
      <c r="N41" s="13">
        <f t="shared" si="15"/>
        <v>0</v>
      </c>
      <c r="O41" s="13">
        <f t="shared" si="16"/>
        <v>0</v>
      </c>
      <c r="P41" s="14">
        <f t="shared" si="1"/>
        <v>0</v>
      </c>
      <c r="Q41" s="15">
        <f t="shared" si="17"/>
        <v>0</v>
      </c>
      <c r="R41" s="14">
        <f t="shared" si="18"/>
        <v>0</v>
      </c>
      <c r="S41" s="14">
        <f t="shared" si="19"/>
        <v>0</v>
      </c>
      <c r="T41" s="14">
        <f t="shared" si="20"/>
        <v>0</v>
      </c>
      <c r="U41" s="14">
        <f t="shared" si="21"/>
        <v>0</v>
      </c>
      <c r="V41" s="14">
        <f t="shared" si="22"/>
        <v>0</v>
      </c>
      <c r="W41" s="14">
        <f t="shared" si="11"/>
        <v>0</v>
      </c>
      <c r="X41" s="19">
        <f t="shared" si="23"/>
        <v>0</v>
      </c>
      <c r="AA41" s="37" t="s">
        <v>75</v>
      </c>
      <c r="AB41" s="41">
        <f>SUM(R3:R1002)</f>
        <v>0</v>
      </c>
    </row>
    <row r="42" ht="15.75" customHeight="1">
      <c r="A42" s="31">
        <v>39.0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4"/>
        <v>0</v>
      </c>
      <c r="N42" s="13">
        <f t="shared" si="15"/>
        <v>0</v>
      </c>
      <c r="O42" s="13">
        <f t="shared" si="16"/>
        <v>0</v>
      </c>
      <c r="P42" s="14">
        <f t="shared" si="1"/>
        <v>0</v>
      </c>
      <c r="Q42" s="15">
        <f t="shared" si="17"/>
        <v>0</v>
      </c>
      <c r="R42" s="14">
        <f t="shared" si="18"/>
        <v>0</v>
      </c>
      <c r="S42" s="14">
        <f t="shared" si="19"/>
        <v>0</v>
      </c>
      <c r="T42" s="14">
        <f t="shared" si="20"/>
        <v>0</v>
      </c>
      <c r="U42" s="14">
        <f t="shared" si="21"/>
        <v>0</v>
      </c>
      <c r="V42" s="14">
        <f t="shared" si="22"/>
        <v>0</v>
      </c>
      <c r="W42" s="14">
        <f t="shared" si="11"/>
        <v>0</v>
      </c>
      <c r="X42" s="19">
        <f t="shared" si="23"/>
        <v>0</v>
      </c>
      <c r="AA42" s="37" t="s">
        <v>76</v>
      </c>
      <c r="AB42" s="41">
        <f>SUM(S3:S1002)</f>
        <v>0</v>
      </c>
    </row>
    <row r="43" ht="15.75" customHeight="1">
      <c r="A43" s="31">
        <v>40.0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4"/>
        <v>0</v>
      </c>
      <c r="N43" s="13">
        <f t="shared" si="15"/>
        <v>0</v>
      </c>
      <c r="O43" s="13">
        <f t="shared" si="16"/>
        <v>0</v>
      </c>
      <c r="P43" s="14">
        <f t="shared" si="1"/>
        <v>0</v>
      </c>
      <c r="Q43" s="15">
        <f t="shared" si="17"/>
        <v>0</v>
      </c>
      <c r="R43" s="14">
        <f t="shared" si="18"/>
        <v>0</v>
      </c>
      <c r="S43" s="14">
        <f t="shared" si="19"/>
        <v>0</v>
      </c>
      <c r="T43" s="14">
        <f t="shared" si="20"/>
        <v>0</v>
      </c>
      <c r="U43" s="14">
        <f t="shared" si="21"/>
        <v>0</v>
      </c>
      <c r="V43" s="14">
        <f t="shared" si="22"/>
        <v>0</v>
      </c>
      <c r="W43" s="14">
        <f t="shared" si="11"/>
        <v>0</v>
      </c>
      <c r="X43" s="19">
        <f t="shared" si="23"/>
        <v>0</v>
      </c>
      <c r="AA43" s="37" t="s">
        <v>4</v>
      </c>
      <c r="AB43" s="41">
        <f>SUM(T3:T1002)</f>
        <v>0</v>
      </c>
    </row>
    <row r="44" ht="15.75" customHeight="1">
      <c r="A44" s="31">
        <v>41.0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4"/>
        <v>0</v>
      </c>
      <c r="N44" s="13">
        <f t="shared" si="15"/>
        <v>0</v>
      </c>
      <c r="O44" s="13">
        <f t="shared" si="16"/>
        <v>0</v>
      </c>
      <c r="P44" s="14">
        <f t="shared" si="1"/>
        <v>0</v>
      </c>
      <c r="Q44" s="15">
        <f t="shared" si="17"/>
        <v>0</v>
      </c>
      <c r="R44" s="14">
        <f t="shared" si="18"/>
        <v>0</v>
      </c>
      <c r="S44" s="14">
        <f t="shared" si="19"/>
        <v>0</v>
      </c>
      <c r="T44" s="14">
        <f t="shared" si="20"/>
        <v>0</v>
      </c>
      <c r="U44" s="14">
        <f t="shared" si="21"/>
        <v>0</v>
      </c>
      <c r="V44" s="14">
        <f t="shared" si="22"/>
        <v>0</v>
      </c>
      <c r="W44" s="14">
        <f t="shared" si="11"/>
        <v>0</v>
      </c>
      <c r="X44" s="19">
        <f t="shared" si="23"/>
        <v>0</v>
      </c>
      <c r="AA44" s="37" t="s">
        <v>77</v>
      </c>
      <c r="AB44" s="41">
        <f>SUM(U3:U1002)</f>
        <v>1076</v>
      </c>
    </row>
    <row r="45" ht="21.0" customHeight="1">
      <c r="A45" s="31">
        <v>42.0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4"/>
        <v>0</v>
      </c>
      <c r="N45" s="13">
        <f t="shared" si="15"/>
        <v>0</v>
      </c>
      <c r="O45" s="13">
        <f t="shared" si="16"/>
        <v>0</v>
      </c>
      <c r="P45" s="14">
        <f t="shared" si="1"/>
        <v>0</v>
      </c>
      <c r="Q45" s="15">
        <f t="shared" si="17"/>
        <v>0</v>
      </c>
      <c r="R45" s="14">
        <f t="shared" si="18"/>
        <v>0</v>
      </c>
      <c r="S45" s="14">
        <f t="shared" si="19"/>
        <v>0</v>
      </c>
      <c r="T45" s="14">
        <f t="shared" si="20"/>
        <v>0</v>
      </c>
      <c r="U45" s="14">
        <f t="shared" si="21"/>
        <v>0</v>
      </c>
      <c r="V45" s="14">
        <f t="shared" si="22"/>
        <v>0</v>
      </c>
      <c r="W45" s="14">
        <f t="shared" si="11"/>
        <v>0</v>
      </c>
      <c r="X45" s="19">
        <f t="shared" si="23"/>
        <v>0</v>
      </c>
      <c r="AA45" s="37" t="s">
        <v>78</v>
      </c>
      <c r="AB45" s="41">
        <f>SUM(V3:V1002)</f>
        <v>0</v>
      </c>
    </row>
    <row r="46" ht="15.75" customHeight="1">
      <c r="A46" s="31">
        <v>43.0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4"/>
        <v>0</v>
      </c>
      <c r="N46" s="13">
        <f t="shared" si="15"/>
        <v>0</v>
      </c>
      <c r="O46" s="13">
        <f t="shared" si="16"/>
        <v>0</v>
      </c>
      <c r="P46" s="14">
        <f t="shared" si="1"/>
        <v>0</v>
      </c>
      <c r="Q46" s="15">
        <f t="shared" si="17"/>
        <v>0</v>
      </c>
      <c r="R46" s="14">
        <f t="shared" si="18"/>
        <v>0</v>
      </c>
      <c r="S46" s="14">
        <f t="shared" si="19"/>
        <v>0</v>
      </c>
      <c r="T46" s="14">
        <f t="shared" si="20"/>
        <v>0</v>
      </c>
      <c r="U46" s="14">
        <f t="shared" si="21"/>
        <v>0</v>
      </c>
      <c r="V46" s="14">
        <f t="shared" si="22"/>
        <v>0</v>
      </c>
      <c r="W46" s="14">
        <f t="shared" si="11"/>
        <v>0</v>
      </c>
      <c r="X46" s="19">
        <f t="shared" si="23"/>
        <v>0</v>
      </c>
      <c r="AA46" s="42" t="s">
        <v>79</v>
      </c>
      <c r="AB46" s="43"/>
    </row>
    <row r="47" ht="15.75" customHeight="1">
      <c r="A47" s="31">
        <v>44.0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4"/>
        <v>0</v>
      </c>
      <c r="N47" s="13">
        <f t="shared" si="15"/>
        <v>0</v>
      </c>
      <c r="O47" s="13">
        <f t="shared" si="16"/>
        <v>0</v>
      </c>
      <c r="P47" s="14">
        <f t="shared" si="1"/>
        <v>0</v>
      </c>
      <c r="Q47" s="15">
        <f t="shared" si="17"/>
        <v>0</v>
      </c>
      <c r="R47" s="14">
        <f t="shared" si="18"/>
        <v>0</v>
      </c>
      <c r="S47" s="14">
        <f t="shared" si="19"/>
        <v>0</v>
      </c>
      <c r="T47" s="14">
        <f t="shared" si="20"/>
        <v>0</v>
      </c>
      <c r="U47" s="14">
        <f t="shared" si="21"/>
        <v>0</v>
      </c>
      <c r="V47" s="14">
        <f t="shared" si="22"/>
        <v>0</v>
      </c>
      <c r="W47" s="14">
        <f t="shared" si="11"/>
        <v>0</v>
      </c>
      <c r="X47" s="19">
        <f t="shared" si="23"/>
        <v>0</v>
      </c>
      <c r="AA47" s="44" t="s">
        <v>80</v>
      </c>
      <c r="AB47" s="45">
        <f>SUM(Q3:Q1002)</f>
        <v>1825.32</v>
      </c>
    </row>
    <row r="48" ht="15.75" customHeight="1">
      <c r="A48" s="31">
        <v>45.0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4"/>
        <v>0</v>
      </c>
      <c r="N48" s="13">
        <f t="shared" si="15"/>
        <v>0</v>
      </c>
      <c r="O48" s="13">
        <f t="shared" si="16"/>
        <v>0</v>
      </c>
      <c r="P48" s="14">
        <f t="shared" si="1"/>
        <v>0</v>
      </c>
      <c r="Q48" s="15">
        <f t="shared" si="17"/>
        <v>0</v>
      </c>
      <c r="R48" s="14">
        <f t="shared" si="18"/>
        <v>0</v>
      </c>
      <c r="S48" s="14">
        <f t="shared" si="19"/>
        <v>0</v>
      </c>
      <c r="T48" s="14">
        <f t="shared" si="20"/>
        <v>0</v>
      </c>
      <c r="U48" s="14">
        <f t="shared" si="21"/>
        <v>0</v>
      </c>
      <c r="V48" s="14">
        <f t="shared" si="22"/>
        <v>0</v>
      </c>
      <c r="W48" s="14">
        <f t="shared" si="11"/>
        <v>0</v>
      </c>
      <c r="X48" s="19">
        <f t="shared" si="23"/>
        <v>0</v>
      </c>
      <c r="AA48" s="46" t="s">
        <v>81</v>
      </c>
      <c r="AB48" s="26"/>
    </row>
    <row r="49" ht="15.75" customHeight="1">
      <c r="A49" s="31">
        <v>46.0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4"/>
        <v>0</v>
      </c>
      <c r="N49" s="13">
        <f t="shared" si="15"/>
        <v>0</v>
      </c>
      <c r="O49" s="13">
        <f t="shared" si="16"/>
        <v>0</v>
      </c>
      <c r="P49" s="14">
        <f t="shared" si="1"/>
        <v>0</v>
      </c>
      <c r="Q49" s="15">
        <f t="shared" si="17"/>
        <v>0</v>
      </c>
      <c r="R49" s="14">
        <f t="shared" si="18"/>
        <v>0</v>
      </c>
      <c r="S49" s="14">
        <f t="shared" si="19"/>
        <v>0</v>
      </c>
      <c r="T49" s="14">
        <f t="shared" si="20"/>
        <v>0</v>
      </c>
      <c r="U49" s="14">
        <f t="shared" si="21"/>
        <v>0</v>
      </c>
      <c r="V49" s="14">
        <f t="shared" si="22"/>
        <v>0</v>
      </c>
      <c r="W49" s="14">
        <f t="shared" si="11"/>
        <v>0</v>
      </c>
      <c r="X49" s="19">
        <f t="shared" si="23"/>
        <v>0</v>
      </c>
      <c r="AA49" s="47" t="s">
        <v>82</v>
      </c>
      <c r="AB49" s="48">
        <v>0.4</v>
      </c>
    </row>
    <row r="50" ht="15.75" customHeight="1">
      <c r="A50" s="31">
        <v>47.0</v>
      </c>
      <c r="B50" s="21"/>
      <c r="C50" s="21"/>
      <c r="D50" s="21"/>
      <c r="E50" s="21"/>
      <c r="F50" s="21"/>
      <c r="G50" s="31" t="b">
        <v>1</v>
      </c>
      <c r="H50" s="12" t="b">
        <v>0</v>
      </c>
      <c r="I50" s="3" t="b">
        <v>0</v>
      </c>
      <c r="J50" s="3" t="b">
        <v>0</v>
      </c>
      <c r="K50" s="3" t="b">
        <v>0</v>
      </c>
      <c r="L50" s="8">
        <v>1.0</v>
      </c>
      <c r="M50" s="13">
        <f t="shared" si="14"/>
        <v>0</v>
      </c>
      <c r="N50" s="13">
        <f t="shared" si="15"/>
        <v>0</v>
      </c>
      <c r="O50" s="13">
        <f t="shared" si="16"/>
        <v>0</v>
      </c>
      <c r="P50" s="14">
        <f t="shared" si="1"/>
        <v>0</v>
      </c>
      <c r="Q50" s="15">
        <f t="shared" si="17"/>
        <v>0</v>
      </c>
      <c r="R50" s="14">
        <f t="shared" si="18"/>
        <v>0</v>
      </c>
      <c r="S50" s="14">
        <f t="shared" si="19"/>
        <v>0</v>
      </c>
      <c r="T50" s="14">
        <f t="shared" si="20"/>
        <v>0</v>
      </c>
      <c r="U50" s="14">
        <f t="shared" si="21"/>
        <v>0</v>
      </c>
      <c r="V50" s="14">
        <f t="shared" si="22"/>
        <v>0</v>
      </c>
      <c r="W50" s="14">
        <f t="shared" si="11"/>
        <v>0</v>
      </c>
      <c r="X50" s="19">
        <f t="shared" si="23"/>
        <v>0</v>
      </c>
      <c r="AA50" s="47" t="s">
        <v>83</v>
      </c>
      <c r="AB50" s="49">
        <v>37.5</v>
      </c>
    </row>
    <row r="51" ht="15.75" customHeight="1">
      <c r="A51" s="31">
        <v>48.0</v>
      </c>
      <c r="B51" s="21"/>
      <c r="C51" s="21"/>
      <c r="D51" s="21"/>
      <c r="E51" s="21"/>
      <c r="F51" s="21"/>
      <c r="G51" s="31" t="b">
        <v>1</v>
      </c>
      <c r="H51" s="12" t="b">
        <v>0</v>
      </c>
      <c r="I51" s="3" t="b">
        <v>0</v>
      </c>
      <c r="J51" s="3" t="b">
        <v>0</v>
      </c>
      <c r="K51" s="3" t="b">
        <v>0</v>
      </c>
      <c r="L51" s="8">
        <v>1.0</v>
      </c>
      <c r="M51" s="13">
        <f t="shared" si="14"/>
        <v>0</v>
      </c>
      <c r="N51" s="13">
        <f t="shared" si="15"/>
        <v>0</v>
      </c>
      <c r="O51" s="13">
        <f t="shared" si="16"/>
        <v>0</v>
      </c>
      <c r="P51" s="14">
        <f t="shared" si="1"/>
        <v>0</v>
      </c>
      <c r="Q51" s="15">
        <f t="shared" si="17"/>
        <v>0</v>
      </c>
      <c r="R51" s="14">
        <f t="shared" si="18"/>
        <v>0</v>
      </c>
      <c r="S51" s="14">
        <f t="shared" si="19"/>
        <v>0</v>
      </c>
      <c r="T51" s="14">
        <f t="shared" si="20"/>
        <v>0</v>
      </c>
      <c r="U51" s="14">
        <f t="shared" si="21"/>
        <v>0</v>
      </c>
      <c r="V51" s="14">
        <f t="shared" si="22"/>
        <v>0</v>
      </c>
      <c r="W51" s="14">
        <f t="shared" si="11"/>
        <v>0</v>
      </c>
      <c r="X51" s="19">
        <f t="shared" si="23"/>
        <v>0</v>
      </c>
      <c r="AA51" s="47" t="s">
        <v>74</v>
      </c>
      <c r="AB51" s="50">
        <f t="shared" ref="AB51:AB57" si="24">IFERROR((AB40*$AB$49)/$AB$50,0)</f>
        <v>58.1632</v>
      </c>
    </row>
    <row r="52" ht="15.75" customHeight="1">
      <c r="A52" s="31"/>
      <c r="B52" s="21"/>
      <c r="C52" s="21"/>
      <c r="D52" s="21"/>
      <c r="E52" s="21"/>
      <c r="F52" s="21"/>
      <c r="G52" s="31"/>
      <c r="H52" s="12"/>
      <c r="M52" s="13"/>
      <c r="N52" s="13"/>
      <c r="O52" s="13"/>
      <c r="P52" s="14"/>
      <c r="Q52" s="15">
        <f t="shared" si="17"/>
        <v>0</v>
      </c>
      <c r="R52" s="14"/>
      <c r="S52" s="14"/>
      <c r="T52" s="14"/>
      <c r="U52" s="14"/>
      <c r="V52" s="14"/>
      <c r="W52" s="14">
        <f t="shared" si="11"/>
        <v>0</v>
      </c>
      <c r="X52" s="19">
        <f t="shared" si="23"/>
        <v>0</v>
      </c>
      <c r="AA52" s="47" t="s">
        <v>75</v>
      </c>
      <c r="AB52" s="50">
        <f t="shared" si="24"/>
        <v>0</v>
      </c>
    </row>
    <row r="53" ht="15.75" customHeight="1">
      <c r="A53" s="31" t="s">
        <v>26</v>
      </c>
      <c r="B53" s="31" t="s">
        <v>26</v>
      </c>
      <c r="C53" s="31" t="s">
        <v>26</v>
      </c>
      <c r="D53" s="31" t="s">
        <v>26</v>
      </c>
      <c r="E53" s="31" t="s">
        <v>26</v>
      </c>
      <c r="F53" s="31" t="s">
        <v>26</v>
      </c>
      <c r="G53" s="31" t="s">
        <v>26</v>
      </c>
      <c r="H53" s="31" t="s">
        <v>26</v>
      </c>
      <c r="I53" s="8" t="s">
        <v>26</v>
      </c>
      <c r="J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20" t="s">
        <v>26</v>
      </c>
      <c r="Q53" s="51">
        <f t="shared" si="17"/>
        <v>0</v>
      </c>
      <c r="R53" s="52" t="s">
        <v>26</v>
      </c>
      <c r="S53" s="20" t="s">
        <v>26</v>
      </c>
      <c r="T53" s="20" t="s">
        <v>26</v>
      </c>
      <c r="U53" s="20" t="s">
        <v>26</v>
      </c>
      <c r="V53" s="20" t="s">
        <v>26</v>
      </c>
      <c r="W53" s="20">
        <f t="shared" si="11"/>
        <v>0</v>
      </c>
      <c r="X53" s="19">
        <f t="shared" si="23"/>
        <v>0</v>
      </c>
      <c r="AA53" s="47" t="s">
        <v>76</v>
      </c>
      <c r="AB53" s="50">
        <f t="shared" si="24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17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23"/>
        <v>0</v>
      </c>
      <c r="AA54" s="47" t="s">
        <v>4</v>
      </c>
      <c r="AB54" s="50">
        <f t="shared" si="24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17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23"/>
        <v>0</v>
      </c>
      <c r="AA55" s="47" t="s">
        <v>77</v>
      </c>
      <c r="AB55" s="50">
        <f t="shared" si="24"/>
        <v>11.47733333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17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23"/>
        <v>0</v>
      </c>
      <c r="AA56" s="53" t="s">
        <v>78</v>
      </c>
      <c r="AB56" s="54">
        <f t="shared" si="24"/>
        <v>0</v>
      </c>
    </row>
    <row r="57" ht="15.75" customHeight="1">
      <c r="A57" s="8" t="s">
        <v>26</v>
      </c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17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23"/>
        <v>0</v>
      </c>
      <c r="AA57" s="55" t="s">
        <v>84</v>
      </c>
      <c r="AB57" s="56">
        <f t="shared" si="24"/>
        <v>0</v>
      </c>
    </row>
    <row r="58" ht="15.75" customHeight="1">
      <c r="A58" s="8" t="s">
        <v>26</v>
      </c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17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23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17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23"/>
        <v>0</v>
      </c>
      <c r="AA59" s="57"/>
      <c r="AB59" s="26"/>
    </row>
    <row r="60" ht="15.75" customHeight="1"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17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23"/>
        <v>0</v>
      </c>
      <c r="AA60" s="37"/>
      <c r="AB60" s="41"/>
    </row>
    <row r="61" ht="15.75" customHeight="1">
      <c r="B61" s="8" t="s">
        <v>26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51">
        <f t="shared" si="17"/>
        <v>0</v>
      </c>
      <c r="R61" s="8" t="s">
        <v>26</v>
      </c>
      <c r="S61" s="8" t="s">
        <v>26</v>
      </c>
      <c r="T61" s="8" t="s">
        <v>26</v>
      </c>
      <c r="U61" s="8" t="s">
        <v>26</v>
      </c>
      <c r="V61" s="8" t="s">
        <v>26</v>
      </c>
      <c r="W61" s="8">
        <f t="shared" si="11"/>
        <v>0</v>
      </c>
      <c r="X61" s="19">
        <f t="shared" si="23"/>
        <v>0</v>
      </c>
      <c r="AA61" s="37"/>
      <c r="AB61" s="41"/>
    </row>
    <row r="62" ht="15.75" customHeight="1">
      <c r="A62" s="31"/>
      <c r="B62" s="8" t="s">
        <v>26</v>
      </c>
      <c r="C62" s="8" t="s">
        <v>26</v>
      </c>
      <c r="D62" s="8" t="s">
        <v>26</v>
      </c>
      <c r="E62" s="8" t="s">
        <v>26</v>
      </c>
      <c r="F62" s="8" t="s">
        <v>26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51">
        <f t="shared" si="17"/>
        <v>0</v>
      </c>
      <c r="R62" s="8" t="s">
        <v>26</v>
      </c>
      <c r="S62" s="8" t="s">
        <v>26</v>
      </c>
      <c r="T62" s="8" t="s">
        <v>26</v>
      </c>
      <c r="U62" s="8" t="s">
        <v>26</v>
      </c>
      <c r="V62" s="8" t="s">
        <v>26</v>
      </c>
      <c r="W62" s="8">
        <f t="shared" si="11"/>
        <v>0</v>
      </c>
      <c r="X62" s="19">
        <f t="shared" si="23"/>
        <v>0</v>
      </c>
      <c r="AA62" s="37"/>
      <c r="AB62" s="41"/>
    </row>
    <row r="63" ht="15.75" customHeight="1">
      <c r="Q63" s="15">
        <f t="shared" si="17"/>
        <v>0</v>
      </c>
      <c r="W63" s="22">
        <f t="shared" si="11"/>
        <v>0</v>
      </c>
      <c r="X63" s="19">
        <f t="shared" si="23"/>
        <v>0</v>
      </c>
      <c r="AA63" s="37"/>
      <c r="AB63" s="41"/>
    </row>
    <row r="64" ht="15.75" customHeight="1">
      <c r="A64" s="21"/>
      <c r="Q64" s="15">
        <f t="shared" si="17"/>
        <v>0</v>
      </c>
      <c r="W64" s="22">
        <f t="shared" si="11"/>
        <v>0</v>
      </c>
      <c r="X64" s="19">
        <f t="shared" si="23"/>
        <v>0</v>
      </c>
      <c r="AA64" s="37"/>
      <c r="AB64" s="41"/>
    </row>
    <row r="65" ht="15.75" customHeight="1">
      <c r="A65" s="21"/>
      <c r="Q65" s="15">
        <f t="shared" si="17"/>
        <v>0</v>
      </c>
      <c r="W65" s="22">
        <f t="shared" si="11"/>
        <v>0</v>
      </c>
      <c r="X65" s="19">
        <f t="shared" si="23"/>
        <v>0</v>
      </c>
      <c r="AA65" s="37"/>
      <c r="AB65" s="41"/>
    </row>
    <row r="66" ht="15.75" customHeight="1">
      <c r="Q66" s="15">
        <f t="shared" si="17"/>
        <v>0</v>
      </c>
      <c r="W66" s="22">
        <f t="shared" si="11"/>
        <v>0</v>
      </c>
      <c r="X66" s="19">
        <f t="shared" si="23"/>
        <v>0</v>
      </c>
      <c r="AA66" s="42"/>
      <c r="AB66" s="43"/>
    </row>
    <row r="67" ht="15.75" customHeight="1">
      <c r="Q67" s="15">
        <f t="shared" si="17"/>
        <v>0</v>
      </c>
      <c r="W67" s="22">
        <f t="shared" si="11"/>
        <v>0</v>
      </c>
      <c r="X67" s="19">
        <f t="shared" si="23"/>
        <v>0</v>
      </c>
      <c r="AA67" s="44"/>
      <c r="AB67" s="45"/>
    </row>
    <row r="68" ht="15.75" customHeight="1">
      <c r="Q68" s="15">
        <f t="shared" si="17"/>
        <v>0</v>
      </c>
      <c r="W68" s="22">
        <f t="shared" si="11"/>
        <v>0</v>
      </c>
      <c r="X68" s="19">
        <f t="shared" si="23"/>
        <v>0</v>
      </c>
    </row>
    <row r="69" ht="15.75" customHeight="1">
      <c r="Q69" s="15">
        <f t="shared" si="17"/>
        <v>0</v>
      </c>
      <c r="W69" s="22">
        <f t="shared" si="11"/>
        <v>0</v>
      </c>
      <c r="X69" s="19">
        <f t="shared" si="23"/>
        <v>0</v>
      </c>
    </row>
    <row r="70" ht="15.75" customHeight="1">
      <c r="Q70" s="15">
        <f t="shared" si="17"/>
        <v>0</v>
      </c>
      <c r="W70" s="22">
        <f t="shared" si="11"/>
        <v>0</v>
      </c>
      <c r="X70" s="19">
        <f t="shared" si="23"/>
        <v>0</v>
      </c>
    </row>
    <row r="71" ht="15.75" customHeight="1">
      <c r="Q71" s="15">
        <f t="shared" si="17"/>
        <v>0</v>
      </c>
      <c r="W71" s="22">
        <f t="shared" si="11"/>
        <v>0</v>
      </c>
      <c r="X71" s="19">
        <f t="shared" si="23"/>
        <v>0</v>
      </c>
    </row>
    <row r="72" ht="15.75" customHeight="1">
      <c r="Q72" s="15">
        <f t="shared" si="17"/>
        <v>0</v>
      </c>
      <c r="W72" s="22">
        <f t="shared" si="11"/>
        <v>0</v>
      </c>
      <c r="X72" s="19">
        <f t="shared" si="23"/>
        <v>0</v>
      </c>
    </row>
    <row r="73" ht="15.75" customHeight="1">
      <c r="Q73" s="15">
        <f t="shared" si="17"/>
        <v>0</v>
      </c>
      <c r="W73" s="22">
        <f t="shared" si="11"/>
        <v>0</v>
      </c>
      <c r="X73" s="19">
        <f t="shared" si="23"/>
        <v>0</v>
      </c>
    </row>
    <row r="74" ht="15.75" customHeight="1">
      <c r="Q74" s="15">
        <f t="shared" si="17"/>
        <v>0</v>
      </c>
      <c r="W74" s="22">
        <f t="shared" si="11"/>
        <v>0</v>
      </c>
      <c r="X74" s="19">
        <f t="shared" si="23"/>
        <v>0</v>
      </c>
    </row>
    <row r="75" ht="15.75" customHeight="1">
      <c r="Q75" s="15">
        <f t="shared" si="17"/>
        <v>0</v>
      </c>
      <c r="W75" s="22">
        <f t="shared" si="11"/>
        <v>0</v>
      </c>
      <c r="X75" s="19">
        <f t="shared" si="23"/>
        <v>0</v>
      </c>
    </row>
    <row r="76" ht="15.75" customHeight="1">
      <c r="Q76" s="15">
        <f t="shared" si="17"/>
        <v>0</v>
      </c>
      <c r="W76" s="22">
        <f t="shared" si="11"/>
        <v>0</v>
      </c>
      <c r="X76" s="19">
        <f t="shared" si="23"/>
        <v>0</v>
      </c>
    </row>
    <row r="77" ht="15.75" customHeight="1">
      <c r="Q77" s="15">
        <f t="shared" si="17"/>
        <v>0</v>
      </c>
      <c r="W77" s="22">
        <f t="shared" si="11"/>
        <v>0</v>
      </c>
      <c r="X77" s="19">
        <f t="shared" si="23"/>
        <v>0</v>
      </c>
    </row>
    <row r="78" ht="15.75" customHeight="1">
      <c r="Q78" s="15">
        <f t="shared" si="17"/>
        <v>0</v>
      </c>
      <c r="W78" s="22">
        <f t="shared" si="11"/>
        <v>0</v>
      </c>
      <c r="X78" s="19">
        <f t="shared" si="23"/>
        <v>0</v>
      </c>
    </row>
    <row r="79" ht="15.75" customHeight="1">
      <c r="Q79" s="15">
        <f t="shared" si="17"/>
        <v>0</v>
      </c>
      <c r="W79" s="22">
        <f t="shared" si="11"/>
        <v>0</v>
      </c>
      <c r="X79" s="19">
        <f t="shared" si="23"/>
        <v>0</v>
      </c>
    </row>
    <row r="80" ht="15.75" customHeight="1">
      <c r="Q80" s="15">
        <f t="shared" si="17"/>
        <v>0</v>
      </c>
      <c r="W80" s="22">
        <f t="shared" si="11"/>
        <v>0</v>
      </c>
      <c r="X80" s="19">
        <f t="shared" si="23"/>
        <v>0</v>
      </c>
    </row>
    <row r="81" ht="15.75" customHeight="1">
      <c r="Q81" s="15">
        <f t="shared" si="17"/>
        <v>0</v>
      </c>
      <c r="W81" s="22">
        <f t="shared" si="11"/>
        <v>0</v>
      </c>
      <c r="X81" s="19">
        <f t="shared" si="23"/>
        <v>0</v>
      </c>
    </row>
    <row r="82" ht="15.75" customHeight="1">
      <c r="Q82" s="15">
        <f t="shared" si="17"/>
        <v>0</v>
      </c>
      <c r="W82" s="22">
        <f t="shared" si="11"/>
        <v>0</v>
      </c>
      <c r="X82" s="19">
        <f t="shared" si="23"/>
        <v>0</v>
      </c>
    </row>
    <row r="83" ht="15.75" customHeight="1">
      <c r="Q83" s="15">
        <f t="shared" si="17"/>
        <v>0</v>
      </c>
      <c r="W83" s="22">
        <f t="shared" si="11"/>
        <v>0</v>
      </c>
      <c r="X83" s="19">
        <f t="shared" si="23"/>
        <v>0</v>
      </c>
    </row>
    <row r="84" ht="15.75" customHeight="1">
      <c r="Q84" s="15">
        <f t="shared" si="17"/>
        <v>0</v>
      </c>
      <c r="W84" s="22">
        <f t="shared" si="11"/>
        <v>0</v>
      </c>
      <c r="X84" s="19">
        <f t="shared" si="23"/>
        <v>0</v>
      </c>
    </row>
    <row r="85" ht="15.75" customHeight="1">
      <c r="Q85" s="15">
        <f t="shared" si="17"/>
        <v>0</v>
      </c>
      <c r="W85" s="22">
        <f t="shared" si="11"/>
        <v>0</v>
      </c>
      <c r="X85" s="19">
        <f t="shared" si="23"/>
        <v>0</v>
      </c>
    </row>
    <row r="86" ht="15.75" customHeight="1">
      <c r="Q86" s="15">
        <f t="shared" si="17"/>
        <v>0</v>
      </c>
      <c r="W86" s="22">
        <f t="shared" si="11"/>
        <v>0</v>
      </c>
      <c r="X86" s="19">
        <f t="shared" si="23"/>
        <v>0</v>
      </c>
    </row>
    <row r="87" ht="15.75" customHeight="1">
      <c r="Q87" s="15">
        <f t="shared" si="17"/>
        <v>0</v>
      </c>
      <c r="W87" s="22">
        <f t="shared" si="11"/>
        <v>0</v>
      </c>
      <c r="X87" s="19">
        <f t="shared" si="23"/>
        <v>0</v>
      </c>
    </row>
    <row r="88" ht="15.75" customHeight="1">
      <c r="Q88" s="15">
        <f t="shared" si="17"/>
        <v>0</v>
      </c>
      <c r="W88" s="22">
        <f t="shared" si="11"/>
        <v>0</v>
      </c>
      <c r="X88" s="19">
        <f t="shared" si="23"/>
        <v>0</v>
      </c>
    </row>
    <row r="89" ht="15.75" customHeight="1">
      <c r="Q89" s="15">
        <f t="shared" si="17"/>
        <v>0</v>
      </c>
      <c r="W89" s="22">
        <f t="shared" si="11"/>
        <v>0</v>
      </c>
      <c r="X89" s="19">
        <f t="shared" si="23"/>
        <v>0</v>
      </c>
    </row>
    <row r="90" ht="15.75" customHeight="1">
      <c r="Q90" s="15">
        <f t="shared" si="17"/>
        <v>0</v>
      </c>
      <c r="W90" s="22">
        <f t="shared" si="11"/>
        <v>0</v>
      </c>
      <c r="X90" s="19">
        <f t="shared" si="23"/>
        <v>0</v>
      </c>
    </row>
    <row r="91" ht="15.75" customHeight="1">
      <c r="Q91" s="15">
        <f t="shared" si="17"/>
        <v>0</v>
      </c>
      <c r="W91" s="22">
        <f t="shared" si="11"/>
        <v>0</v>
      </c>
      <c r="X91" s="19">
        <f t="shared" si="23"/>
        <v>0</v>
      </c>
    </row>
    <row r="92" ht="15.75" customHeight="1">
      <c r="Q92" s="15">
        <f t="shared" si="17"/>
        <v>0</v>
      </c>
      <c r="W92" s="22">
        <f t="shared" si="11"/>
        <v>0</v>
      </c>
      <c r="X92" s="19">
        <f t="shared" si="23"/>
        <v>0</v>
      </c>
    </row>
    <row r="93" ht="15.75" customHeight="1">
      <c r="Q93" s="15">
        <f t="shared" si="17"/>
        <v>0</v>
      </c>
      <c r="W93" s="22">
        <f t="shared" si="11"/>
        <v>0</v>
      </c>
      <c r="X93" s="19">
        <f t="shared" si="23"/>
        <v>0</v>
      </c>
    </row>
    <row r="94" ht="15.75" customHeight="1">
      <c r="Q94" s="15">
        <f t="shared" si="17"/>
        <v>0</v>
      </c>
      <c r="W94" s="22">
        <f t="shared" si="11"/>
        <v>0</v>
      </c>
      <c r="X94" s="19">
        <f t="shared" si="23"/>
        <v>0</v>
      </c>
    </row>
    <row r="95" ht="15.75" customHeight="1">
      <c r="Q95" s="15">
        <f t="shared" si="17"/>
        <v>0</v>
      </c>
      <c r="W95" s="22">
        <f t="shared" si="11"/>
        <v>0</v>
      </c>
      <c r="X95" s="19">
        <f t="shared" si="23"/>
        <v>0</v>
      </c>
    </row>
    <row r="96" ht="15.75" customHeight="1">
      <c r="Q96" s="15">
        <f t="shared" si="17"/>
        <v>0</v>
      </c>
      <c r="W96" s="22">
        <f t="shared" si="11"/>
        <v>0</v>
      </c>
      <c r="X96" s="19">
        <f t="shared" si="23"/>
        <v>0</v>
      </c>
    </row>
    <row r="97" ht="15.75" customHeight="1">
      <c r="Q97" s="15">
        <f t="shared" si="17"/>
        <v>0</v>
      </c>
      <c r="W97" s="22">
        <f t="shared" si="11"/>
        <v>0</v>
      </c>
      <c r="X97" s="19">
        <f t="shared" si="23"/>
        <v>0</v>
      </c>
    </row>
    <row r="98" ht="15.75" customHeight="1">
      <c r="Q98" s="15">
        <f t="shared" si="17"/>
        <v>0</v>
      </c>
      <c r="W98" s="22">
        <f t="shared" si="11"/>
        <v>0</v>
      </c>
      <c r="X98" s="19">
        <f t="shared" si="23"/>
        <v>0</v>
      </c>
    </row>
    <row r="99" ht="15.75" customHeight="1">
      <c r="Q99" s="15">
        <f t="shared" si="17"/>
        <v>0</v>
      </c>
      <c r="W99" s="22">
        <f t="shared" si="11"/>
        <v>0</v>
      </c>
      <c r="X99" s="19">
        <f t="shared" si="23"/>
        <v>0</v>
      </c>
    </row>
    <row r="100" ht="15.75" customHeight="1">
      <c r="Q100" s="15">
        <f t="shared" si="17"/>
        <v>0</v>
      </c>
      <c r="W100" s="22">
        <f t="shared" si="11"/>
        <v>0</v>
      </c>
      <c r="X100" s="19">
        <f t="shared" si="23"/>
        <v>0</v>
      </c>
    </row>
    <row r="101" ht="15.75" customHeight="1">
      <c r="Q101" s="15">
        <f t="shared" si="17"/>
        <v>0</v>
      </c>
      <c r="W101" s="22">
        <f t="shared" si="11"/>
        <v>0</v>
      </c>
      <c r="X101" s="19">
        <f t="shared" si="23"/>
        <v>0</v>
      </c>
    </row>
    <row r="102" ht="15.75" customHeight="1">
      <c r="Q102" s="15">
        <f t="shared" si="17"/>
        <v>0</v>
      </c>
      <c r="W102" s="22">
        <f t="shared" si="11"/>
        <v>0</v>
      </c>
      <c r="X102" s="19">
        <f t="shared" si="23"/>
        <v>0</v>
      </c>
    </row>
    <row r="103" ht="15.75" customHeight="1">
      <c r="Q103" s="15">
        <f t="shared" si="17"/>
        <v>0</v>
      </c>
      <c r="W103" s="22">
        <f t="shared" si="11"/>
        <v>0</v>
      </c>
      <c r="X103" s="19">
        <f t="shared" si="23"/>
        <v>0</v>
      </c>
    </row>
    <row r="104" ht="15.75" customHeight="1">
      <c r="Q104" s="15">
        <f t="shared" si="17"/>
        <v>0</v>
      </c>
      <c r="W104" s="22">
        <f t="shared" si="11"/>
        <v>0</v>
      </c>
      <c r="X104" s="19">
        <f t="shared" si="23"/>
        <v>0</v>
      </c>
    </row>
    <row r="105" ht="15.75" customHeight="1">
      <c r="Q105" s="15">
        <f t="shared" si="17"/>
        <v>0</v>
      </c>
      <c r="W105" s="22">
        <f t="shared" si="11"/>
        <v>0</v>
      </c>
      <c r="X105" s="19">
        <f t="shared" si="23"/>
        <v>0</v>
      </c>
    </row>
    <row r="106" ht="15.75" customHeight="1">
      <c r="Q106" s="15">
        <f t="shared" si="17"/>
        <v>0</v>
      </c>
      <c r="W106" s="22">
        <f t="shared" si="11"/>
        <v>0</v>
      </c>
      <c r="X106" s="19">
        <f t="shared" si="23"/>
        <v>0</v>
      </c>
    </row>
    <row r="107" ht="15.75" customHeight="1">
      <c r="Q107" s="15">
        <f t="shared" si="17"/>
        <v>0</v>
      </c>
      <c r="W107" s="22">
        <f t="shared" si="11"/>
        <v>0</v>
      </c>
      <c r="X107" s="19">
        <f t="shared" si="23"/>
        <v>0</v>
      </c>
    </row>
    <row r="108" ht="15.75" customHeight="1">
      <c r="Q108" s="15">
        <f t="shared" si="17"/>
        <v>0</v>
      </c>
      <c r="W108" s="22">
        <f t="shared" si="11"/>
        <v>0</v>
      </c>
      <c r="X108" s="19">
        <f t="shared" si="23"/>
        <v>0</v>
      </c>
    </row>
    <row r="109" ht="15.75" customHeight="1">
      <c r="Q109" s="15">
        <f t="shared" si="17"/>
        <v>0</v>
      </c>
      <c r="W109" s="22">
        <f t="shared" si="11"/>
        <v>0</v>
      </c>
      <c r="X109" s="19">
        <f t="shared" si="23"/>
        <v>0</v>
      </c>
    </row>
    <row r="110" ht="15.75" customHeight="1">
      <c r="Q110" s="15">
        <f t="shared" si="17"/>
        <v>0</v>
      </c>
      <c r="W110" s="22">
        <f t="shared" si="11"/>
        <v>0</v>
      </c>
      <c r="X110" s="19">
        <f t="shared" si="23"/>
        <v>0</v>
      </c>
    </row>
    <row r="111" ht="15.75" customHeight="1">
      <c r="Q111" s="15">
        <f t="shared" si="17"/>
        <v>0</v>
      </c>
      <c r="W111" s="22">
        <f t="shared" si="11"/>
        <v>0</v>
      </c>
      <c r="X111" s="19">
        <f t="shared" si="23"/>
        <v>0</v>
      </c>
    </row>
    <row r="112" ht="15.75" customHeight="1">
      <c r="Q112" s="15">
        <f t="shared" si="17"/>
        <v>0</v>
      </c>
      <c r="W112" s="22">
        <f t="shared" si="11"/>
        <v>0</v>
      </c>
      <c r="X112" s="19">
        <f t="shared" si="23"/>
        <v>0</v>
      </c>
    </row>
    <row r="113" ht="15.75" customHeight="1">
      <c r="Q113" s="15">
        <f t="shared" si="17"/>
        <v>0</v>
      </c>
      <c r="W113" s="22">
        <f t="shared" si="11"/>
        <v>0</v>
      </c>
      <c r="X113" s="19">
        <f t="shared" si="23"/>
        <v>0</v>
      </c>
    </row>
    <row r="114" ht="15.75" customHeight="1">
      <c r="Q114" s="15">
        <f t="shared" si="17"/>
        <v>0</v>
      </c>
      <c r="W114" s="22">
        <f t="shared" si="11"/>
        <v>0</v>
      </c>
      <c r="X114" s="19">
        <f t="shared" si="23"/>
        <v>0</v>
      </c>
    </row>
    <row r="115" ht="15.75" customHeight="1">
      <c r="Q115" s="15">
        <f t="shared" si="17"/>
        <v>0</v>
      </c>
      <c r="W115" s="22">
        <f t="shared" si="11"/>
        <v>0</v>
      </c>
      <c r="X115" s="19">
        <f t="shared" si="23"/>
        <v>0</v>
      </c>
    </row>
    <row r="116" ht="15.75" customHeight="1">
      <c r="Q116" s="15">
        <f t="shared" si="17"/>
        <v>0</v>
      </c>
      <c r="W116" s="22">
        <f t="shared" si="11"/>
        <v>0</v>
      </c>
      <c r="X116" s="19">
        <f t="shared" si="23"/>
        <v>0</v>
      </c>
    </row>
    <row r="117" ht="15.75" customHeight="1">
      <c r="Q117" s="15">
        <f t="shared" si="17"/>
        <v>0</v>
      </c>
      <c r="W117" s="22">
        <f t="shared" si="11"/>
        <v>0</v>
      </c>
      <c r="X117" s="19">
        <f t="shared" si="23"/>
        <v>0</v>
      </c>
    </row>
    <row r="118" ht="15.75" customHeight="1">
      <c r="Q118" s="15">
        <f t="shared" si="17"/>
        <v>0</v>
      </c>
      <c r="W118" s="22">
        <f t="shared" si="11"/>
        <v>0</v>
      </c>
      <c r="X118" s="19">
        <f t="shared" si="23"/>
        <v>0</v>
      </c>
    </row>
    <row r="119" ht="15.75" customHeight="1">
      <c r="Q119" s="15">
        <f t="shared" si="17"/>
        <v>0</v>
      </c>
      <c r="W119" s="22">
        <f t="shared" si="11"/>
        <v>0</v>
      </c>
      <c r="X119" s="19">
        <f t="shared" si="23"/>
        <v>0</v>
      </c>
    </row>
    <row r="120" ht="15.75" customHeight="1">
      <c r="Q120" s="15">
        <f t="shared" si="17"/>
        <v>0</v>
      </c>
      <c r="W120" s="22">
        <f t="shared" si="11"/>
        <v>0</v>
      </c>
      <c r="X120" s="19">
        <f t="shared" si="23"/>
        <v>0</v>
      </c>
    </row>
    <row r="121" ht="15.75" customHeight="1">
      <c r="Q121" s="15">
        <f t="shared" si="17"/>
        <v>0</v>
      </c>
      <c r="W121" s="22">
        <f t="shared" si="11"/>
        <v>0</v>
      </c>
      <c r="X121" s="19">
        <f t="shared" si="23"/>
        <v>0</v>
      </c>
    </row>
    <row r="122" ht="15.75" customHeight="1">
      <c r="Q122" s="15">
        <f t="shared" si="17"/>
        <v>0</v>
      </c>
      <c r="W122" s="22">
        <f t="shared" si="11"/>
        <v>0</v>
      </c>
      <c r="X122" s="19">
        <f t="shared" si="23"/>
        <v>0</v>
      </c>
    </row>
    <row r="123" ht="15.75" customHeight="1">
      <c r="Q123" s="15">
        <f t="shared" si="17"/>
        <v>0</v>
      </c>
      <c r="W123" s="22">
        <f t="shared" si="11"/>
        <v>0</v>
      </c>
      <c r="X123" s="19">
        <f t="shared" si="23"/>
        <v>0</v>
      </c>
    </row>
    <row r="124" ht="15.75" customHeight="1">
      <c r="Q124" s="15">
        <f t="shared" si="17"/>
        <v>0</v>
      </c>
      <c r="W124" s="22">
        <f t="shared" si="11"/>
        <v>0</v>
      </c>
      <c r="X124" s="19">
        <f t="shared" si="23"/>
        <v>0</v>
      </c>
    </row>
    <row r="125" ht="15.75" customHeight="1">
      <c r="Q125" s="15">
        <f t="shared" si="17"/>
        <v>0</v>
      </c>
      <c r="W125" s="22">
        <f t="shared" si="11"/>
        <v>0</v>
      </c>
      <c r="X125" s="19">
        <f t="shared" si="23"/>
        <v>0</v>
      </c>
    </row>
    <row r="126" ht="15.75" customHeight="1">
      <c r="Q126" s="15">
        <f t="shared" si="17"/>
        <v>0</v>
      </c>
      <c r="W126" s="22">
        <f t="shared" si="11"/>
        <v>0</v>
      </c>
      <c r="X126" s="19">
        <f t="shared" si="23"/>
        <v>0</v>
      </c>
    </row>
    <row r="127" ht="15.75" customHeight="1">
      <c r="Q127" s="15">
        <f t="shared" si="17"/>
        <v>0</v>
      </c>
      <c r="W127" s="22">
        <f t="shared" si="11"/>
        <v>0</v>
      </c>
      <c r="X127" s="19">
        <f t="shared" si="23"/>
        <v>0</v>
      </c>
    </row>
    <row r="128" ht="15.75" customHeight="1">
      <c r="Q128" s="15">
        <f t="shared" si="17"/>
        <v>0</v>
      </c>
      <c r="W128" s="22">
        <f t="shared" si="11"/>
        <v>0</v>
      </c>
      <c r="X128" s="19">
        <f t="shared" si="23"/>
        <v>0</v>
      </c>
    </row>
    <row r="129" ht="15.75" customHeight="1">
      <c r="Q129" s="15">
        <f t="shared" si="17"/>
        <v>0</v>
      </c>
      <c r="W129" s="22">
        <f t="shared" si="11"/>
        <v>0</v>
      </c>
      <c r="X129" s="19">
        <f t="shared" si="23"/>
        <v>0</v>
      </c>
    </row>
    <row r="130" ht="15.75" customHeight="1">
      <c r="Q130" s="15">
        <f t="shared" si="17"/>
        <v>0</v>
      </c>
      <c r="W130" s="22">
        <f t="shared" si="11"/>
        <v>0</v>
      </c>
      <c r="X130" s="19">
        <f t="shared" si="23"/>
        <v>0</v>
      </c>
    </row>
    <row r="131" ht="15.75" customHeight="1">
      <c r="Q131" s="15">
        <f t="shared" si="17"/>
        <v>0</v>
      </c>
      <c r="W131" s="22">
        <f t="shared" si="11"/>
        <v>0</v>
      </c>
      <c r="X131" s="19">
        <f t="shared" si="23"/>
        <v>0</v>
      </c>
    </row>
    <row r="132" ht="15.75" customHeight="1">
      <c r="Q132" s="15">
        <f t="shared" si="17"/>
        <v>0</v>
      </c>
      <c r="W132" s="22">
        <f t="shared" si="11"/>
        <v>0</v>
      </c>
      <c r="X132" s="19">
        <f t="shared" si="23"/>
        <v>0</v>
      </c>
    </row>
    <row r="133" ht="15.75" customHeight="1">
      <c r="Q133" s="15">
        <f t="shared" si="17"/>
        <v>0</v>
      </c>
      <c r="W133" s="22">
        <f t="shared" si="11"/>
        <v>0</v>
      </c>
      <c r="X133" s="19">
        <f t="shared" si="23"/>
        <v>0</v>
      </c>
    </row>
    <row r="134" ht="15.75" customHeight="1">
      <c r="Q134" s="15">
        <f t="shared" si="17"/>
        <v>0</v>
      </c>
      <c r="W134" s="22">
        <f t="shared" si="11"/>
        <v>0</v>
      </c>
      <c r="X134" s="19">
        <f t="shared" si="23"/>
        <v>0</v>
      </c>
    </row>
    <row r="135" ht="15.75" customHeight="1">
      <c r="Q135" s="15">
        <f t="shared" si="17"/>
        <v>0</v>
      </c>
      <c r="W135" s="22">
        <f t="shared" si="11"/>
        <v>0</v>
      </c>
      <c r="X135" s="19">
        <f t="shared" si="23"/>
        <v>0</v>
      </c>
    </row>
    <row r="136" ht="15.75" customHeight="1">
      <c r="Q136" s="15">
        <f t="shared" si="17"/>
        <v>0</v>
      </c>
      <c r="W136" s="22">
        <f t="shared" si="11"/>
        <v>0</v>
      </c>
      <c r="X136" s="19">
        <f t="shared" si="23"/>
        <v>0</v>
      </c>
    </row>
    <row r="137" ht="15.75" customHeight="1">
      <c r="Q137" s="15">
        <f t="shared" si="17"/>
        <v>0</v>
      </c>
      <c r="W137" s="22">
        <f t="shared" si="11"/>
        <v>0</v>
      </c>
      <c r="X137" s="19">
        <f t="shared" si="23"/>
        <v>0</v>
      </c>
    </row>
    <row r="138" ht="15.75" customHeight="1">
      <c r="Q138" s="15">
        <f t="shared" si="17"/>
        <v>0</v>
      </c>
      <c r="W138" s="22">
        <f t="shared" si="11"/>
        <v>0</v>
      </c>
      <c r="X138" s="19">
        <f t="shared" si="23"/>
        <v>0</v>
      </c>
    </row>
    <row r="139" ht="15.75" customHeight="1">
      <c r="Q139" s="15">
        <f t="shared" si="17"/>
        <v>0</v>
      </c>
      <c r="W139" s="22">
        <f t="shared" si="11"/>
        <v>0</v>
      </c>
      <c r="X139" s="19">
        <f t="shared" si="23"/>
        <v>0</v>
      </c>
    </row>
    <row r="140" ht="15.75" customHeight="1">
      <c r="Q140" s="15">
        <f t="shared" si="17"/>
        <v>0</v>
      </c>
      <c r="W140" s="22">
        <f t="shared" si="11"/>
        <v>0</v>
      </c>
      <c r="X140" s="19">
        <f t="shared" si="23"/>
        <v>0</v>
      </c>
    </row>
    <row r="141" ht="15.75" customHeight="1">
      <c r="Q141" s="15">
        <f t="shared" si="17"/>
        <v>0</v>
      </c>
      <c r="W141" s="22">
        <f t="shared" si="11"/>
        <v>0</v>
      </c>
      <c r="X141" s="19">
        <f t="shared" si="23"/>
        <v>0</v>
      </c>
    </row>
    <row r="142" ht="15.75" customHeight="1">
      <c r="Q142" s="15">
        <f t="shared" si="17"/>
        <v>0</v>
      </c>
      <c r="W142" s="22">
        <f t="shared" si="11"/>
        <v>0</v>
      </c>
      <c r="X142" s="19">
        <f t="shared" si="23"/>
        <v>0</v>
      </c>
    </row>
    <row r="143" ht="15.75" customHeight="1">
      <c r="Q143" s="15">
        <f t="shared" si="17"/>
        <v>0</v>
      </c>
      <c r="W143" s="22">
        <f t="shared" si="11"/>
        <v>0</v>
      </c>
      <c r="X143" s="19">
        <f t="shared" si="23"/>
        <v>0</v>
      </c>
    </row>
    <row r="144" ht="15.75" customHeight="1">
      <c r="Q144" s="15">
        <f t="shared" si="17"/>
        <v>0</v>
      </c>
      <c r="W144" s="22">
        <f t="shared" si="11"/>
        <v>0</v>
      </c>
      <c r="X144" s="19">
        <f t="shared" si="23"/>
        <v>0</v>
      </c>
    </row>
    <row r="145" ht="15.75" customHeight="1">
      <c r="Q145" s="15">
        <f t="shared" si="17"/>
        <v>0</v>
      </c>
      <c r="W145" s="22">
        <f t="shared" si="11"/>
        <v>0</v>
      </c>
      <c r="X145" s="19">
        <f t="shared" si="23"/>
        <v>0</v>
      </c>
    </row>
    <row r="146" ht="15.75" customHeight="1">
      <c r="Q146" s="15">
        <f t="shared" si="17"/>
        <v>0</v>
      </c>
      <c r="W146" s="22">
        <f t="shared" si="11"/>
        <v>0</v>
      </c>
      <c r="X146" s="19">
        <f t="shared" si="23"/>
        <v>0</v>
      </c>
    </row>
    <row r="147" ht="15.75" customHeight="1">
      <c r="Q147" s="15">
        <f t="shared" si="17"/>
        <v>0</v>
      </c>
      <c r="W147" s="22">
        <f t="shared" si="11"/>
        <v>0</v>
      </c>
      <c r="X147" s="19">
        <f t="shared" si="23"/>
        <v>0</v>
      </c>
    </row>
    <row r="148" ht="15.75" customHeight="1">
      <c r="Q148" s="15">
        <f t="shared" si="17"/>
        <v>0</v>
      </c>
      <c r="W148" s="22">
        <f t="shared" si="11"/>
        <v>0</v>
      </c>
      <c r="X148" s="19">
        <f t="shared" si="23"/>
        <v>0</v>
      </c>
    </row>
    <row r="149" ht="15.75" customHeight="1">
      <c r="Q149" s="15">
        <f t="shared" si="17"/>
        <v>0</v>
      </c>
      <c r="W149" s="22">
        <f t="shared" si="11"/>
        <v>0</v>
      </c>
      <c r="X149" s="19">
        <f t="shared" si="23"/>
        <v>0</v>
      </c>
    </row>
    <row r="150" ht="15.75" customHeight="1">
      <c r="Q150" s="15">
        <f t="shared" si="17"/>
        <v>0</v>
      </c>
      <c r="W150" s="22">
        <f t="shared" si="11"/>
        <v>0</v>
      </c>
      <c r="X150" s="19">
        <f t="shared" si="23"/>
        <v>0</v>
      </c>
    </row>
    <row r="151" ht="15.75" customHeight="1">
      <c r="Q151" s="15">
        <f t="shared" si="17"/>
        <v>0</v>
      </c>
      <c r="W151" s="22">
        <f t="shared" si="11"/>
        <v>0</v>
      </c>
      <c r="X151" s="19">
        <f t="shared" si="23"/>
        <v>0</v>
      </c>
    </row>
    <row r="152" ht="15.75" customHeight="1">
      <c r="Q152" s="15">
        <f t="shared" si="17"/>
        <v>0</v>
      </c>
      <c r="W152" s="22">
        <f t="shared" si="11"/>
        <v>0</v>
      </c>
      <c r="X152" s="19">
        <f t="shared" si="23"/>
        <v>0</v>
      </c>
    </row>
    <row r="153" ht="15.75" customHeight="1">
      <c r="Q153" s="15">
        <f t="shared" si="17"/>
        <v>0</v>
      </c>
      <c r="W153" s="22">
        <f t="shared" si="11"/>
        <v>0</v>
      </c>
      <c r="X153" s="19">
        <f t="shared" si="23"/>
        <v>0</v>
      </c>
    </row>
    <row r="154" ht="15.75" customHeight="1">
      <c r="Q154" s="15">
        <f t="shared" si="17"/>
        <v>0</v>
      </c>
      <c r="W154" s="22">
        <f t="shared" si="11"/>
        <v>0</v>
      </c>
      <c r="X154" s="19">
        <f t="shared" si="23"/>
        <v>0</v>
      </c>
    </row>
    <row r="155" ht="15.75" customHeight="1">
      <c r="Q155" s="15">
        <f t="shared" si="17"/>
        <v>0</v>
      </c>
      <c r="W155" s="22">
        <f t="shared" si="11"/>
        <v>0</v>
      </c>
      <c r="X155" s="19">
        <f t="shared" si="23"/>
        <v>0</v>
      </c>
    </row>
    <row r="156" ht="15.75" customHeight="1">
      <c r="Q156" s="15">
        <f t="shared" si="17"/>
        <v>0</v>
      </c>
      <c r="W156" s="22">
        <f t="shared" si="11"/>
        <v>0</v>
      </c>
      <c r="X156" s="19">
        <f t="shared" si="23"/>
        <v>0</v>
      </c>
    </row>
    <row r="157" ht="15.75" customHeight="1">
      <c r="Q157" s="15">
        <f t="shared" si="17"/>
        <v>0</v>
      </c>
      <c r="W157" s="22">
        <f t="shared" si="11"/>
        <v>0</v>
      </c>
      <c r="X157" s="19">
        <f t="shared" si="23"/>
        <v>0</v>
      </c>
    </row>
    <row r="158" ht="15.75" customHeight="1">
      <c r="Q158" s="15">
        <f t="shared" si="17"/>
        <v>0</v>
      </c>
      <c r="W158" s="22">
        <f t="shared" si="11"/>
        <v>0</v>
      </c>
      <c r="X158" s="19">
        <f t="shared" si="23"/>
        <v>0</v>
      </c>
    </row>
    <row r="159" ht="15.75" customHeight="1">
      <c r="Q159" s="15">
        <f t="shared" si="17"/>
        <v>0</v>
      </c>
      <c r="W159" s="22">
        <f t="shared" si="11"/>
        <v>0</v>
      </c>
      <c r="X159" s="19">
        <f t="shared" si="23"/>
        <v>0</v>
      </c>
    </row>
    <row r="160" ht="15.75" customHeight="1">
      <c r="Q160" s="15">
        <f t="shared" si="17"/>
        <v>0</v>
      </c>
      <c r="W160" s="22">
        <f t="shared" si="11"/>
        <v>0</v>
      </c>
      <c r="X160" s="19">
        <f t="shared" si="23"/>
        <v>0</v>
      </c>
    </row>
    <row r="161" ht="15.75" customHeight="1">
      <c r="Q161" s="15">
        <f t="shared" si="17"/>
        <v>0</v>
      </c>
      <c r="W161" s="22">
        <f t="shared" si="11"/>
        <v>0</v>
      </c>
      <c r="X161" s="19">
        <f t="shared" si="23"/>
        <v>0</v>
      </c>
    </row>
    <row r="162" ht="15.75" customHeight="1">
      <c r="Q162" s="15">
        <f t="shared" si="17"/>
        <v>0</v>
      </c>
      <c r="W162" s="22">
        <f t="shared" si="11"/>
        <v>0</v>
      </c>
      <c r="X162" s="19">
        <f t="shared" si="23"/>
        <v>0</v>
      </c>
    </row>
    <row r="163" ht="15.75" customHeight="1">
      <c r="Q163" s="15">
        <f t="shared" si="17"/>
        <v>0</v>
      </c>
      <c r="W163" s="22">
        <f t="shared" si="11"/>
        <v>0</v>
      </c>
      <c r="X163" s="19">
        <f t="shared" si="23"/>
        <v>0</v>
      </c>
    </row>
    <row r="164" ht="15.75" customHeight="1">
      <c r="Q164" s="15">
        <f t="shared" si="17"/>
        <v>0</v>
      </c>
      <c r="W164" s="22">
        <f t="shared" si="11"/>
        <v>0</v>
      </c>
      <c r="X164" s="19">
        <f t="shared" si="23"/>
        <v>0</v>
      </c>
    </row>
    <row r="165" ht="15.75" customHeight="1">
      <c r="Q165" s="15">
        <f t="shared" si="17"/>
        <v>0</v>
      </c>
      <c r="W165" s="22">
        <f t="shared" si="11"/>
        <v>0</v>
      </c>
      <c r="X165" s="19">
        <f t="shared" si="23"/>
        <v>0</v>
      </c>
    </row>
    <row r="166" ht="15.75" customHeight="1">
      <c r="Q166" s="15">
        <f t="shared" si="17"/>
        <v>0</v>
      </c>
      <c r="W166" s="22">
        <f t="shared" si="11"/>
        <v>0</v>
      </c>
      <c r="X166" s="19">
        <f t="shared" si="23"/>
        <v>0</v>
      </c>
    </row>
    <row r="167" ht="15.75" customHeight="1">
      <c r="Q167" s="15">
        <f t="shared" si="17"/>
        <v>0</v>
      </c>
      <c r="W167" s="22">
        <f t="shared" si="11"/>
        <v>0</v>
      </c>
      <c r="X167" s="19">
        <f t="shared" si="23"/>
        <v>0</v>
      </c>
    </row>
    <row r="168" ht="15.75" customHeight="1">
      <c r="Q168" s="15">
        <f t="shared" si="17"/>
        <v>0</v>
      </c>
      <c r="W168" s="22">
        <f t="shared" si="11"/>
        <v>0</v>
      </c>
      <c r="X168" s="19">
        <f t="shared" si="23"/>
        <v>0</v>
      </c>
    </row>
    <row r="169" ht="15.75" customHeight="1">
      <c r="Q169" s="15">
        <f t="shared" si="17"/>
        <v>0</v>
      </c>
      <c r="W169" s="22">
        <f t="shared" si="11"/>
        <v>0</v>
      </c>
      <c r="X169" s="19">
        <f t="shared" si="23"/>
        <v>0</v>
      </c>
    </row>
    <row r="170" ht="15.75" customHeight="1">
      <c r="Q170" s="15">
        <f t="shared" si="17"/>
        <v>0</v>
      </c>
      <c r="W170" s="22">
        <f t="shared" si="11"/>
        <v>0</v>
      </c>
      <c r="X170" s="19">
        <f t="shared" si="23"/>
        <v>0</v>
      </c>
    </row>
    <row r="171" ht="15.75" customHeight="1">
      <c r="Q171" s="15">
        <f t="shared" si="17"/>
        <v>0</v>
      </c>
      <c r="W171" s="22">
        <f t="shared" si="11"/>
        <v>0</v>
      </c>
      <c r="X171" s="19">
        <f t="shared" si="23"/>
        <v>0</v>
      </c>
    </row>
    <row r="172" ht="15.75" customHeight="1">
      <c r="Q172" s="15">
        <f t="shared" si="17"/>
        <v>0</v>
      </c>
      <c r="W172" s="22">
        <f t="shared" si="11"/>
        <v>0</v>
      </c>
      <c r="X172" s="19">
        <f t="shared" si="23"/>
        <v>0</v>
      </c>
    </row>
    <row r="173" ht="15.75" customHeight="1">
      <c r="Q173" s="15">
        <f t="shared" si="17"/>
        <v>0</v>
      </c>
      <c r="W173" s="22">
        <f t="shared" si="11"/>
        <v>0</v>
      </c>
      <c r="X173" s="19">
        <f t="shared" si="23"/>
        <v>0</v>
      </c>
    </row>
    <row r="174" ht="15.75" customHeight="1">
      <c r="Q174" s="15">
        <f t="shared" si="17"/>
        <v>0</v>
      </c>
      <c r="W174" s="22">
        <f t="shared" si="11"/>
        <v>0</v>
      </c>
      <c r="X174" s="19">
        <f t="shared" si="23"/>
        <v>0</v>
      </c>
    </row>
    <row r="175" ht="15.75" customHeight="1">
      <c r="Q175" s="15">
        <f t="shared" si="17"/>
        <v>0</v>
      </c>
      <c r="W175" s="22">
        <f t="shared" si="11"/>
        <v>0</v>
      </c>
      <c r="X175" s="19">
        <f t="shared" si="23"/>
        <v>0</v>
      </c>
    </row>
    <row r="176" ht="15.75" customHeight="1">
      <c r="Q176" s="15">
        <f t="shared" si="17"/>
        <v>0</v>
      </c>
      <c r="W176" s="22">
        <f t="shared" si="11"/>
        <v>0</v>
      </c>
      <c r="X176" s="19">
        <f t="shared" si="23"/>
        <v>0</v>
      </c>
    </row>
    <row r="177" ht="15.75" customHeight="1">
      <c r="Q177" s="15">
        <f t="shared" si="17"/>
        <v>0</v>
      </c>
      <c r="W177" s="22">
        <f t="shared" si="11"/>
        <v>0</v>
      </c>
      <c r="X177" s="19">
        <f t="shared" si="23"/>
        <v>0</v>
      </c>
    </row>
    <row r="178" ht="15.75" customHeight="1">
      <c r="Q178" s="15">
        <f t="shared" si="17"/>
        <v>0</v>
      </c>
      <c r="W178" s="22">
        <f t="shared" si="11"/>
        <v>0</v>
      </c>
      <c r="X178" s="19">
        <f t="shared" si="23"/>
        <v>0</v>
      </c>
    </row>
    <row r="179" ht="15.75" customHeight="1">
      <c r="Q179" s="15">
        <f t="shared" si="17"/>
        <v>0</v>
      </c>
      <c r="W179" s="22">
        <f t="shared" si="11"/>
        <v>0</v>
      </c>
      <c r="X179" s="19">
        <f t="shared" si="23"/>
        <v>0</v>
      </c>
    </row>
    <row r="180" ht="15.75" customHeight="1">
      <c r="Q180" s="15">
        <f t="shared" si="17"/>
        <v>0</v>
      </c>
      <c r="W180" s="22">
        <f t="shared" si="11"/>
        <v>0</v>
      </c>
      <c r="X180" s="19">
        <f t="shared" si="23"/>
        <v>0</v>
      </c>
    </row>
    <row r="181" ht="15.75" customHeight="1">
      <c r="Q181" s="15">
        <f t="shared" si="17"/>
        <v>0</v>
      </c>
      <c r="W181" s="22">
        <f t="shared" si="11"/>
        <v>0</v>
      </c>
      <c r="X181" s="19">
        <f t="shared" si="23"/>
        <v>0</v>
      </c>
    </row>
    <row r="182" ht="15.75" customHeight="1">
      <c r="Q182" s="15">
        <f t="shared" si="17"/>
        <v>0</v>
      </c>
      <c r="W182" s="22">
        <f t="shared" si="11"/>
        <v>0</v>
      </c>
      <c r="X182" s="19">
        <f t="shared" si="23"/>
        <v>0</v>
      </c>
    </row>
    <row r="183" ht="15.75" customHeight="1">
      <c r="Q183" s="15">
        <f t="shared" si="17"/>
        <v>0</v>
      </c>
      <c r="W183" s="22">
        <f t="shared" si="11"/>
        <v>0</v>
      </c>
      <c r="X183" s="19">
        <f t="shared" si="23"/>
        <v>0</v>
      </c>
    </row>
    <row r="184" ht="15.75" customHeight="1">
      <c r="Q184" s="15">
        <f t="shared" si="17"/>
        <v>0</v>
      </c>
      <c r="W184" s="22">
        <f t="shared" si="11"/>
        <v>0</v>
      </c>
      <c r="X184" s="19">
        <f t="shared" si="23"/>
        <v>0</v>
      </c>
    </row>
    <row r="185" ht="15.75" customHeight="1">
      <c r="Q185" s="15">
        <f t="shared" si="17"/>
        <v>0</v>
      </c>
      <c r="W185" s="22">
        <f t="shared" si="11"/>
        <v>0</v>
      </c>
      <c r="X185" s="19">
        <f t="shared" si="23"/>
        <v>0</v>
      </c>
    </row>
    <row r="186" ht="15.75" customHeight="1">
      <c r="Q186" s="15">
        <f t="shared" si="17"/>
        <v>0</v>
      </c>
      <c r="W186" s="22">
        <f t="shared" si="11"/>
        <v>0</v>
      </c>
      <c r="X186" s="19">
        <f t="shared" si="23"/>
        <v>0</v>
      </c>
    </row>
    <row r="187" ht="15.75" customHeight="1">
      <c r="Q187" s="15">
        <f t="shared" si="17"/>
        <v>0</v>
      </c>
      <c r="W187" s="22">
        <f t="shared" si="11"/>
        <v>0</v>
      </c>
      <c r="X187" s="19">
        <f t="shared" si="23"/>
        <v>0</v>
      </c>
    </row>
    <row r="188" ht="15.75" customHeight="1">
      <c r="Q188" s="15">
        <f t="shared" si="17"/>
        <v>0</v>
      </c>
      <c r="W188" s="22">
        <f t="shared" si="11"/>
        <v>0</v>
      </c>
      <c r="X188" s="19">
        <f t="shared" si="23"/>
        <v>0</v>
      </c>
    </row>
    <row r="189" ht="15.75" customHeight="1">
      <c r="Q189" s="15">
        <f t="shared" si="17"/>
        <v>0</v>
      </c>
      <c r="W189" s="22">
        <f t="shared" si="11"/>
        <v>0</v>
      </c>
      <c r="X189" s="19">
        <f t="shared" si="23"/>
        <v>0</v>
      </c>
    </row>
    <row r="190" ht="15.75" customHeight="1">
      <c r="Q190" s="15">
        <f t="shared" si="17"/>
        <v>0</v>
      </c>
      <c r="W190" s="22">
        <f t="shared" si="11"/>
        <v>0</v>
      </c>
      <c r="X190" s="19">
        <f t="shared" si="23"/>
        <v>0</v>
      </c>
    </row>
    <row r="191" ht="15.75" customHeight="1">
      <c r="Q191" s="15">
        <f t="shared" si="17"/>
        <v>0</v>
      </c>
      <c r="W191" s="22">
        <f t="shared" si="11"/>
        <v>0</v>
      </c>
      <c r="X191" s="19">
        <f t="shared" si="23"/>
        <v>0</v>
      </c>
    </row>
    <row r="192" ht="15.75" customHeight="1">
      <c r="Q192" s="15">
        <f t="shared" si="17"/>
        <v>0</v>
      </c>
      <c r="W192" s="22">
        <f t="shared" si="11"/>
        <v>0</v>
      </c>
      <c r="X192" s="19">
        <f t="shared" si="23"/>
        <v>0</v>
      </c>
    </row>
    <row r="193" ht="15.75" customHeight="1">
      <c r="Q193" s="15">
        <f t="shared" si="17"/>
        <v>0</v>
      </c>
      <c r="W193" s="22">
        <f t="shared" si="11"/>
        <v>0</v>
      </c>
      <c r="X193" s="19">
        <f t="shared" si="23"/>
        <v>0</v>
      </c>
    </row>
    <row r="194" ht="15.75" customHeight="1">
      <c r="Q194" s="15">
        <f t="shared" si="17"/>
        <v>0</v>
      </c>
      <c r="W194" s="22">
        <f t="shared" si="11"/>
        <v>0</v>
      </c>
      <c r="X194" s="19">
        <f t="shared" si="23"/>
        <v>0</v>
      </c>
    </row>
    <row r="195" ht="15.75" customHeight="1">
      <c r="Q195" s="15">
        <f t="shared" si="17"/>
        <v>0</v>
      </c>
      <c r="W195" s="22">
        <f t="shared" si="11"/>
        <v>0</v>
      </c>
      <c r="X195" s="19">
        <f t="shared" si="23"/>
        <v>0</v>
      </c>
    </row>
    <row r="196" ht="15.75" customHeight="1">
      <c r="Q196" s="15">
        <f t="shared" si="17"/>
        <v>0</v>
      </c>
      <c r="W196" s="22">
        <f t="shared" si="11"/>
        <v>0</v>
      </c>
      <c r="X196" s="19">
        <f t="shared" si="23"/>
        <v>0</v>
      </c>
    </row>
    <row r="197" ht="15.75" customHeight="1">
      <c r="Q197" s="15">
        <f t="shared" si="17"/>
        <v>0</v>
      </c>
      <c r="W197" s="22">
        <f t="shared" si="11"/>
        <v>0</v>
      </c>
      <c r="X197" s="19">
        <f t="shared" si="23"/>
        <v>0</v>
      </c>
    </row>
    <row r="198" ht="15.75" customHeight="1">
      <c r="Q198" s="15">
        <f t="shared" si="17"/>
        <v>0</v>
      </c>
      <c r="W198" s="22">
        <f t="shared" si="11"/>
        <v>0</v>
      </c>
      <c r="X198" s="19">
        <f t="shared" si="23"/>
        <v>0</v>
      </c>
    </row>
    <row r="199" ht="15.75" customHeight="1">
      <c r="Q199" s="15">
        <f t="shared" si="17"/>
        <v>0</v>
      </c>
      <c r="W199" s="22">
        <f t="shared" si="11"/>
        <v>0</v>
      </c>
      <c r="X199" s="19">
        <f t="shared" si="23"/>
        <v>0</v>
      </c>
    </row>
    <row r="200" ht="15.75" customHeight="1">
      <c r="Q200" s="15">
        <f t="shared" si="17"/>
        <v>0</v>
      </c>
      <c r="W200" s="22">
        <f t="shared" si="11"/>
        <v>0</v>
      </c>
      <c r="X200" s="19">
        <f t="shared" si="23"/>
        <v>0</v>
      </c>
    </row>
    <row r="201" ht="15.75" customHeight="1">
      <c r="Q201" s="15">
        <f t="shared" si="17"/>
        <v>0</v>
      </c>
      <c r="W201" s="22">
        <f t="shared" si="11"/>
        <v>0</v>
      </c>
      <c r="X201" s="19">
        <f t="shared" si="23"/>
        <v>0</v>
      </c>
    </row>
    <row r="202" ht="15.75" customHeight="1">
      <c r="Q202" s="15">
        <f t="shared" si="17"/>
        <v>0</v>
      </c>
      <c r="W202" s="22">
        <f t="shared" si="11"/>
        <v>0</v>
      </c>
      <c r="X202" s="19">
        <f t="shared" si="23"/>
        <v>0</v>
      </c>
    </row>
    <row r="203" ht="15.75" customHeight="1">
      <c r="Q203" s="15">
        <f t="shared" si="17"/>
        <v>0</v>
      </c>
      <c r="W203" s="22">
        <f t="shared" si="11"/>
        <v>0</v>
      </c>
      <c r="X203" s="19">
        <f t="shared" si="23"/>
        <v>0</v>
      </c>
    </row>
    <row r="204" ht="15.75" customHeight="1">
      <c r="Q204" s="15">
        <f t="shared" si="17"/>
        <v>0</v>
      </c>
      <c r="W204" s="22">
        <f t="shared" si="11"/>
        <v>0</v>
      </c>
      <c r="X204" s="19">
        <f t="shared" si="23"/>
        <v>0</v>
      </c>
    </row>
    <row r="205" ht="15.75" customHeight="1">
      <c r="Q205" s="15">
        <f t="shared" si="17"/>
        <v>0</v>
      </c>
      <c r="W205" s="22">
        <f t="shared" si="11"/>
        <v>0</v>
      </c>
      <c r="X205" s="19">
        <f t="shared" si="23"/>
        <v>0</v>
      </c>
    </row>
    <row r="206" ht="15.75" customHeight="1">
      <c r="Q206" s="15">
        <f t="shared" si="17"/>
        <v>0</v>
      </c>
      <c r="W206" s="22">
        <f t="shared" si="11"/>
        <v>0</v>
      </c>
      <c r="X206" s="19">
        <f t="shared" si="23"/>
        <v>0</v>
      </c>
    </row>
    <row r="207" ht="15.75" customHeight="1">
      <c r="Q207" s="15">
        <f t="shared" si="17"/>
        <v>0</v>
      </c>
      <c r="W207" s="22">
        <f t="shared" si="11"/>
        <v>0</v>
      </c>
      <c r="X207" s="19">
        <f t="shared" si="23"/>
        <v>0</v>
      </c>
    </row>
    <row r="208" ht="15.75" customHeight="1">
      <c r="Q208" s="15">
        <f t="shared" si="17"/>
        <v>0</v>
      </c>
      <c r="W208" s="22">
        <f t="shared" si="11"/>
        <v>0</v>
      </c>
      <c r="X208" s="19">
        <f t="shared" si="23"/>
        <v>0</v>
      </c>
    </row>
    <row r="209" ht="15.75" customHeight="1">
      <c r="Q209" s="15">
        <f t="shared" si="17"/>
        <v>0</v>
      </c>
      <c r="W209" s="22">
        <f t="shared" si="11"/>
        <v>0</v>
      </c>
      <c r="X209" s="19">
        <f t="shared" si="23"/>
        <v>0</v>
      </c>
    </row>
    <row r="210" ht="15.75" customHeight="1">
      <c r="Q210" s="15">
        <f t="shared" si="17"/>
        <v>0</v>
      </c>
      <c r="W210" s="22">
        <f t="shared" si="11"/>
        <v>0</v>
      </c>
      <c r="X210" s="19">
        <f t="shared" si="23"/>
        <v>0</v>
      </c>
    </row>
    <row r="211" ht="15.75" customHeight="1">
      <c r="Q211" s="15">
        <f t="shared" si="17"/>
        <v>0</v>
      </c>
      <c r="W211" s="22">
        <f t="shared" si="11"/>
        <v>0</v>
      </c>
      <c r="X211" s="19">
        <f t="shared" si="23"/>
        <v>0</v>
      </c>
    </row>
    <row r="212" ht="15.75" customHeight="1">
      <c r="Q212" s="15">
        <f t="shared" si="17"/>
        <v>0</v>
      </c>
      <c r="W212" s="22">
        <f t="shared" si="11"/>
        <v>0</v>
      </c>
      <c r="X212" s="19">
        <f t="shared" si="23"/>
        <v>0</v>
      </c>
    </row>
    <row r="213" ht="15.75" customHeight="1">
      <c r="Q213" s="15">
        <f t="shared" si="17"/>
        <v>0</v>
      </c>
      <c r="W213" s="22">
        <f t="shared" si="11"/>
        <v>0</v>
      </c>
      <c r="X213" s="19">
        <f t="shared" si="23"/>
        <v>0</v>
      </c>
    </row>
    <row r="214" ht="15.75" customHeight="1">
      <c r="Q214" s="15">
        <f t="shared" si="17"/>
        <v>0</v>
      </c>
      <c r="W214" s="22">
        <f t="shared" si="11"/>
        <v>0</v>
      </c>
      <c r="X214" s="19">
        <f t="shared" si="23"/>
        <v>0</v>
      </c>
    </row>
    <row r="215" ht="15.75" customHeight="1">
      <c r="Q215" s="15">
        <f t="shared" si="17"/>
        <v>0</v>
      </c>
      <c r="W215" s="22">
        <f t="shared" si="11"/>
        <v>0</v>
      </c>
      <c r="X215" s="19">
        <f t="shared" si="23"/>
        <v>0</v>
      </c>
    </row>
    <row r="216" ht="15.75" customHeight="1">
      <c r="Q216" s="15">
        <f t="shared" si="17"/>
        <v>0</v>
      </c>
      <c r="W216" s="22">
        <f t="shared" si="11"/>
        <v>0</v>
      </c>
      <c r="X216" s="19">
        <f t="shared" si="23"/>
        <v>0</v>
      </c>
    </row>
    <row r="217" ht="15.75" customHeight="1">
      <c r="Q217" s="15">
        <f t="shared" si="17"/>
        <v>0</v>
      </c>
      <c r="W217" s="22">
        <f t="shared" si="11"/>
        <v>0</v>
      </c>
      <c r="X217" s="19">
        <f t="shared" si="23"/>
        <v>0</v>
      </c>
    </row>
    <row r="218" ht="15.75" customHeight="1">
      <c r="Q218" s="15">
        <f t="shared" si="17"/>
        <v>0</v>
      </c>
      <c r="W218" s="22">
        <f t="shared" si="11"/>
        <v>0</v>
      </c>
      <c r="X218" s="19">
        <f t="shared" si="23"/>
        <v>0</v>
      </c>
    </row>
    <row r="219" ht="15.75" customHeight="1">
      <c r="Q219" s="15">
        <f t="shared" si="17"/>
        <v>0</v>
      </c>
      <c r="W219" s="22">
        <f t="shared" si="11"/>
        <v>0</v>
      </c>
      <c r="X219" s="19">
        <f t="shared" si="23"/>
        <v>0</v>
      </c>
    </row>
    <row r="220" ht="15.75" customHeight="1">
      <c r="Q220" s="15">
        <f t="shared" si="17"/>
        <v>0</v>
      </c>
      <c r="W220" s="22">
        <f t="shared" si="11"/>
        <v>0</v>
      </c>
      <c r="X220" s="19">
        <f t="shared" si="23"/>
        <v>0</v>
      </c>
    </row>
    <row r="221" ht="15.75" customHeight="1">
      <c r="Q221" s="15">
        <f t="shared" si="17"/>
        <v>0</v>
      </c>
      <c r="W221" s="22">
        <f t="shared" si="11"/>
        <v>0</v>
      </c>
      <c r="X221" s="19">
        <f t="shared" si="23"/>
        <v>0</v>
      </c>
    </row>
    <row r="222" ht="15.75" customHeight="1">
      <c r="Q222" s="15">
        <f t="shared" si="17"/>
        <v>0</v>
      </c>
      <c r="W222" s="22">
        <f t="shared" si="11"/>
        <v>0</v>
      </c>
      <c r="X222" s="19">
        <f t="shared" si="23"/>
        <v>0</v>
      </c>
    </row>
    <row r="223" ht="15.75" customHeight="1">
      <c r="Q223" s="15">
        <f t="shared" si="17"/>
        <v>0</v>
      </c>
      <c r="W223" s="22">
        <f t="shared" si="11"/>
        <v>0</v>
      </c>
      <c r="X223" s="19">
        <f t="shared" si="23"/>
        <v>0</v>
      </c>
    </row>
    <row r="224" ht="15.75" customHeight="1">
      <c r="Q224" s="15">
        <f t="shared" si="17"/>
        <v>0</v>
      </c>
      <c r="W224" s="22">
        <f t="shared" si="11"/>
        <v>0</v>
      </c>
      <c r="X224" s="19">
        <f t="shared" si="23"/>
        <v>0</v>
      </c>
    </row>
    <row r="225" ht="15.75" customHeight="1">
      <c r="Q225" s="15">
        <f t="shared" si="17"/>
        <v>0</v>
      </c>
      <c r="W225" s="22">
        <f t="shared" si="11"/>
        <v>0</v>
      </c>
      <c r="X225" s="19">
        <f t="shared" si="23"/>
        <v>0</v>
      </c>
    </row>
    <row r="226" ht="15.75" customHeight="1">
      <c r="Q226" s="15">
        <f t="shared" si="17"/>
        <v>0</v>
      </c>
      <c r="W226" s="22">
        <f t="shared" si="11"/>
        <v>0</v>
      </c>
      <c r="X226" s="19">
        <f t="shared" si="23"/>
        <v>0</v>
      </c>
    </row>
    <row r="227" ht="15.75" customHeight="1">
      <c r="Q227" s="15">
        <f t="shared" si="17"/>
        <v>0</v>
      </c>
      <c r="W227" s="22">
        <f t="shared" si="11"/>
        <v>0</v>
      </c>
      <c r="X227" s="19">
        <f t="shared" si="23"/>
        <v>0</v>
      </c>
    </row>
    <row r="228" ht="15.75" customHeight="1">
      <c r="Q228" s="15">
        <f t="shared" si="17"/>
        <v>0</v>
      </c>
      <c r="W228" s="22">
        <f t="shared" si="11"/>
        <v>0</v>
      </c>
      <c r="X228" s="19">
        <f t="shared" si="23"/>
        <v>0</v>
      </c>
    </row>
    <row r="229" ht="15.75" customHeight="1">
      <c r="Q229" s="15">
        <f t="shared" si="17"/>
        <v>0</v>
      </c>
      <c r="W229" s="22">
        <f t="shared" si="11"/>
        <v>0</v>
      </c>
      <c r="X229" s="19">
        <f t="shared" si="23"/>
        <v>0</v>
      </c>
    </row>
    <row r="230" ht="15.75" customHeight="1">
      <c r="Q230" s="15">
        <f t="shared" si="17"/>
        <v>0</v>
      </c>
      <c r="W230" s="22">
        <f t="shared" si="11"/>
        <v>0</v>
      </c>
      <c r="X230" s="19">
        <f t="shared" si="23"/>
        <v>0</v>
      </c>
    </row>
    <row r="231" ht="15.75" customHeight="1">
      <c r="Q231" s="15">
        <f t="shared" si="17"/>
        <v>0</v>
      </c>
      <c r="W231" s="22">
        <f t="shared" si="11"/>
        <v>0</v>
      </c>
      <c r="X231" s="19">
        <f t="shared" si="23"/>
        <v>0</v>
      </c>
    </row>
    <row r="232" ht="15.75" customHeight="1">
      <c r="Q232" s="15">
        <f t="shared" si="17"/>
        <v>0</v>
      </c>
      <c r="W232" s="22">
        <f t="shared" si="11"/>
        <v>0</v>
      </c>
      <c r="X232" s="19">
        <f t="shared" si="23"/>
        <v>0</v>
      </c>
    </row>
    <row r="233" ht="15.75" customHeight="1">
      <c r="Q233" s="15">
        <f t="shared" si="17"/>
        <v>0</v>
      </c>
      <c r="W233" s="22">
        <f t="shared" si="11"/>
        <v>0</v>
      </c>
      <c r="X233" s="19">
        <f t="shared" si="23"/>
        <v>0</v>
      </c>
    </row>
    <row r="234" ht="15.75" customHeight="1">
      <c r="Q234" s="15">
        <f t="shared" si="17"/>
        <v>0</v>
      </c>
      <c r="W234" s="22">
        <f t="shared" si="11"/>
        <v>0</v>
      </c>
      <c r="X234" s="19">
        <f t="shared" si="23"/>
        <v>0</v>
      </c>
    </row>
    <row r="235" ht="15.75" customHeight="1">
      <c r="Q235" s="15">
        <f t="shared" si="17"/>
        <v>0</v>
      </c>
      <c r="W235" s="22">
        <f t="shared" si="11"/>
        <v>0</v>
      </c>
      <c r="X235" s="19">
        <f t="shared" si="23"/>
        <v>0</v>
      </c>
    </row>
    <row r="236" ht="15.75" customHeight="1">
      <c r="Q236" s="15">
        <f t="shared" si="17"/>
        <v>0</v>
      </c>
      <c r="W236" s="22">
        <f t="shared" si="11"/>
        <v>0</v>
      </c>
      <c r="X236" s="19">
        <f t="shared" si="23"/>
        <v>0</v>
      </c>
    </row>
    <row r="237" ht="15.75" customHeight="1">
      <c r="Q237" s="15">
        <f t="shared" si="17"/>
        <v>0</v>
      </c>
      <c r="W237" s="22">
        <f t="shared" si="11"/>
        <v>0</v>
      </c>
      <c r="X237" s="19">
        <f t="shared" si="23"/>
        <v>0</v>
      </c>
    </row>
    <row r="238" ht="15.75" customHeight="1">
      <c r="Q238" s="15">
        <f t="shared" si="17"/>
        <v>0</v>
      </c>
      <c r="W238" s="22">
        <f t="shared" si="11"/>
        <v>0</v>
      </c>
      <c r="X238" s="19">
        <f t="shared" si="23"/>
        <v>0</v>
      </c>
    </row>
    <row r="239" ht="15.75" customHeight="1">
      <c r="Q239" s="15">
        <f t="shared" si="17"/>
        <v>0</v>
      </c>
      <c r="W239" s="22">
        <f t="shared" si="11"/>
        <v>0</v>
      </c>
      <c r="X239" s="19">
        <f t="shared" si="23"/>
        <v>0</v>
      </c>
    </row>
    <row r="240" ht="15.75" customHeight="1">
      <c r="Q240" s="15">
        <f t="shared" si="17"/>
        <v>0</v>
      </c>
      <c r="W240" s="22">
        <f t="shared" si="11"/>
        <v>0</v>
      </c>
      <c r="X240" s="19">
        <f t="shared" si="23"/>
        <v>0</v>
      </c>
    </row>
    <row r="241" ht="15.75" customHeight="1">
      <c r="Q241" s="15">
        <f t="shared" si="17"/>
        <v>0</v>
      </c>
      <c r="W241" s="22">
        <f t="shared" si="11"/>
        <v>0</v>
      </c>
      <c r="X241" s="19">
        <f t="shared" si="23"/>
        <v>0</v>
      </c>
    </row>
    <row r="242" ht="15.75" customHeight="1">
      <c r="Q242" s="15">
        <f t="shared" si="17"/>
        <v>0</v>
      </c>
      <c r="W242" s="22">
        <f t="shared" si="11"/>
        <v>0</v>
      </c>
      <c r="X242" s="19">
        <f t="shared" si="23"/>
        <v>0</v>
      </c>
    </row>
    <row r="243" ht="15.75" customHeight="1">
      <c r="Q243" s="15">
        <f t="shared" si="17"/>
        <v>0</v>
      </c>
      <c r="W243" s="22">
        <f t="shared" si="11"/>
        <v>0</v>
      </c>
      <c r="X243" s="19">
        <f t="shared" si="23"/>
        <v>0</v>
      </c>
    </row>
    <row r="244" ht="15.75" customHeight="1">
      <c r="Q244" s="15">
        <f t="shared" si="17"/>
        <v>0</v>
      </c>
      <c r="W244" s="22">
        <f t="shared" si="11"/>
        <v>0</v>
      </c>
      <c r="X244" s="19">
        <f t="shared" si="23"/>
        <v>0</v>
      </c>
    </row>
    <row r="245" ht="15.75" customHeight="1">
      <c r="Q245" s="15">
        <f t="shared" si="17"/>
        <v>0</v>
      </c>
      <c r="W245" s="22">
        <f t="shared" si="11"/>
        <v>0</v>
      </c>
      <c r="X245" s="19">
        <f t="shared" si="23"/>
        <v>0</v>
      </c>
    </row>
    <row r="246" ht="15.75" customHeight="1">
      <c r="Q246" s="15">
        <f t="shared" si="17"/>
        <v>0</v>
      </c>
      <c r="W246" s="22">
        <f t="shared" si="11"/>
        <v>0</v>
      </c>
      <c r="X246" s="19">
        <f t="shared" si="23"/>
        <v>0</v>
      </c>
    </row>
    <row r="247" ht="15.75" customHeight="1">
      <c r="Q247" s="15">
        <f t="shared" si="17"/>
        <v>0</v>
      </c>
      <c r="W247" s="22">
        <f t="shared" si="11"/>
        <v>0</v>
      </c>
      <c r="X247" s="19">
        <f t="shared" si="23"/>
        <v>0</v>
      </c>
    </row>
    <row r="248" ht="15.75" customHeight="1">
      <c r="Q248" s="15">
        <f t="shared" si="17"/>
        <v>0</v>
      </c>
      <c r="W248" s="22">
        <f t="shared" si="11"/>
        <v>0</v>
      </c>
      <c r="X248" s="19">
        <f t="shared" si="23"/>
        <v>0</v>
      </c>
    </row>
    <row r="249" ht="15.75" customHeight="1">
      <c r="Q249" s="15">
        <f t="shared" si="17"/>
        <v>0</v>
      </c>
      <c r="W249" s="22">
        <f t="shared" si="11"/>
        <v>0</v>
      </c>
      <c r="X249" s="19">
        <f t="shared" si="23"/>
        <v>0</v>
      </c>
    </row>
    <row r="250" ht="15.75" customHeight="1">
      <c r="Q250" s="15">
        <f t="shared" si="17"/>
        <v>0</v>
      </c>
      <c r="W250" s="22">
        <f t="shared" si="11"/>
        <v>0</v>
      </c>
      <c r="X250" s="19">
        <f t="shared" si="23"/>
        <v>0</v>
      </c>
    </row>
    <row r="251" ht="15.75" customHeight="1">
      <c r="Q251" s="15">
        <f t="shared" si="17"/>
        <v>0</v>
      </c>
      <c r="W251" s="22">
        <f t="shared" si="11"/>
        <v>0</v>
      </c>
      <c r="X251" s="19">
        <f t="shared" si="23"/>
        <v>0</v>
      </c>
    </row>
    <row r="252" ht="15.75" customHeight="1">
      <c r="Q252" s="15">
        <f t="shared" si="17"/>
        <v>0</v>
      </c>
      <c r="W252" s="22">
        <f t="shared" si="11"/>
        <v>0</v>
      </c>
      <c r="X252" s="19">
        <f t="shared" si="23"/>
        <v>0</v>
      </c>
    </row>
    <row r="253" ht="15.75" customHeight="1">
      <c r="Q253" s="15">
        <f t="shared" si="17"/>
        <v>0</v>
      </c>
      <c r="W253" s="22">
        <f t="shared" si="11"/>
        <v>0</v>
      </c>
      <c r="X253" s="19">
        <f t="shared" si="23"/>
        <v>0</v>
      </c>
    </row>
    <row r="254" ht="15.75" customHeight="1">
      <c r="Q254" s="15">
        <f t="shared" si="17"/>
        <v>0</v>
      </c>
      <c r="W254" s="22">
        <f t="shared" si="11"/>
        <v>0</v>
      </c>
      <c r="X254" s="19">
        <f t="shared" si="23"/>
        <v>0</v>
      </c>
    </row>
    <row r="255" ht="15.75" customHeight="1">
      <c r="Q255" s="15">
        <f t="shared" si="17"/>
        <v>0</v>
      </c>
      <c r="W255" s="22">
        <f t="shared" si="11"/>
        <v>0</v>
      </c>
      <c r="X255" s="19">
        <f t="shared" si="23"/>
        <v>0</v>
      </c>
    </row>
    <row r="256" ht="15.75" customHeight="1">
      <c r="Q256" s="15">
        <f t="shared" si="17"/>
        <v>0</v>
      </c>
      <c r="W256" s="22">
        <f t="shared" si="11"/>
        <v>0</v>
      </c>
      <c r="X256" s="19">
        <f t="shared" si="23"/>
        <v>0</v>
      </c>
    </row>
    <row r="257" ht="15.75" customHeight="1">
      <c r="Q257" s="15">
        <f t="shared" si="17"/>
        <v>0</v>
      </c>
      <c r="W257" s="22">
        <f t="shared" si="11"/>
        <v>0</v>
      </c>
      <c r="X257" s="19">
        <f t="shared" si="23"/>
        <v>0</v>
      </c>
    </row>
    <row r="258" ht="15.75" customHeight="1">
      <c r="Q258" s="15">
        <f t="shared" si="17"/>
        <v>0</v>
      </c>
      <c r="W258" s="22">
        <f t="shared" si="11"/>
        <v>0</v>
      </c>
      <c r="X258" s="19">
        <f t="shared" si="23"/>
        <v>0</v>
      </c>
    </row>
    <row r="259" ht="15.75" customHeight="1">
      <c r="Q259" s="15">
        <f t="shared" si="17"/>
        <v>0</v>
      </c>
      <c r="W259" s="22">
        <f t="shared" si="11"/>
        <v>0</v>
      </c>
      <c r="X259" s="19">
        <f t="shared" si="23"/>
        <v>0</v>
      </c>
    </row>
    <row r="260" ht="15.75" customHeight="1">
      <c r="Q260" s="15">
        <f t="shared" si="17"/>
        <v>0</v>
      </c>
      <c r="W260" s="22">
        <f t="shared" si="11"/>
        <v>0</v>
      </c>
      <c r="X260" s="19">
        <f t="shared" si="23"/>
        <v>0</v>
      </c>
    </row>
    <row r="261" ht="15.75" customHeight="1">
      <c r="Q261" s="15">
        <f t="shared" si="17"/>
        <v>0</v>
      </c>
      <c r="W261" s="22">
        <f t="shared" si="11"/>
        <v>0</v>
      </c>
      <c r="X261" s="19">
        <f t="shared" si="23"/>
        <v>0</v>
      </c>
    </row>
    <row r="262" ht="15.75" customHeight="1">
      <c r="Q262" s="15">
        <f t="shared" si="17"/>
        <v>0</v>
      </c>
      <c r="W262" s="22">
        <f t="shared" si="11"/>
        <v>0</v>
      </c>
      <c r="X262" s="19">
        <f t="shared" si="23"/>
        <v>0</v>
      </c>
    </row>
    <row r="263" ht="15.75" customHeight="1">
      <c r="Q263" s="15">
        <f t="shared" si="17"/>
        <v>0</v>
      </c>
      <c r="W263" s="22">
        <f t="shared" si="11"/>
        <v>0</v>
      </c>
      <c r="X263" s="19">
        <f t="shared" si="23"/>
        <v>0</v>
      </c>
    </row>
    <row r="264" ht="15.75" customHeight="1">
      <c r="Q264" s="15">
        <f t="shared" si="17"/>
        <v>0</v>
      </c>
      <c r="W264" s="22">
        <f t="shared" si="11"/>
        <v>0</v>
      </c>
      <c r="X264" s="19">
        <f t="shared" si="23"/>
        <v>0</v>
      </c>
    </row>
    <row r="265" ht="15.75" customHeight="1">
      <c r="Q265" s="15">
        <f t="shared" si="17"/>
        <v>0</v>
      </c>
      <c r="W265" s="22">
        <f t="shared" si="11"/>
        <v>0</v>
      </c>
      <c r="X265" s="19">
        <f t="shared" si="23"/>
        <v>0</v>
      </c>
    </row>
    <row r="266" ht="15.75" customHeight="1">
      <c r="Q266" s="15">
        <f t="shared" si="17"/>
        <v>0</v>
      </c>
      <c r="W266" s="22">
        <f t="shared" si="11"/>
        <v>0</v>
      </c>
      <c r="X266" s="19">
        <f t="shared" si="23"/>
        <v>0</v>
      </c>
    </row>
    <row r="267" ht="15.75" customHeight="1">
      <c r="Q267" s="15">
        <f t="shared" si="17"/>
        <v>0</v>
      </c>
      <c r="W267" s="22">
        <f t="shared" si="11"/>
        <v>0</v>
      </c>
      <c r="X267" s="19">
        <f t="shared" si="23"/>
        <v>0</v>
      </c>
    </row>
    <row r="268" ht="15.75" customHeight="1">
      <c r="Q268" s="15">
        <f t="shared" si="17"/>
        <v>0</v>
      </c>
      <c r="W268" s="22">
        <f t="shared" si="11"/>
        <v>0</v>
      </c>
      <c r="X268" s="19">
        <f t="shared" si="23"/>
        <v>0</v>
      </c>
    </row>
    <row r="269" ht="15.75" customHeight="1">
      <c r="Q269" s="15">
        <f t="shared" si="17"/>
        <v>0</v>
      </c>
      <c r="W269" s="22">
        <f t="shared" si="11"/>
        <v>0</v>
      </c>
      <c r="X269" s="19">
        <f t="shared" si="23"/>
        <v>0</v>
      </c>
    </row>
    <row r="270" ht="15.75" customHeight="1">
      <c r="Q270" s="15">
        <f t="shared" si="17"/>
        <v>0</v>
      </c>
      <c r="W270" s="22">
        <f t="shared" si="11"/>
        <v>0</v>
      </c>
      <c r="X270" s="19">
        <f t="shared" si="23"/>
        <v>0</v>
      </c>
    </row>
    <row r="271" ht="15.75" customHeight="1">
      <c r="Q271" s="15">
        <f t="shared" si="17"/>
        <v>0</v>
      </c>
      <c r="W271" s="22">
        <f t="shared" si="11"/>
        <v>0</v>
      </c>
      <c r="X271" s="19">
        <f t="shared" si="23"/>
        <v>0</v>
      </c>
    </row>
    <row r="272" ht="15.75" customHeight="1">
      <c r="Q272" s="15">
        <f t="shared" si="17"/>
        <v>0</v>
      </c>
      <c r="W272" s="22">
        <f t="shared" si="11"/>
        <v>0</v>
      </c>
      <c r="X272" s="19">
        <f t="shared" si="23"/>
        <v>0</v>
      </c>
    </row>
    <row r="273" ht="15.75" customHeight="1">
      <c r="Q273" s="15">
        <f t="shared" si="17"/>
        <v>0</v>
      </c>
      <c r="W273" s="22">
        <f t="shared" si="11"/>
        <v>0</v>
      </c>
      <c r="X273" s="19">
        <f t="shared" si="23"/>
        <v>0</v>
      </c>
    </row>
    <row r="274" ht="15.75" customHeight="1">
      <c r="Q274" s="15">
        <f t="shared" si="17"/>
        <v>0</v>
      </c>
      <c r="W274" s="22">
        <f t="shared" si="11"/>
        <v>0</v>
      </c>
      <c r="X274" s="19">
        <f t="shared" si="23"/>
        <v>0</v>
      </c>
    </row>
    <row r="275" ht="15.75" customHeight="1">
      <c r="Q275" s="15">
        <f t="shared" si="17"/>
        <v>0</v>
      </c>
      <c r="W275" s="22">
        <f t="shared" si="11"/>
        <v>0</v>
      </c>
      <c r="X275" s="19">
        <f t="shared" si="23"/>
        <v>0</v>
      </c>
    </row>
    <row r="276" ht="15.75" customHeight="1">
      <c r="Q276" s="15">
        <f t="shared" si="17"/>
        <v>0</v>
      </c>
      <c r="W276" s="22">
        <f t="shared" si="11"/>
        <v>0</v>
      </c>
      <c r="X276" s="19">
        <f t="shared" si="23"/>
        <v>0</v>
      </c>
    </row>
    <row r="277" ht="15.75" customHeight="1">
      <c r="Q277" s="15">
        <f t="shared" si="17"/>
        <v>0</v>
      </c>
      <c r="W277" s="22">
        <f t="shared" si="11"/>
        <v>0</v>
      </c>
      <c r="X277" s="19">
        <f t="shared" si="23"/>
        <v>0</v>
      </c>
    </row>
    <row r="278" ht="15.75" customHeight="1">
      <c r="Q278" s="15">
        <f t="shared" si="17"/>
        <v>0</v>
      </c>
      <c r="W278" s="22">
        <f t="shared" si="11"/>
        <v>0</v>
      </c>
      <c r="X278" s="19">
        <f t="shared" si="23"/>
        <v>0</v>
      </c>
    </row>
    <row r="279" ht="15.75" customHeight="1">
      <c r="Q279" s="15">
        <f t="shared" si="17"/>
        <v>0</v>
      </c>
      <c r="W279" s="22">
        <f t="shared" si="11"/>
        <v>0</v>
      </c>
      <c r="X279" s="19">
        <f t="shared" si="23"/>
        <v>0</v>
      </c>
    </row>
    <row r="280" ht="15.75" customHeight="1">
      <c r="Q280" s="15">
        <f t="shared" si="17"/>
        <v>0</v>
      </c>
      <c r="W280" s="22">
        <f t="shared" si="11"/>
        <v>0</v>
      </c>
      <c r="X280" s="19">
        <f t="shared" si="23"/>
        <v>0</v>
      </c>
    </row>
    <row r="281" ht="15.75" customHeight="1">
      <c r="Q281" s="15">
        <f t="shared" si="17"/>
        <v>0</v>
      </c>
      <c r="W281" s="22">
        <f t="shared" si="11"/>
        <v>0</v>
      </c>
      <c r="X281" s="19">
        <f t="shared" si="23"/>
        <v>0</v>
      </c>
    </row>
    <row r="282" ht="15.75" customHeight="1">
      <c r="Q282" s="15">
        <f t="shared" si="17"/>
        <v>0</v>
      </c>
      <c r="W282" s="22">
        <f t="shared" si="11"/>
        <v>0</v>
      </c>
      <c r="X282" s="19">
        <f t="shared" si="23"/>
        <v>0</v>
      </c>
    </row>
    <row r="283" ht="15.75" customHeight="1">
      <c r="Q283" s="15">
        <f t="shared" si="17"/>
        <v>0</v>
      </c>
      <c r="W283" s="22">
        <f t="shared" si="11"/>
        <v>0</v>
      </c>
      <c r="X283" s="19">
        <f t="shared" si="23"/>
        <v>0</v>
      </c>
    </row>
    <row r="284" ht="15.75" customHeight="1">
      <c r="Q284" s="15">
        <f t="shared" si="17"/>
        <v>0</v>
      </c>
      <c r="W284" s="22">
        <f t="shared" si="11"/>
        <v>0</v>
      </c>
      <c r="X284" s="19">
        <f t="shared" si="23"/>
        <v>0</v>
      </c>
    </row>
    <row r="285" ht="15.75" customHeight="1">
      <c r="Q285" s="15">
        <f t="shared" si="17"/>
        <v>0</v>
      </c>
      <c r="W285" s="22">
        <f t="shared" si="11"/>
        <v>0</v>
      </c>
      <c r="X285" s="19">
        <f t="shared" si="23"/>
        <v>0</v>
      </c>
    </row>
    <row r="286" ht="15.75" customHeight="1">
      <c r="Q286" s="15">
        <f t="shared" si="17"/>
        <v>0</v>
      </c>
      <c r="W286" s="22">
        <f t="shared" si="11"/>
        <v>0</v>
      </c>
      <c r="X286" s="19">
        <f t="shared" si="23"/>
        <v>0</v>
      </c>
    </row>
    <row r="287" ht="15.75" customHeight="1">
      <c r="Q287" s="15">
        <f t="shared" si="17"/>
        <v>0</v>
      </c>
      <c r="W287" s="22">
        <f t="shared" si="11"/>
        <v>0</v>
      </c>
      <c r="X287" s="19">
        <f t="shared" si="23"/>
        <v>0</v>
      </c>
    </row>
    <row r="288" ht="15.75" customHeight="1">
      <c r="Q288" s="15">
        <f t="shared" si="17"/>
        <v>0</v>
      </c>
      <c r="W288" s="22">
        <f t="shared" si="11"/>
        <v>0</v>
      </c>
      <c r="X288" s="19">
        <f t="shared" si="23"/>
        <v>0</v>
      </c>
    </row>
    <row r="289" ht="15.75" customHeight="1">
      <c r="Q289" s="15">
        <f t="shared" si="17"/>
        <v>0</v>
      </c>
      <c r="W289" s="22">
        <f t="shared" si="11"/>
        <v>0</v>
      </c>
      <c r="X289" s="19">
        <f t="shared" si="23"/>
        <v>0</v>
      </c>
    </row>
    <row r="290" ht="15.75" customHeight="1">
      <c r="Q290" s="15">
        <f t="shared" si="17"/>
        <v>0</v>
      </c>
      <c r="W290" s="22">
        <f t="shared" si="11"/>
        <v>0</v>
      </c>
      <c r="X290" s="19">
        <f t="shared" si="23"/>
        <v>0</v>
      </c>
    </row>
    <row r="291" ht="15.75" customHeight="1">
      <c r="Q291" s="15">
        <f t="shared" si="17"/>
        <v>0</v>
      </c>
      <c r="W291" s="22">
        <f t="shared" si="11"/>
        <v>0</v>
      </c>
      <c r="X291" s="19">
        <f t="shared" si="23"/>
        <v>0</v>
      </c>
    </row>
    <row r="292" ht="15.75" customHeight="1">
      <c r="Q292" s="15">
        <f t="shared" si="17"/>
        <v>0</v>
      </c>
      <c r="W292" s="22">
        <f t="shared" si="11"/>
        <v>0</v>
      </c>
      <c r="X292" s="19">
        <f t="shared" si="23"/>
        <v>0</v>
      </c>
    </row>
    <row r="293" ht="15.75" customHeight="1">
      <c r="Q293" s="15">
        <f t="shared" si="17"/>
        <v>0</v>
      </c>
      <c r="W293" s="22">
        <f t="shared" si="11"/>
        <v>0</v>
      </c>
      <c r="X293" s="19">
        <f t="shared" si="23"/>
        <v>0</v>
      </c>
    </row>
    <row r="294" ht="15.75" customHeight="1">
      <c r="Q294" s="15">
        <f t="shared" si="17"/>
        <v>0</v>
      </c>
      <c r="W294" s="22">
        <f t="shared" si="11"/>
        <v>0</v>
      </c>
      <c r="X294" s="19">
        <f t="shared" si="23"/>
        <v>0</v>
      </c>
    </row>
    <row r="295" ht="15.75" customHeight="1">
      <c r="Q295" s="15">
        <f t="shared" si="17"/>
        <v>0</v>
      </c>
      <c r="W295" s="22">
        <f t="shared" si="11"/>
        <v>0</v>
      </c>
      <c r="X295" s="19">
        <f t="shared" si="23"/>
        <v>0</v>
      </c>
    </row>
    <row r="296" ht="15.75" customHeight="1">
      <c r="Q296" s="15">
        <f t="shared" si="17"/>
        <v>0</v>
      </c>
      <c r="W296" s="22">
        <f t="shared" si="11"/>
        <v>0</v>
      </c>
      <c r="X296" s="19">
        <f t="shared" si="23"/>
        <v>0</v>
      </c>
    </row>
    <row r="297" ht="15.75" customHeight="1">
      <c r="Q297" s="15">
        <f t="shared" si="17"/>
        <v>0</v>
      </c>
      <c r="W297" s="22">
        <f t="shared" si="11"/>
        <v>0</v>
      </c>
      <c r="X297" s="19">
        <f t="shared" si="23"/>
        <v>0</v>
      </c>
    </row>
    <row r="298" ht="15.75" customHeight="1">
      <c r="Q298" s="15">
        <f t="shared" si="17"/>
        <v>0</v>
      </c>
      <c r="W298" s="22">
        <f t="shared" si="11"/>
        <v>0</v>
      </c>
      <c r="X298" s="19">
        <f t="shared" si="23"/>
        <v>0</v>
      </c>
    </row>
    <row r="299" ht="15.75" customHeight="1">
      <c r="Q299" s="15">
        <f t="shared" si="17"/>
        <v>0</v>
      </c>
      <c r="W299" s="22">
        <f t="shared" si="11"/>
        <v>0</v>
      </c>
      <c r="X299" s="19">
        <f t="shared" si="23"/>
        <v>0</v>
      </c>
    </row>
    <row r="300" ht="15.75" customHeight="1">
      <c r="Q300" s="15">
        <f t="shared" si="17"/>
        <v>0</v>
      </c>
      <c r="W300" s="22">
        <f t="shared" si="11"/>
        <v>0</v>
      </c>
      <c r="X300" s="19">
        <f t="shared" si="23"/>
        <v>0</v>
      </c>
    </row>
    <row r="301" ht="15.75" customHeight="1">
      <c r="Q301" s="15">
        <f t="shared" si="17"/>
        <v>0</v>
      </c>
      <c r="W301" s="22">
        <f t="shared" si="11"/>
        <v>0</v>
      </c>
      <c r="X301" s="19">
        <f t="shared" si="23"/>
        <v>0</v>
      </c>
    </row>
    <row r="302" ht="15.75" customHeight="1">
      <c r="Q302" s="15">
        <f t="shared" si="17"/>
        <v>0</v>
      </c>
      <c r="W302" s="22">
        <f t="shared" si="11"/>
        <v>0</v>
      </c>
      <c r="X302" s="19">
        <f t="shared" si="23"/>
        <v>0</v>
      </c>
    </row>
    <row r="303" ht="15.75" customHeight="1">
      <c r="Q303" s="15">
        <f t="shared" si="17"/>
        <v>0</v>
      </c>
      <c r="W303" s="22">
        <f t="shared" si="11"/>
        <v>0</v>
      </c>
      <c r="X303" s="19">
        <f t="shared" si="23"/>
        <v>0</v>
      </c>
    </row>
    <row r="304" ht="15.75" customHeight="1">
      <c r="Q304" s="15">
        <f t="shared" si="17"/>
        <v>0</v>
      </c>
      <c r="W304" s="22">
        <f t="shared" si="11"/>
        <v>0</v>
      </c>
      <c r="X304" s="19">
        <f t="shared" si="23"/>
        <v>0</v>
      </c>
    </row>
    <row r="305" ht="15.75" customHeight="1">
      <c r="Q305" s="15">
        <f t="shared" si="17"/>
        <v>0</v>
      </c>
      <c r="W305" s="22">
        <f t="shared" si="11"/>
        <v>0</v>
      </c>
      <c r="X305" s="19">
        <f t="shared" si="23"/>
        <v>0</v>
      </c>
    </row>
    <row r="306" ht="15.75" customHeight="1">
      <c r="Q306" s="15">
        <f t="shared" si="17"/>
        <v>0</v>
      </c>
      <c r="W306" s="22">
        <f t="shared" si="11"/>
        <v>0</v>
      </c>
      <c r="X306" s="19">
        <f t="shared" si="23"/>
        <v>0</v>
      </c>
    </row>
    <row r="307" ht="15.75" customHeight="1">
      <c r="Q307" s="15">
        <f t="shared" si="17"/>
        <v>0</v>
      </c>
      <c r="W307" s="22">
        <f t="shared" si="11"/>
        <v>0</v>
      </c>
      <c r="X307" s="19">
        <f t="shared" si="23"/>
        <v>0</v>
      </c>
    </row>
    <row r="308" ht="15.75" customHeight="1">
      <c r="Q308" s="15">
        <f t="shared" si="17"/>
        <v>0</v>
      </c>
      <c r="W308" s="22">
        <f t="shared" si="11"/>
        <v>0</v>
      </c>
      <c r="X308" s="19">
        <f t="shared" si="23"/>
        <v>0</v>
      </c>
    </row>
    <row r="309" ht="15.75" customHeight="1">
      <c r="Q309" s="15">
        <f t="shared" si="17"/>
        <v>0</v>
      </c>
      <c r="W309" s="22">
        <f t="shared" si="11"/>
        <v>0</v>
      </c>
      <c r="X309" s="19">
        <f t="shared" si="23"/>
        <v>0</v>
      </c>
    </row>
    <row r="310" ht="15.75" customHeight="1">
      <c r="Q310" s="15">
        <f t="shared" si="17"/>
        <v>0</v>
      </c>
      <c r="W310" s="22">
        <f t="shared" si="11"/>
        <v>0</v>
      </c>
      <c r="X310" s="19">
        <f t="shared" si="23"/>
        <v>0</v>
      </c>
    </row>
    <row r="311" ht="15.75" customHeight="1">
      <c r="Q311" s="15">
        <f t="shared" si="17"/>
        <v>0</v>
      </c>
      <c r="W311" s="22">
        <f t="shared" si="11"/>
        <v>0</v>
      </c>
      <c r="X311" s="19">
        <f t="shared" si="23"/>
        <v>0</v>
      </c>
    </row>
    <row r="312" ht="15.75" customHeight="1">
      <c r="Q312" s="15">
        <f t="shared" si="17"/>
        <v>0</v>
      </c>
      <c r="W312" s="22">
        <f t="shared" si="11"/>
        <v>0</v>
      </c>
      <c r="X312" s="19">
        <f t="shared" si="23"/>
        <v>0</v>
      </c>
    </row>
    <row r="313" ht="15.75" customHeight="1">
      <c r="Q313" s="15">
        <f t="shared" si="17"/>
        <v>0</v>
      </c>
      <c r="W313" s="22">
        <f t="shared" si="11"/>
        <v>0</v>
      </c>
      <c r="X313" s="19">
        <f t="shared" si="23"/>
        <v>0</v>
      </c>
    </row>
    <row r="314" ht="15.75" customHeight="1">
      <c r="Q314" s="15">
        <f t="shared" si="17"/>
        <v>0</v>
      </c>
      <c r="W314" s="22">
        <f t="shared" si="11"/>
        <v>0</v>
      </c>
      <c r="X314" s="19">
        <f t="shared" si="23"/>
        <v>0</v>
      </c>
    </row>
    <row r="315" ht="15.75" customHeight="1">
      <c r="Q315" s="15">
        <f t="shared" si="17"/>
        <v>0</v>
      </c>
      <c r="W315" s="22">
        <f t="shared" si="11"/>
        <v>0</v>
      </c>
      <c r="X315" s="19">
        <f t="shared" si="23"/>
        <v>0</v>
      </c>
    </row>
    <row r="316" ht="15.75" customHeight="1">
      <c r="Q316" s="15">
        <f t="shared" si="17"/>
        <v>0</v>
      </c>
      <c r="W316" s="22">
        <f t="shared" si="11"/>
        <v>0</v>
      </c>
      <c r="X316" s="19">
        <f t="shared" si="23"/>
        <v>0</v>
      </c>
    </row>
    <row r="317" ht="15.75" customHeight="1">
      <c r="Q317" s="15">
        <f t="shared" si="17"/>
        <v>0</v>
      </c>
      <c r="W317" s="22">
        <f t="shared" si="11"/>
        <v>0</v>
      </c>
      <c r="X317" s="19">
        <f t="shared" si="23"/>
        <v>0</v>
      </c>
    </row>
    <row r="318" ht="15.75" customHeight="1">
      <c r="Q318" s="15">
        <f t="shared" si="17"/>
        <v>0</v>
      </c>
      <c r="W318" s="22">
        <f t="shared" si="11"/>
        <v>0</v>
      </c>
      <c r="X318" s="19">
        <f t="shared" si="23"/>
        <v>0</v>
      </c>
    </row>
    <row r="319" ht="15.75" customHeight="1">
      <c r="Q319" s="15">
        <f t="shared" si="17"/>
        <v>0</v>
      </c>
      <c r="W319" s="22">
        <f t="shared" si="11"/>
        <v>0</v>
      </c>
      <c r="X319" s="19">
        <f t="shared" si="23"/>
        <v>0</v>
      </c>
    </row>
    <row r="320" ht="15.75" customHeight="1">
      <c r="Q320" s="15">
        <f t="shared" si="17"/>
        <v>0</v>
      </c>
      <c r="W320" s="22">
        <f t="shared" si="11"/>
        <v>0</v>
      </c>
      <c r="X320" s="19">
        <f t="shared" si="23"/>
        <v>0</v>
      </c>
    </row>
    <row r="321" ht="15.75" customHeight="1">
      <c r="Q321" s="15">
        <f t="shared" si="17"/>
        <v>0</v>
      </c>
      <c r="W321" s="22">
        <f t="shared" si="11"/>
        <v>0</v>
      </c>
      <c r="X321" s="19">
        <f t="shared" si="23"/>
        <v>0</v>
      </c>
    </row>
    <row r="322" ht="15.75" customHeight="1">
      <c r="Q322" s="15">
        <f t="shared" si="17"/>
        <v>0</v>
      </c>
      <c r="W322" s="22">
        <f t="shared" si="11"/>
        <v>0</v>
      </c>
      <c r="X322" s="19">
        <f t="shared" si="23"/>
        <v>0</v>
      </c>
    </row>
    <row r="323" ht="15.75" customHeight="1">
      <c r="Q323" s="15">
        <f t="shared" si="17"/>
        <v>0</v>
      </c>
      <c r="W323" s="22">
        <f t="shared" si="11"/>
        <v>0</v>
      </c>
      <c r="X323" s="19">
        <f t="shared" si="23"/>
        <v>0</v>
      </c>
    </row>
    <row r="324" ht="15.75" customHeight="1">
      <c r="Q324" s="15">
        <f t="shared" si="17"/>
        <v>0</v>
      </c>
      <c r="W324" s="22">
        <f t="shared" si="11"/>
        <v>0</v>
      </c>
      <c r="X324" s="19">
        <f t="shared" si="23"/>
        <v>0</v>
      </c>
    </row>
    <row r="325" ht="15.75" customHeight="1">
      <c r="Q325" s="15">
        <f t="shared" si="17"/>
        <v>0</v>
      </c>
      <c r="W325" s="22">
        <f t="shared" si="11"/>
        <v>0</v>
      </c>
      <c r="X325" s="19">
        <f t="shared" si="23"/>
        <v>0</v>
      </c>
    </row>
    <row r="326" ht="15.75" customHeight="1">
      <c r="Q326" s="15">
        <f t="shared" si="17"/>
        <v>0</v>
      </c>
      <c r="W326" s="22">
        <f t="shared" si="11"/>
        <v>0</v>
      </c>
      <c r="X326" s="19">
        <f t="shared" si="23"/>
        <v>0</v>
      </c>
    </row>
    <row r="327" ht="15.75" customHeight="1">
      <c r="Q327" s="15">
        <f t="shared" si="17"/>
        <v>0</v>
      </c>
      <c r="W327" s="22">
        <f t="shared" si="11"/>
        <v>0</v>
      </c>
      <c r="X327" s="19">
        <f t="shared" si="23"/>
        <v>0</v>
      </c>
    </row>
    <row r="328" ht="15.75" customHeight="1">
      <c r="Q328" s="15">
        <f t="shared" si="17"/>
        <v>0</v>
      </c>
      <c r="W328" s="22">
        <f t="shared" si="11"/>
        <v>0</v>
      </c>
      <c r="X328" s="19">
        <f t="shared" si="23"/>
        <v>0</v>
      </c>
    </row>
    <row r="329" ht="15.75" customHeight="1">
      <c r="Q329" s="15">
        <f t="shared" si="17"/>
        <v>0</v>
      </c>
      <c r="W329" s="22">
        <f t="shared" si="11"/>
        <v>0</v>
      </c>
      <c r="X329" s="19">
        <f t="shared" si="23"/>
        <v>0</v>
      </c>
    </row>
    <row r="330" ht="15.75" customHeight="1">
      <c r="Q330" s="15">
        <f t="shared" si="17"/>
        <v>0</v>
      </c>
      <c r="W330" s="22">
        <f t="shared" si="11"/>
        <v>0</v>
      </c>
      <c r="X330" s="19">
        <f t="shared" si="23"/>
        <v>0</v>
      </c>
    </row>
    <row r="331" ht="15.75" customHeight="1">
      <c r="Q331" s="15">
        <f t="shared" si="17"/>
        <v>0</v>
      </c>
      <c r="W331" s="22">
        <f t="shared" si="11"/>
        <v>0</v>
      </c>
      <c r="X331" s="19">
        <f t="shared" si="23"/>
        <v>0</v>
      </c>
    </row>
    <row r="332" ht="15.75" customHeight="1">
      <c r="Q332" s="15">
        <f t="shared" si="17"/>
        <v>0</v>
      </c>
      <c r="W332" s="22">
        <f t="shared" si="11"/>
        <v>0</v>
      </c>
      <c r="X332" s="19">
        <f t="shared" si="23"/>
        <v>0</v>
      </c>
    </row>
    <row r="333" ht="15.75" customHeight="1">
      <c r="Q333" s="15">
        <f t="shared" si="17"/>
        <v>0</v>
      </c>
      <c r="W333" s="22">
        <f t="shared" si="11"/>
        <v>0</v>
      </c>
      <c r="X333" s="19">
        <f t="shared" si="23"/>
        <v>0</v>
      </c>
    </row>
    <row r="334" ht="15.75" customHeight="1">
      <c r="Q334" s="15">
        <f t="shared" si="17"/>
        <v>0</v>
      </c>
      <c r="W334" s="22">
        <f t="shared" si="11"/>
        <v>0</v>
      </c>
      <c r="X334" s="19">
        <f t="shared" si="23"/>
        <v>0</v>
      </c>
    </row>
    <row r="335" ht="15.75" customHeight="1">
      <c r="Q335" s="15">
        <f t="shared" si="17"/>
        <v>0</v>
      </c>
      <c r="W335" s="22">
        <f t="shared" si="11"/>
        <v>0</v>
      </c>
      <c r="X335" s="19">
        <f t="shared" si="23"/>
        <v>0</v>
      </c>
    </row>
    <row r="336" ht="15.75" customHeight="1">
      <c r="Q336" s="15">
        <f t="shared" si="17"/>
        <v>0</v>
      </c>
      <c r="W336" s="22">
        <f t="shared" si="11"/>
        <v>0</v>
      </c>
      <c r="X336" s="19">
        <f t="shared" si="23"/>
        <v>0</v>
      </c>
    </row>
    <row r="337" ht="15.75" customHeight="1">
      <c r="Q337" s="15">
        <f t="shared" si="17"/>
        <v>0</v>
      </c>
      <c r="W337" s="22">
        <f t="shared" si="11"/>
        <v>0</v>
      </c>
      <c r="X337" s="19">
        <f t="shared" si="23"/>
        <v>0</v>
      </c>
    </row>
    <row r="338" ht="15.75" customHeight="1">
      <c r="Q338" s="15">
        <f t="shared" si="17"/>
        <v>0</v>
      </c>
      <c r="W338" s="22">
        <f t="shared" si="11"/>
        <v>0</v>
      </c>
      <c r="X338" s="19">
        <f t="shared" si="23"/>
        <v>0</v>
      </c>
    </row>
    <row r="339" ht="15.75" customHeight="1">
      <c r="Q339" s="15">
        <f t="shared" si="17"/>
        <v>0</v>
      </c>
      <c r="W339" s="22">
        <f t="shared" si="11"/>
        <v>0</v>
      </c>
      <c r="X339" s="19">
        <f t="shared" si="23"/>
        <v>0</v>
      </c>
    </row>
    <row r="340" ht="15.75" customHeight="1">
      <c r="Q340" s="15">
        <f t="shared" si="17"/>
        <v>0</v>
      </c>
      <c r="W340" s="22">
        <f t="shared" si="11"/>
        <v>0</v>
      </c>
      <c r="X340" s="19">
        <f t="shared" si="23"/>
        <v>0</v>
      </c>
    </row>
    <row r="341" ht="15.75" customHeight="1">
      <c r="Q341" s="15">
        <f t="shared" si="17"/>
        <v>0</v>
      </c>
      <c r="W341" s="22">
        <f t="shared" si="11"/>
        <v>0</v>
      </c>
      <c r="X341" s="19">
        <f t="shared" si="23"/>
        <v>0</v>
      </c>
    </row>
    <row r="342" ht="15.75" customHeight="1">
      <c r="Q342" s="15">
        <f t="shared" si="17"/>
        <v>0</v>
      </c>
      <c r="W342" s="22">
        <f t="shared" si="11"/>
        <v>0</v>
      </c>
      <c r="X342" s="19">
        <f t="shared" si="23"/>
        <v>0</v>
      </c>
    </row>
    <row r="343" ht="15.75" customHeight="1">
      <c r="Q343" s="15">
        <f t="shared" si="17"/>
        <v>0</v>
      </c>
      <c r="W343" s="22">
        <f t="shared" si="11"/>
        <v>0</v>
      </c>
      <c r="X343" s="19">
        <f t="shared" si="23"/>
        <v>0</v>
      </c>
    </row>
    <row r="344" ht="15.75" customHeight="1">
      <c r="Q344" s="15">
        <f t="shared" si="17"/>
        <v>0</v>
      </c>
      <c r="W344" s="22">
        <f t="shared" si="11"/>
        <v>0</v>
      </c>
      <c r="X344" s="19">
        <f t="shared" si="23"/>
        <v>0</v>
      </c>
    </row>
    <row r="345" ht="15.75" customHeight="1">
      <c r="Q345" s="15">
        <f t="shared" si="17"/>
        <v>0</v>
      </c>
      <c r="W345" s="22">
        <f t="shared" si="11"/>
        <v>0</v>
      </c>
      <c r="X345" s="19">
        <f t="shared" si="23"/>
        <v>0</v>
      </c>
    </row>
    <row r="346" ht="15.75" customHeight="1">
      <c r="Q346" s="15">
        <f t="shared" si="17"/>
        <v>0</v>
      </c>
      <c r="W346" s="22">
        <f t="shared" si="11"/>
        <v>0</v>
      </c>
      <c r="X346" s="19">
        <f t="shared" si="23"/>
        <v>0</v>
      </c>
    </row>
    <row r="347" ht="15.75" customHeight="1">
      <c r="Q347" s="15">
        <f t="shared" si="17"/>
        <v>0</v>
      </c>
      <c r="W347" s="22">
        <f t="shared" si="11"/>
        <v>0</v>
      </c>
      <c r="X347" s="19">
        <f t="shared" si="23"/>
        <v>0</v>
      </c>
    </row>
    <row r="348" ht="15.75" customHeight="1">
      <c r="Q348" s="15">
        <f t="shared" si="17"/>
        <v>0</v>
      </c>
      <c r="W348" s="22">
        <f t="shared" si="11"/>
        <v>0</v>
      </c>
      <c r="X348" s="19">
        <f t="shared" si="23"/>
        <v>0</v>
      </c>
    </row>
    <row r="349" ht="15.75" customHeight="1">
      <c r="Q349" s="15">
        <f t="shared" si="17"/>
        <v>0</v>
      </c>
      <c r="W349" s="22">
        <f t="shared" si="11"/>
        <v>0</v>
      </c>
      <c r="X349" s="19">
        <f t="shared" si="23"/>
        <v>0</v>
      </c>
    </row>
    <row r="350" ht="15.75" customHeight="1">
      <c r="Q350" s="15">
        <f t="shared" si="17"/>
        <v>0</v>
      </c>
      <c r="W350" s="22">
        <f t="shared" si="11"/>
        <v>0</v>
      </c>
      <c r="X350" s="19">
        <f t="shared" si="23"/>
        <v>0</v>
      </c>
    </row>
    <row r="351" ht="15.75" customHeight="1">
      <c r="Q351" s="15">
        <f t="shared" si="17"/>
        <v>0</v>
      </c>
      <c r="W351" s="22">
        <f t="shared" si="11"/>
        <v>0</v>
      </c>
      <c r="X351" s="19">
        <f t="shared" si="23"/>
        <v>0</v>
      </c>
    </row>
    <row r="352" ht="15.75" customHeight="1">
      <c r="Q352" s="15">
        <f t="shared" si="17"/>
        <v>0</v>
      </c>
      <c r="W352" s="22">
        <f t="shared" si="11"/>
        <v>0</v>
      </c>
      <c r="X352" s="19">
        <f t="shared" si="23"/>
        <v>0</v>
      </c>
    </row>
    <row r="353" ht="15.75" customHeight="1">
      <c r="Q353" s="15">
        <f t="shared" si="17"/>
        <v>0</v>
      </c>
      <c r="W353" s="22">
        <f t="shared" si="11"/>
        <v>0</v>
      </c>
      <c r="X353" s="19">
        <f t="shared" si="23"/>
        <v>0</v>
      </c>
    </row>
    <row r="354" ht="15.75" customHeight="1">
      <c r="Q354" s="15">
        <f t="shared" si="17"/>
        <v>0</v>
      </c>
      <c r="W354" s="22">
        <f t="shared" si="11"/>
        <v>0</v>
      </c>
      <c r="X354" s="19">
        <f t="shared" si="23"/>
        <v>0</v>
      </c>
    </row>
    <row r="355" ht="15.75" customHeight="1">
      <c r="Q355" s="15">
        <f t="shared" si="17"/>
        <v>0</v>
      </c>
      <c r="W355" s="22">
        <f t="shared" si="11"/>
        <v>0</v>
      </c>
      <c r="X355" s="19">
        <f t="shared" si="23"/>
        <v>0</v>
      </c>
    </row>
    <row r="356" ht="15.75" customHeight="1">
      <c r="Q356" s="15">
        <f t="shared" si="17"/>
        <v>0</v>
      </c>
      <c r="W356" s="22">
        <f t="shared" si="11"/>
        <v>0</v>
      </c>
      <c r="X356" s="19">
        <f t="shared" si="23"/>
        <v>0</v>
      </c>
    </row>
    <row r="357" ht="15.75" customHeight="1">
      <c r="Q357" s="15">
        <f t="shared" si="17"/>
        <v>0</v>
      </c>
      <c r="W357" s="22">
        <f t="shared" si="11"/>
        <v>0</v>
      </c>
      <c r="X357" s="19">
        <f t="shared" si="23"/>
        <v>0</v>
      </c>
    </row>
    <row r="358" ht="15.75" customHeight="1">
      <c r="Q358" s="15">
        <f t="shared" si="17"/>
        <v>0</v>
      </c>
      <c r="W358" s="22">
        <f t="shared" si="11"/>
        <v>0</v>
      </c>
      <c r="X358" s="19">
        <f t="shared" si="23"/>
        <v>0</v>
      </c>
    </row>
    <row r="359" ht="15.75" customHeight="1">
      <c r="Q359" s="15">
        <f t="shared" si="17"/>
        <v>0</v>
      </c>
      <c r="W359" s="22">
        <f t="shared" si="11"/>
        <v>0</v>
      </c>
      <c r="X359" s="19">
        <f t="shared" si="23"/>
        <v>0</v>
      </c>
    </row>
    <row r="360" ht="15.75" customHeight="1">
      <c r="Q360" s="15">
        <f t="shared" si="17"/>
        <v>0</v>
      </c>
      <c r="W360" s="22">
        <f t="shared" si="11"/>
        <v>0</v>
      </c>
      <c r="X360" s="19">
        <f t="shared" si="23"/>
        <v>0</v>
      </c>
    </row>
    <row r="361" ht="15.75" customHeight="1">
      <c r="Q361" s="15">
        <f t="shared" si="17"/>
        <v>0</v>
      </c>
      <c r="W361" s="22">
        <f t="shared" si="11"/>
        <v>0</v>
      </c>
      <c r="X361" s="19">
        <f t="shared" si="23"/>
        <v>0</v>
      </c>
    </row>
    <row r="362" ht="15.75" customHeight="1">
      <c r="Q362" s="15">
        <f t="shared" si="17"/>
        <v>0</v>
      </c>
      <c r="W362" s="22">
        <f t="shared" si="11"/>
        <v>0</v>
      </c>
      <c r="X362" s="19">
        <f t="shared" si="23"/>
        <v>0</v>
      </c>
    </row>
    <row r="363" ht="15.75" customHeight="1">
      <c r="Q363" s="15">
        <f t="shared" si="17"/>
        <v>0</v>
      </c>
      <c r="W363" s="22">
        <f t="shared" si="11"/>
        <v>0</v>
      </c>
      <c r="X363" s="19">
        <f t="shared" si="23"/>
        <v>0</v>
      </c>
    </row>
    <row r="364" ht="15.75" customHeight="1">
      <c r="Q364" s="15">
        <f t="shared" si="17"/>
        <v>0</v>
      </c>
      <c r="W364" s="22">
        <f t="shared" si="11"/>
        <v>0</v>
      </c>
      <c r="X364" s="19">
        <f t="shared" si="23"/>
        <v>0</v>
      </c>
    </row>
    <row r="365" ht="15.75" customHeight="1">
      <c r="Q365" s="15">
        <f t="shared" si="17"/>
        <v>0</v>
      </c>
      <c r="W365" s="22">
        <f t="shared" si="11"/>
        <v>0</v>
      </c>
      <c r="X365" s="19">
        <f t="shared" si="23"/>
        <v>0</v>
      </c>
    </row>
    <row r="366" ht="15.75" customHeight="1">
      <c r="Q366" s="15">
        <f t="shared" si="17"/>
        <v>0</v>
      </c>
      <c r="W366" s="22">
        <f t="shared" si="11"/>
        <v>0</v>
      </c>
      <c r="X366" s="19">
        <f t="shared" si="23"/>
        <v>0</v>
      </c>
    </row>
    <row r="367" ht="15.75" customHeight="1">
      <c r="Q367" s="15">
        <f t="shared" si="17"/>
        <v>0</v>
      </c>
      <c r="W367" s="22">
        <f t="shared" si="11"/>
        <v>0</v>
      </c>
      <c r="X367" s="19">
        <f t="shared" si="23"/>
        <v>0</v>
      </c>
    </row>
    <row r="368" ht="15.75" customHeight="1">
      <c r="Q368" s="15">
        <f t="shared" si="17"/>
        <v>0</v>
      </c>
      <c r="W368" s="22">
        <f t="shared" si="11"/>
        <v>0</v>
      </c>
      <c r="X368" s="19">
        <f t="shared" si="23"/>
        <v>0</v>
      </c>
    </row>
    <row r="369" ht="15.75" customHeight="1">
      <c r="Q369" s="15">
        <f t="shared" si="17"/>
        <v>0</v>
      </c>
      <c r="W369" s="22">
        <f t="shared" si="11"/>
        <v>0</v>
      </c>
      <c r="X369" s="19">
        <f t="shared" si="23"/>
        <v>0</v>
      </c>
    </row>
    <row r="370" ht="15.75" customHeight="1">
      <c r="Q370" s="15">
        <f t="shared" si="17"/>
        <v>0</v>
      </c>
      <c r="W370" s="22">
        <f t="shared" si="11"/>
        <v>0</v>
      </c>
      <c r="X370" s="19">
        <f t="shared" si="23"/>
        <v>0</v>
      </c>
    </row>
    <row r="371" ht="15.75" customHeight="1">
      <c r="Q371" s="15">
        <f t="shared" si="17"/>
        <v>0</v>
      </c>
      <c r="W371" s="22">
        <f t="shared" si="11"/>
        <v>0</v>
      </c>
      <c r="X371" s="19">
        <f t="shared" si="23"/>
        <v>0</v>
      </c>
    </row>
    <row r="372" ht="15.75" customHeight="1">
      <c r="Q372" s="15">
        <f t="shared" si="17"/>
        <v>0</v>
      </c>
      <c r="W372" s="22">
        <f t="shared" si="11"/>
        <v>0</v>
      </c>
      <c r="X372" s="19">
        <f t="shared" si="23"/>
        <v>0</v>
      </c>
    </row>
    <row r="373" ht="15.75" customHeight="1">
      <c r="Q373" s="15">
        <f t="shared" si="17"/>
        <v>0</v>
      </c>
      <c r="W373" s="22">
        <f t="shared" si="11"/>
        <v>0</v>
      </c>
      <c r="X373" s="19">
        <f t="shared" si="23"/>
        <v>0</v>
      </c>
    </row>
    <row r="374" ht="15.75" customHeight="1">
      <c r="Q374" s="15">
        <f t="shared" si="17"/>
        <v>0</v>
      </c>
      <c r="W374" s="22">
        <f t="shared" si="11"/>
        <v>0</v>
      </c>
      <c r="X374" s="19">
        <f t="shared" si="23"/>
        <v>0</v>
      </c>
    </row>
    <row r="375" ht="15.75" customHeight="1">
      <c r="Q375" s="15">
        <f t="shared" si="17"/>
        <v>0</v>
      </c>
      <c r="W375" s="22">
        <f t="shared" si="11"/>
        <v>0</v>
      </c>
      <c r="X375" s="19">
        <f t="shared" si="23"/>
        <v>0</v>
      </c>
    </row>
    <row r="376" ht="15.75" customHeight="1">
      <c r="Q376" s="15">
        <f t="shared" si="17"/>
        <v>0</v>
      </c>
      <c r="W376" s="22">
        <f t="shared" si="11"/>
        <v>0</v>
      </c>
      <c r="X376" s="19">
        <f t="shared" si="23"/>
        <v>0</v>
      </c>
    </row>
    <row r="377" ht="15.75" customHeight="1">
      <c r="Q377" s="15">
        <f t="shared" si="17"/>
        <v>0</v>
      </c>
      <c r="W377" s="22">
        <f t="shared" si="11"/>
        <v>0</v>
      </c>
      <c r="X377" s="19">
        <f t="shared" si="23"/>
        <v>0</v>
      </c>
    </row>
    <row r="378" ht="15.75" customHeight="1">
      <c r="Q378" s="15">
        <f t="shared" si="17"/>
        <v>0</v>
      </c>
      <c r="W378" s="22">
        <f t="shared" si="11"/>
        <v>0</v>
      </c>
      <c r="X378" s="19">
        <f t="shared" si="23"/>
        <v>0</v>
      </c>
    </row>
    <row r="379" ht="15.75" customHeight="1">
      <c r="Q379" s="15">
        <f t="shared" si="17"/>
        <v>0</v>
      </c>
      <c r="W379" s="22">
        <f t="shared" si="11"/>
        <v>0</v>
      </c>
      <c r="X379" s="19">
        <f t="shared" si="23"/>
        <v>0</v>
      </c>
    </row>
    <row r="380" ht="15.75" customHeight="1">
      <c r="Q380" s="15">
        <f t="shared" si="17"/>
        <v>0</v>
      </c>
      <c r="W380" s="22">
        <f t="shared" si="11"/>
        <v>0</v>
      </c>
      <c r="X380" s="19">
        <f t="shared" si="23"/>
        <v>0</v>
      </c>
    </row>
    <row r="381" ht="15.75" customHeight="1">
      <c r="Q381" s="15">
        <f t="shared" si="17"/>
        <v>0</v>
      </c>
      <c r="W381" s="22">
        <f t="shared" si="11"/>
        <v>0</v>
      </c>
      <c r="X381" s="19">
        <f t="shared" si="23"/>
        <v>0</v>
      </c>
    </row>
    <row r="382" ht="15.75" customHeight="1">
      <c r="Q382" s="15">
        <f t="shared" si="17"/>
        <v>0</v>
      </c>
      <c r="W382" s="22">
        <f t="shared" si="11"/>
        <v>0</v>
      </c>
      <c r="X382" s="19">
        <f t="shared" si="23"/>
        <v>0</v>
      </c>
    </row>
    <row r="383" ht="15.75" customHeight="1">
      <c r="Q383" s="15">
        <f t="shared" si="17"/>
        <v>0</v>
      </c>
      <c r="W383" s="22">
        <f t="shared" si="11"/>
        <v>0</v>
      </c>
      <c r="X383" s="19">
        <f t="shared" si="23"/>
        <v>0</v>
      </c>
    </row>
    <row r="384" ht="15.75" customHeight="1">
      <c r="Q384" s="15">
        <f t="shared" si="17"/>
        <v>0</v>
      </c>
      <c r="W384" s="22">
        <f t="shared" si="11"/>
        <v>0</v>
      </c>
      <c r="X384" s="19">
        <f t="shared" si="23"/>
        <v>0</v>
      </c>
    </row>
    <row r="385" ht="15.75" customHeight="1">
      <c r="Q385" s="15">
        <f t="shared" si="17"/>
        <v>0</v>
      </c>
      <c r="W385" s="22">
        <f t="shared" si="11"/>
        <v>0</v>
      </c>
      <c r="X385" s="19">
        <f t="shared" si="23"/>
        <v>0</v>
      </c>
    </row>
    <row r="386" ht="15.75" customHeight="1">
      <c r="Q386" s="15">
        <f t="shared" si="17"/>
        <v>0</v>
      </c>
      <c r="W386" s="22">
        <f t="shared" si="11"/>
        <v>0</v>
      </c>
      <c r="X386" s="19">
        <f t="shared" si="23"/>
        <v>0</v>
      </c>
    </row>
    <row r="387" ht="15.75" customHeight="1">
      <c r="Q387" s="15">
        <f t="shared" si="17"/>
        <v>0</v>
      </c>
      <c r="W387" s="22">
        <f t="shared" si="11"/>
        <v>0</v>
      </c>
      <c r="X387" s="19">
        <f t="shared" si="23"/>
        <v>0</v>
      </c>
    </row>
    <row r="388" ht="15.75" customHeight="1">
      <c r="Q388" s="15">
        <f t="shared" si="17"/>
        <v>0</v>
      </c>
      <c r="W388" s="22">
        <f t="shared" si="11"/>
        <v>0</v>
      </c>
      <c r="X388" s="19">
        <f t="shared" si="23"/>
        <v>0</v>
      </c>
    </row>
    <row r="389" ht="15.75" customHeight="1">
      <c r="Q389" s="15">
        <f t="shared" si="17"/>
        <v>0</v>
      </c>
      <c r="W389" s="22">
        <f t="shared" si="11"/>
        <v>0</v>
      </c>
      <c r="X389" s="19">
        <f t="shared" si="23"/>
        <v>0</v>
      </c>
    </row>
    <row r="390" ht="15.75" customHeight="1">
      <c r="Q390" s="15">
        <f t="shared" si="17"/>
        <v>0</v>
      </c>
      <c r="W390" s="22">
        <f t="shared" si="11"/>
        <v>0</v>
      </c>
      <c r="X390" s="19">
        <f t="shared" si="23"/>
        <v>0</v>
      </c>
    </row>
    <row r="391" ht="15.75" customHeight="1">
      <c r="Q391" s="15">
        <f t="shared" si="17"/>
        <v>0</v>
      </c>
      <c r="W391" s="22">
        <f t="shared" si="11"/>
        <v>0</v>
      </c>
      <c r="X391" s="19">
        <f t="shared" si="23"/>
        <v>0</v>
      </c>
    </row>
    <row r="392" ht="15.75" customHeight="1">
      <c r="Q392" s="15">
        <f t="shared" si="17"/>
        <v>0</v>
      </c>
      <c r="W392" s="22">
        <f t="shared" si="11"/>
        <v>0</v>
      </c>
      <c r="X392" s="19">
        <f t="shared" si="23"/>
        <v>0</v>
      </c>
    </row>
    <row r="393" ht="15.75" customHeight="1">
      <c r="Q393" s="15">
        <f t="shared" si="17"/>
        <v>0</v>
      </c>
      <c r="W393" s="22">
        <f t="shared" si="11"/>
        <v>0</v>
      </c>
      <c r="X393" s="19">
        <f t="shared" si="23"/>
        <v>0</v>
      </c>
    </row>
    <row r="394" ht="15.75" customHeight="1">
      <c r="Q394" s="15">
        <f t="shared" si="17"/>
        <v>0</v>
      </c>
      <c r="W394" s="22">
        <f t="shared" si="11"/>
        <v>0</v>
      </c>
      <c r="X394" s="19">
        <f t="shared" si="23"/>
        <v>0</v>
      </c>
    </row>
    <row r="395" ht="15.75" customHeight="1">
      <c r="Q395" s="15">
        <f t="shared" si="17"/>
        <v>0</v>
      </c>
      <c r="W395" s="22">
        <f t="shared" si="11"/>
        <v>0</v>
      </c>
      <c r="X395" s="19">
        <f t="shared" si="23"/>
        <v>0</v>
      </c>
    </row>
    <row r="396" ht="15.75" customHeight="1">
      <c r="Q396" s="15">
        <f t="shared" si="17"/>
        <v>0</v>
      </c>
      <c r="W396" s="22">
        <f t="shared" si="11"/>
        <v>0</v>
      </c>
      <c r="X396" s="19">
        <f t="shared" si="23"/>
        <v>0</v>
      </c>
    </row>
    <row r="397" ht="15.75" customHeight="1">
      <c r="Q397" s="15">
        <f t="shared" si="17"/>
        <v>0</v>
      </c>
      <c r="W397" s="22">
        <f t="shared" si="11"/>
        <v>0</v>
      </c>
      <c r="X397" s="19">
        <f t="shared" si="23"/>
        <v>0</v>
      </c>
    </row>
    <row r="398" ht="15.75" customHeight="1">
      <c r="Q398" s="15">
        <f t="shared" si="17"/>
        <v>0</v>
      </c>
      <c r="W398" s="22">
        <f t="shared" si="11"/>
        <v>0</v>
      </c>
      <c r="X398" s="19">
        <f t="shared" si="23"/>
        <v>0</v>
      </c>
    </row>
    <row r="399" ht="15.75" customHeight="1">
      <c r="Q399" s="15">
        <f t="shared" si="17"/>
        <v>0</v>
      </c>
      <c r="W399" s="22">
        <f t="shared" si="11"/>
        <v>0</v>
      </c>
      <c r="X399" s="19">
        <f t="shared" si="23"/>
        <v>0</v>
      </c>
    </row>
    <row r="400" ht="15.75" customHeight="1">
      <c r="Q400" s="15">
        <f t="shared" si="17"/>
        <v>0</v>
      </c>
      <c r="W400" s="22">
        <f t="shared" si="11"/>
        <v>0</v>
      </c>
      <c r="X400" s="19">
        <f t="shared" si="23"/>
        <v>0</v>
      </c>
    </row>
    <row r="401" ht="15.75" customHeight="1">
      <c r="Q401" s="15">
        <f t="shared" si="17"/>
        <v>0</v>
      </c>
      <c r="W401" s="22">
        <f t="shared" si="11"/>
        <v>0</v>
      </c>
      <c r="X401" s="19">
        <f t="shared" si="23"/>
        <v>0</v>
      </c>
    </row>
    <row r="402" ht="15.75" customHeight="1">
      <c r="Q402" s="15">
        <f t="shared" si="17"/>
        <v>0</v>
      </c>
      <c r="W402" s="22">
        <f t="shared" si="11"/>
        <v>0</v>
      </c>
      <c r="X402" s="19">
        <f t="shared" si="23"/>
        <v>0</v>
      </c>
    </row>
    <row r="403" ht="15.75" customHeight="1">
      <c r="Q403" s="15">
        <f t="shared" si="17"/>
        <v>0</v>
      </c>
      <c r="W403" s="22">
        <f t="shared" si="11"/>
        <v>0</v>
      </c>
      <c r="X403" s="19">
        <f t="shared" si="23"/>
        <v>0</v>
      </c>
    </row>
    <row r="404" ht="15.75" customHeight="1">
      <c r="Q404" s="15">
        <f t="shared" si="17"/>
        <v>0</v>
      </c>
      <c r="W404" s="22">
        <f t="shared" si="11"/>
        <v>0</v>
      </c>
      <c r="X404" s="19">
        <f t="shared" si="23"/>
        <v>0</v>
      </c>
    </row>
    <row r="405" ht="15.75" customHeight="1">
      <c r="Q405" s="15">
        <f t="shared" si="17"/>
        <v>0</v>
      </c>
      <c r="W405" s="22">
        <f t="shared" si="11"/>
        <v>0</v>
      </c>
      <c r="X405" s="19">
        <f t="shared" si="23"/>
        <v>0</v>
      </c>
    </row>
    <row r="406" ht="15.75" customHeight="1">
      <c r="Q406" s="15">
        <f t="shared" si="17"/>
        <v>0</v>
      </c>
      <c r="W406" s="22">
        <f t="shared" si="11"/>
        <v>0</v>
      </c>
      <c r="X406" s="19">
        <f t="shared" si="23"/>
        <v>0</v>
      </c>
    </row>
    <row r="407" ht="15.75" customHeight="1">
      <c r="Q407" s="15">
        <f t="shared" si="17"/>
        <v>0</v>
      </c>
      <c r="W407" s="22">
        <f t="shared" si="11"/>
        <v>0</v>
      </c>
      <c r="X407" s="19">
        <f t="shared" si="23"/>
        <v>0</v>
      </c>
    </row>
    <row r="408" ht="15.75" customHeight="1">
      <c r="Q408" s="15">
        <f t="shared" si="17"/>
        <v>0</v>
      </c>
      <c r="W408" s="22">
        <f t="shared" si="11"/>
        <v>0</v>
      </c>
      <c r="X408" s="19">
        <f t="shared" si="23"/>
        <v>0</v>
      </c>
    </row>
    <row r="409" ht="15.75" customHeight="1">
      <c r="Q409" s="15">
        <f t="shared" si="17"/>
        <v>0</v>
      </c>
      <c r="W409" s="22">
        <f t="shared" si="11"/>
        <v>0</v>
      </c>
      <c r="X409" s="19">
        <f t="shared" si="23"/>
        <v>0</v>
      </c>
    </row>
    <row r="410" ht="15.75" customHeight="1">
      <c r="Q410" s="15">
        <f t="shared" si="17"/>
        <v>0</v>
      </c>
      <c r="W410" s="22">
        <f t="shared" si="11"/>
        <v>0</v>
      </c>
      <c r="X410" s="19">
        <f t="shared" si="23"/>
        <v>0</v>
      </c>
    </row>
    <row r="411" ht="15.75" customHeight="1">
      <c r="Q411" s="15">
        <f t="shared" si="17"/>
        <v>0</v>
      </c>
      <c r="W411" s="22">
        <f t="shared" si="11"/>
        <v>0</v>
      </c>
      <c r="X411" s="19">
        <f t="shared" si="23"/>
        <v>0</v>
      </c>
    </row>
    <row r="412" ht="15.75" customHeight="1">
      <c r="Q412" s="15">
        <f t="shared" si="17"/>
        <v>0</v>
      </c>
      <c r="W412" s="22">
        <f t="shared" si="11"/>
        <v>0</v>
      </c>
      <c r="X412" s="19">
        <f t="shared" si="23"/>
        <v>0</v>
      </c>
    </row>
    <row r="413" ht="15.75" customHeight="1">
      <c r="Q413" s="15">
        <f t="shared" si="17"/>
        <v>0</v>
      </c>
      <c r="W413" s="22">
        <f t="shared" si="11"/>
        <v>0</v>
      </c>
      <c r="X413" s="19">
        <f t="shared" si="23"/>
        <v>0</v>
      </c>
    </row>
    <row r="414" ht="15.75" customHeight="1">
      <c r="Q414" s="15">
        <f t="shared" si="17"/>
        <v>0</v>
      </c>
      <c r="W414" s="22">
        <f t="shared" si="11"/>
        <v>0</v>
      </c>
      <c r="X414" s="19">
        <f t="shared" si="23"/>
        <v>0</v>
      </c>
    </row>
    <row r="415" ht="15.75" customHeight="1">
      <c r="Q415" s="15">
        <f t="shared" si="17"/>
        <v>0</v>
      </c>
      <c r="W415" s="22">
        <f t="shared" si="11"/>
        <v>0</v>
      </c>
      <c r="X415" s="19">
        <f t="shared" si="23"/>
        <v>0</v>
      </c>
    </row>
    <row r="416" ht="15.75" customHeight="1">
      <c r="Q416" s="15">
        <f t="shared" si="17"/>
        <v>0</v>
      </c>
      <c r="W416" s="22">
        <f t="shared" si="11"/>
        <v>0</v>
      </c>
      <c r="X416" s="19">
        <f t="shared" si="23"/>
        <v>0</v>
      </c>
    </row>
    <row r="417" ht="15.75" customHeight="1">
      <c r="Q417" s="15">
        <f t="shared" si="17"/>
        <v>0</v>
      </c>
      <c r="W417" s="22">
        <f t="shared" si="11"/>
        <v>0</v>
      </c>
      <c r="X417" s="19">
        <f t="shared" si="23"/>
        <v>0</v>
      </c>
    </row>
    <row r="418" ht="15.75" customHeight="1">
      <c r="Q418" s="15">
        <f t="shared" si="17"/>
        <v>0</v>
      </c>
      <c r="W418" s="22">
        <f t="shared" si="11"/>
        <v>0</v>
      </c>
      <c r="X418" s="19">
        <f t="shared" si="23"/>
        <v>0</v>
      </c>
    </row>
    <row r="419" ht="15.75" customHeight="1">
      <c r="Q419" s="15">
        <f t="shared" si="17"/>
        <v>0</v>
      </c>
      <c r="W419" s="22">
        <f t="shared" si="11"/>
        <v>0</v>
      </c>
      <c r="X419" s="19">
        <f t="shared" si="23"/>
        <v>0</v>
      </c>
    </row>
    <row r="420" ht="15.75" customHeight="1">
      <c r="Q420" s="15">
        <f t="shared" si="17"/>
        <v>0</v>
      </c>
      <c r="W420" s="22">
        <f t="shared" si="11"/>
        <v>0</v>
      </c>
      <c r="X420" s="19">
        <f t="shared" si="23"/>
        <v>0</v>
      </c>
    </row>
    <row r="421" ht="15.75" customHeight="1">
      <c r="Q421" s="15">
        <f t="shared" si="17"/>
        <v>0</v>
      </c>
      <c r="W421" s="22">
        <f t="shared" si="11"/>
        <v>0</v>
      </c>
      <c r="X421" s="19">
        <f t="shared" si="23"/>
        <v>0</v>
      </c>
    </row>
    <row r="422" ht="15.75" customHeight="1">
      <c r="Q422" s="15">
        <f t="shared" si="17"/>
        <v>0</v>
      </c>
      <c r="W422" s="22">
        <f t="shared" si="11"/>
        <v>0</v>
      </c>
      <c r="X422" s="19">
        <f t="shared" si="23"/>
        <v>0</v>
      </c>
    </row>
    <row r="423" ht="15.75" customHeight="1">
      <c r="Q423" s="15">
        <f t="shared" si="17"/>
        <v>0</v>
      </c>
      <c r="W423" s="22">
        <f t="shared" si="11"/>
        <v>0</v>
      </c>
      <c r="X423" s="19">
        <f t="shared" si="23"/>
        <v>0</v>
      </c>
    </row>
    <row r="424" ht="15.75" customHeight="1">
      <c r="Q424" s="15">
        <f t="shared" si="17"/>
        <v>0</v>
      </c>
      <c r="W424" s="22">
        <f t="shared" si="11"/>
        <v>0</v>
      </c>
      <c r="X424" s="19">
        <f t="shared" si="23"/>
        <v>0</v>
      </c>
    </row>
    <row r="425" ht="15.75" customHeight="1">
      <c r="Q425" s="15">
        <f t="shared" si="17"/>
        <v>0</v>
      </c>
      <c r="W425" s="22">
        <f t="shared" si="11"/>
        <v>0</v>
      </c>
      <c r="X425" s="19">
        <f t="shared" si="23"/>
        <v>0</v>
      </c>
    </row>
    <row r="426" ht="15.75" customHeight="1">
      <c r="Q426" s="15">
        <f t="shared" si="17"/>
        <v>0</v>
      </c>
      <c r="W426" s="22">
        <f t="shared" si="11"/>
        <v>0</v>
      </c>
      <c r="X426" s="19">
        <f t="shared" si="23"/>
        <v>0</v>
      </c>
    </row>
    <row r="427" ht="15.75" customHeight="1">
      <c r="Q427" s="15">
        <f t="shared" si="17"/>
        <v>0</v>
      </c>
      <c r="W427" s="22">
        <f t="shared" si="11"/>
        <v>0</v>
      </c>
      <c r="X427" s="19">
        <f t="shared" si="23"/>
        <v>0</v>
      </c>
    </row>
    <row r="428" ht="15.75" customHeight="1">
      <c r="Q428" s="15">
        <f t="shared" si="17"/>
        <v>0</v>
      </c>
      <c r="W428" s="22">
        <f t="shared" si="11"/>
        <v>0</v>
      </c>
      <c r="X428" s="19">
        <f t="shared" si="23"/>
        <v>0</v>
      </c>
    </row>
    <row r="429" ht="15.75" customHeight="1">
      <c r="Q429" s="15">
        <f t="shared" si="17"/>
        <v>0</v>
      </c>
      <c r="W429" s="22">
        <f t="shared" si="11"/>
        <v>0</v>
      </c>
      <c r="X429" s="19">
        <f t="shared" si="23"/>
        <v>0</v>
      </c>
    </row>
    <row r="430" ht="15.75" customHeight="1">
      <c r="Q430" s="15">
        <f t="shared" si="17"/>
        <v>0</v>
      </c>
      <c r="W430" s="22">
        <f t="shared" si="11"/>
        <v>0</v>
      </c>
      <c r="X430" s="19">
        <f t="shared" si="23"/>
        <v>0</v>
      </c>
    </row>
    <row r="431" ht="15.75" customHeight="1">
      <c r="Q431" s="15">
        <f t="shared" si="17"/>
        <v>0</v>
      </c>
      <c r="W431" s="22">
        <f t="shared" si="11"/>
        <v>0</v>
      </c>
      <c r="X431" s="19">
        <f t="shared" si="23"/>
        <v>0</v>
      </c>
    </row>
    <row r="432" ht="15.75" customHeight="1">
      <c r="Q432" s="15">
        <f t="shared" si="17"/>
        <v>0</v>
      </c>
      <c r="W432" s="22">
        <f t="shared" si="11"/>
        <v>0</v>
      </c>
      <c r="X432" s="19">
        <f t="shared" si="23"/>
        <v>0</v>
      </c>
    </row>
    <row r="433" ht="15.75" customHeight="1">
      <c r="Q433" s="15">
        <f t="shared" si="17"/>
        <v>0</v>
      </c>
      <c r="W433" s="22">
        <f t="shared" si="11"/>
        <v>0</v>
      </c>
      <c r="X433" s="19">
        <f t="shared" si="23"/>
        <v>0</v>
      </c>
    </row>
    <row r="434" ht="15.75" customHeight="1">
      <c r="Q434" s="15">
        <f t="shared" si="17"/>
        <v>0</v>
      </c>
      <c r="W434" s="22">
        <f t="shared" si="11"/>
        <v>0</v>
      </c>
      <c r="X434" s="19">
        <f t="shared" si="23"/>
        <v>0</v>
      </c>
    </row>
    <row r="435" ht="15.75" customHeight="1">
      <c r="Q435" s="15">
        <f t="shared" si="17"/>
        <v>0</v>
      </c>
      <c r="W435" s="22">
        <f t="shared" si="11"/>
        <v>0</v>
      </c>
      <c r="X435" s="19">
        <f t="shared" si="23"/>
        <v>0</v>
      </c>
    </row>
    <row r="436" ht="15.75" customHeight="1">
      <c r="Q436" s="15">
        <f t="shared" si="17"/>
        <v>0</v>
      </c>
      <c r="W436" s="22">
        <f t="shared" si="11"/>
        <v>0</v>
      </c>
      <c r="X436" s="19">
        <f t="shared" si="23"/>
        <v>0</v>
      </c>
    </row>
    <row r="437" ht="15.75" customHeight="1">
      <c r="Q437" s="15">
        <f t="shared" si="17"/>
        <v>0</v>
      </c>
      <c r="W437" s="22">
        <f t="shared" si="11"/>
        <v>0</v>
      </c>
      <c r="X437" s="19">
        <f t="shared" si="23"/>
        <v>0</v>
      </c>
    </row>
    <row r="438" ht="15.75" customHeight="1">
      <c r="Q438" s="15">
        <f t="shared" si="17"/>
        <v>0</v>
      </c>
      <c r="W438" s="22">
        <f t="shared" si="11"/>
        <v>0</v>
      </c>
      <c r="X438" s="19">
        <f t="shared" si="23"/>
        <v>0</v>
      </c>
    </row>
    <row r="439" ht="15.75" customHeight="1">
      <c r="Q439" s="15">
        <f t="shared" si="17"/>
        <v>0</v>
      </c>
      <c r="W439" s="22">
        <f t="shared" si="11"/>
        <v>0</v>
      </c>
      <c r="X439" s="19">
        <f t="shared" si="23"/>
        <v>0</v>
      </c>
    </row>
    <row r="440" ht="15.75" customHeight="1">
      <c r="Q440" s="15">
        <f t="shared" si="17"/>
        <v>0</v>
      </c>
      <c r="W440" s="22">
        <f t="shared" si="11"/>
        <v>0</v>
      </c>
      <c r="X440" s="19">
        <f t="shared" si="23"/>
        <v>0</v>
      </c>
    </row>
    <row r="441" ht="15.75" customHeight="1">
      <c r="Q441" s="15">
        <f t="shared" si="17"/>
        <v>0</v>
      </c>
      <c r="W441" s="22">
        <f t="shared" si="11"/>
        <v>0</v>
      </c>
      <c r="X441" s="19">
        <f t="shared" si="23"/>
        <v>0</v>
      </c>
    </row>
    <row r="442" ht="15.75" customHeight="1">
      <c r="Q442" s="15">
        <f t="shared" si="17"/>
        <v>0</v>
      </c>
      <c r="W442" s="22">
        <f t="shared" si="11"/>
        <v>0</v>
      </c>
      <c r="X442" s="19">
        <f t="shared" si="23"/>
        <v>0</v>
      </c>
    </row>
    <row r="443" ht="15.75" customHeight="1">
      <c r="Q443" s="15">
        <f t="shared" si="17"/>
        <v>0</v>
      </c>
      <c r="W443" s="22">
        <f t="shared" si="11"/>
        <v>0</v>
      </c>
      <c r="X443" s="19">
        <f t="shared" si="23"/>
        <v>0</v>
      </c>
    </row>
    <row r="444" ht="15.75" customHeight="1">
      <c r="Q444" s="15">
        <f t="shared" si="17"/>
        <v>0</v>
      </c>
      <c r="W444" s="22">
        <f t="shared" si="11"/>
        <v>0</v>
      </c>
      <c r="X444" s="19">
        <f t="shared" si="23"/>
        <v>0</v>
      </c>
    </row>
    <row r="445" ht="15.75" customHeight="1">
      <c r="Q445" s="15">
        <f t="shared" si="17"/>
        <v>0</v>
      </c>
      <c r="W445" s="22">
        <f t="shared" si="11"/>
        <v>0</v>
      </c>
      <c r="X445" s="19">
        <f t="shared" si="23"/>
        <v>0</v>
      </c>
    </row>
    <row r="446" ht="15.75" customHeight="1">
      <c r="Q446" s="15">
        <f t="shared" si="17"/>
        <v>0</v>
      </c>
      <c r="W446" s="22">
        <f t="shared" si="11"/>
        <v>0</v>
      </c>
      <c r="X446" s="19">
        <f t="shared" si="23"/>
        <v>0</v>
      </c>
    </row>
    <row r="447" ht="15.75" customHeight="1">
      <c r="Q447" s="15">
        <f t="shared" si="17"/>
        <v>0</v>
      </c>
      <c r="W447" s="22">
        <f t="shared" si="11"/>
        <v>0</v>
      </c>
      <c r="X447" s="19">
        <f t="shared" si="23"/>
        <v>0</v>
      </c>
    </row>
    <row r="448" ht="15.75" customHeight="1">
      <c r="Q448" s="15">
        <f t="shared" si="17"/>
        <v>0</v>
      </c>
      <c r="W448" s="22">
        <f t="shared" si="11"/>
        <v>0</v>
      </c>
      <c r="X448" s="19">
        <f t="shared" si="23"/>
        <v>0</v>
      </c>
    </row>
    <row r="449" ht="15.75" customHeight="1">
      <c r="Q449" s="15">
        <f t="shared" si="17"/>
        <v>0</v>
      </c>
      <c r="W449" s="22">
        <f t="shared" si="11"/>
        <v>0</v>
      </c>
      <c r="X449" s="19">
        <f t="shared" si="23"/>
        <v>0</v>
      </c>
    </row>
    <row r="450" ht="15.75" customHeight="1">
      <c r="Q450" s="15">
        <f t="shared" si="17"/>
        <v>0</v>
      </c>
      <c r="W450" s="22">
        <f t="shared" si="11"/>
        <v>0</v>
      </c>
      <c r="X450" s="19">
        <f t="shared" si="23"/>
        <v>0</v>
      </c>
    </row>
    <row r="451" ht="15.75" customHeight="1">
      <c r="Q451" s="15">
        <f t="shared" si="17"/>
        <v>0</v>
      </c>
      <c r="W451" s="22">
        <f t="shared" si="11"/>
        <v>0</v>
      </c>
      <c r="X451" s="19">
        <f t="shared" si="23"/>
        <v>0</v>
      </c>
    </row>
    <row r="452" ht="15.75" customHeight="1">
      <c r="Q452" s="15">
        <f t="shared" si="17"/>
        <v>0</v>
      </c>
      <c r="W452" s="22">
        <f t="shared" si="11"/>
        <v>0</v>
      </c>
      <c r="X452" s="19">
        <f t="shared" si="23"/>
        <v>0</v>
      </c>
    </row>
    <row r="453" ht="15.75" customHeight="1">
      <c r="Q453" s="15">
        <f t="shared" si="17"/>
        <v>0</v>
      </c>
      <c r="W453" s="22">
        <f t="shared" si="11"/>
        <v>0</v>
      </c>
      <c r="X453" s="19">
        <f t="shared" si="23"/>
        <v>0</v>
      </c>
    </row>
    <row r="454" ht="15.75" customHeight="1">
      <c r="Q454" s="15">
        <f t="shared" si="17"/>
        <v>0</v>
      </c>
      <c r="W454" s="22">
        <f t="shared" si="11"/>
        <v>0</v>
      </c>
      <c r="X454" s="19">
        <f t="shared" si="23"/>
        <v>0</v>
      </c>
    </row>
    <row r="455" ht="15.75" customHeight="1">
      <c r="Q455" s="15">
        <f t="shared" si="17"/>
        <v>0</v>
      </c>
      <c r="W455" s="22">
        <f t="shared" si="11"/>
        <v>0</v>
      </c>
      <c r="X455" s="19">
        <f t="shared" si="23"/>
        <v>0</v>
      </c>
    </row>
    <row r="456" ht="15.75" customHeight="1">
      <c r="Q456" s="15">
        <f t="shared" si="17"/>
        <v>0</v>
      </c>
      <c r="W456" s="22">
        <f t="shared" si="11"/>
        <v>0</v>
      </c>
      <c r="X456" s="19">
        <f t="shared" si="23"/>
        <v>0</v>
      </c>
    </row>
    <row r="457" ht="15.75" customHeight="1">
      <c r="Q457" s="15">
        <f t="shared" si="17"/>
        <v>0</v>
      </c>
      <c r="W457" s="22">
        <f t="shared" si="11"/>
        <v>0</v>
      </c>
      <c r="X457" s="19">
        <f t="shared" si="23"/>
        <v>0</v>
      </c>
    </row>
    <row r="458" ht="15.75" customHeight="1">
      <c r="Q458" s="15">
        <f t="shared" si="17"/>
        <v>0</v>
      </c>
      <c r="W458" s="22">
        <f t="shared" si="11"/>
        <v>0</v>
      </c>
      <c r="X458" s="19">
        <f t="shared" si="23"/>
        <v>0</v>
      </c>
    </row>
    <row r="459" ht="15.75" customHeight="1">
      <c r="Q459" s="15">
        <f t="shared" si="17"/>
        <v>0</v>
      </c>
      <c r="W459" s="22">
        <f t="shared" si="11"/>
        <v>0</v>
      </c>
      <c r="X459" s="19">
        <f t="shared" si="23"/>
        <v>0</v>
      </c>
    </row>
    <row r="460" ht="15.75" customHeight="1">
      <c r="Q460" s="15">
        <f t="shared" si="17"/>
        <v>0</v>
      </c>
      <c r="W460" s="22">
        <f t="shared" si="11"/>
        <v>0</v>
      </c>
      <c r="X460" s="19">
        <f t="shared" si="23"/>
        <v>0</v>
      </c>
    </row>
    <row r="461" ht="15.75" customHeight="1">
      <c r="Q461" s="15">
        <f t="shared" si="17"/>
        <v>0</v>
      </c>
      <c r="W461" s="22">
        <f t="shared" si="11"/>
        <v>0</v>
      </c>
      <c r="X461" s="19">
        <f t="shared" si="23"/>
        <v>0</v>
      </c>
    </row>
    <row r="462" ht="15.75" customHeight="1">
      <c r="Q462" s="15">
        <f t="shared" si="17"/>
        <v>0</v>
      </c>
      <c r="W462" s="22">
        <f t="shared" si="11"/>
        <v>0</v>
      </c>
      <c r="X462" s="19">
        <f t="shared" si="23"/>
        <v>0</v>
      </c>
    </row>
    <row r="463" ht="15.75" customHeight="1">
      <c r="Q463" s="15">
        <f t="shared" si="17"/>
        <v>0</v>
      </c>
      <c r="W463" s="22">
        <f t="shared" si="11"/>
        <v>0</v>
      </c>
      <c r="X463" s="19">
        <f t="shared" si="23"/>
        <v>0</v>
      </c>
    </row>
    <row r="464" ht="15.75" customHeight="1">
      <c r="Q464" s="15">
        <f t="shared" si="17"/>
        <v>0</v>
      </c>
      <c r="W464" s="22">
        <f t="shared" si="11"/>
        <v>0</v>
      </c>
      <c r="X464" s="19">
        <f t="shared" si="23"/>
        <v>0</v>
      </c>
    </row>
    <row r="465" ht="15.75" customHeight="1">
      <c r="Q465" s="15">
        <f t="shared" si="17"/>
        <v>0</v>
      </c>
      <c r="W465" s="22">
        <f t="shared" si="11"/>
        <v>0</v>
      </c>
      <c r="X465" s="19">
        <f t="shared" si="23"/>
        <v>0</v>
      </c>
    </row>
    <row r="466" ht="15.75" customHeight="1">
      <c r="Q466" s="15">
        <f t="shared" si="17"/>
        <v>0</v>
      </c>
      <c r="W466" s="22">
        <f t="shared" si="11"/>
        <v>0</v>
      </c>
      <c r="X466" s="19">
        <f t="shared" si="23"/>
        <v>0</v>
      </c>
    </row>
    <row r="467" ht="15.75" customHeight="1">
      <c r="Q467" s="15">
        <f t="shared" si="17"/>
        <v>0</v>
      </c>
      <c r="W467" s="22">
        <f t="shared" si="11"/>
        <v>0</v>
      </c>
      <c r="X467" s="19">
        <f t="shared" si="23"/>
        <v>0</v>
      </c>
    </row>
    <row r="468" ht="15.75" customHeight="1">
      <c r="Q468" s="15">
        <f t="shared" si="17"/>
        <v>0</v>
      </c>
      <c r="W468" s="22">
        <f t="shared" si="11"/>
        <v>0</v>
      </c>
      <c r="X468" s="19">
        <f t="shared" si="23"/>
        <v>0</v>
      </c>
    </row>
    <row r="469" ht="15.75" customHeight="1">
      <c r="Q469" s="15">
        <f t="shared" si="17"/>
        <v>0</v>
      </c>
      <c r="W469" s="22">
        <f t="shared" si="11"/>
        <v>0</v>
      </c>
      <c r="X469" s="19">
        <f t="shared" si="23"/>
        <v>0</v>
      </c>
    </row>
    <row r="470" ht="15.75" customHeight="1">
      <c r="Q470" s="15">
        <f t="shared" si="17"/>
        <v>0</v>
      </c>
      <c r="W470" s="22">
        <f t="shared" si="11"/>
        <v>0</v>
      </c>
      <c r="X470" s="19">
        <f t="shared" si="23"/>
        <v>0</v>
      </c>
    </row>
    <row r="471" ht="15.75" customHeight="1">
      <c r="Q471" s="15">
        <f t="shared" si="17"/>
        <v>0</v>
      </c>
      <c r="W471" s="22">
        <f t="shared" si="11"/>
        <v>0</v>
      </c>
      <c r="X471" s="19">
        <f t="shared" si="23"/>
        <v>0</v>
      </c>
    </row>
    <row r="472" ht="15.75" customHeight="1">
      <c r="Q472" s="15">
        <f t="shared" si="17"/>
        <v>0</v>
      </c>
      <c r="W472" s="22">
        <f t="shared" si="11"/>
        <v>0</v>
      </c>
      <c r="X472" s="19">
        <f t="shared" si="23"/>
        <v>0</v>
      </c>
    </row>
    <row r="473" ht="15.75" customHeight="1">
      <c r="Q473" s="15">
        <f t="shared" si="17"/>
        <v>0</v>
      </c>
      <c r="W473" s="22">
        <f t="shared" si="11"/>
        <v>0</v>
      </c>
      <c r="X473" s="19">
        <f t="shared" si="23"/>
        <v>0</v>
      </c>
    </row>
    <row r="474" ht="15.75" customHeight="1">
      <c r="Q474" s="15">
        <f t="shared" si="17"/>
        <v>0</v>
      </c>
      <c r="W474" s="22">
        <f t="shared" si="11"/>
        <v>0</v>
      </c>
      <c r="X474" s="19">
        <f t="shared" si="23"/>
        <v>0</v>
      </c>
    </row>
    <row r="475" ht="15.75" customHeight="1">
      <c r="Q475" s="15">
        <f t="shared" si="17"/>
        <v>0</v>
      </c>
      <c r="W475" s="22">
        <f t="shared" si="11"/>
        <v>0</v>
      </c>
      <c r="X475" s="19">
        <f t="shared" si="23"/>
        <v>0</v>
      </c>
    </row>
    <row r="476" ht="15.75" customHeight="1">
      <c r="Q476" s="15">
        <f t="shared" si="17"/>
        <v>0</v>
      </c>
      <c r="W476" s="22">
        <f t="shared" si="11"/>
        <v>0</v>
      </c>
      <c r="X476" s="19">
        <f t="shared" si="23"/>
        <v>0</v>
      </c>
    </row>
    <row r="477" ht="15.75" customHeight="1">
      <c r="Q477" s="15">
        <f t="shared" si="17"/>
        <v>0</v>
      </c>
      <c r="W477" s="22">
        <f t="shared" si="11"/>
        <v>0</v>
      </c>
      <c r="X477" s="19">
        <f t="shared" si="23"/>
        <v>0</v>
      </c>
    </row>
    <row r="478" ht="15.75" customHeight="1">
      <c r="Q478" s="15">
        <f t="shared" si="17"/>
        <v>0</v>
      </c>
      <c r="W478" s="22">
        <f t="shared" si="11"/>
        <v>0</v>
      </c>
      <c r="X478" s="19">
        <f t="shared" si="23"/>
        <v>0</v>
      </c>
    </row>
    <row r="479" ht="15.75" customHeight="1">
      <c r="Q479" s="15">
        <f t="shared" si="17"/>
        <v>0</v>
      </c>
      <c r="W479" s="22">
        <f t="shared" si="11"/>
        <v>0</v>
      </c>
      <c r="X479" s="19">
        <f t="shared" si="23"/>
        <v>0</v>
      </c>
    </row>
    <row r="480" ht="15.75" customHeight="1">
      <c r="Q480" s="15">
        <f t="shared" si="17"/>
        <v>0</v>
      </c>
      <c r="W480" s="22">
        <f t="shared" si="11"/>
        <v>0</v>
      </c>
      <c r="X480" s="19">
        <f t="shared" si="23"/>
        <v>0</v>
      </c>
    </row>
    <row r="481" ht="15.75" customHeight="1">
      <c r="Q481" s="15">
        <f t="shared" si="17"/>
        <v>0</v>
      </c>
      <c r="W481" s="22">
        <f t="shared" si="11"/>
        <v>0</v>
      </c>
      <c r="X481" s="19">
        <f t="shared" si="23"/>
        <v>0</v>
      </c>
    </row>
    <row r="482" ht="15.75" customHeight="1">
      <c r="Q482" s="15">
        <f t="shared" si="17"/>
        <v>0</v>
      </c>
      <c r="W482" s="22">
        <f t="shared" si="11"/>
        <v>0</v>
      </c>
      <c r="X482" s="19">
        <f t="shared" si="23"/>
        <v>0</v>
      </c>
    </row>
    <row r="483" ht="15.75" customHeight="1">
      <c r="Q483" s="15">
        <f t="shared" si="17"/>
        <v>0</v>
      </c>
      <c r="W483" s="22">
        <f t="shared" si="11"/>
        <v>0</v>
      </c>
      <c r="X483" s="19">
        <f t="shared" si="23"/>
        <v>0</v>
      </c>
    </row>
    <row r="484" ht="15.75" customHeight="1">
      <c r="Q484" s="15">
        <f t="shared" si="17"/>
        <v>0</v>
      </c>
      <c r="W484" s="22">
        <f t="shared" si="11"/>
        <v>0</v>
      </c>
      <c r="X484" s="19">
        <f t="shared" si="23"/>
        <v>0</v>
      </c>
    </row>
    <row r="485" ht="15.75" customHeight="1">
      <c r="Q485" s="15">
        <f t="shared" si="17"/>
        <v>0</v>
      </c>
      <c r="W485" s="22">
        <f t="shared" si="11"/>
        <v>0</v>
      </c>
      <c r="X485" s="19">
        <f t="shared" si="23"/>
        <v>0</v>
      </c>
    </row>
    <row r="486" ht="15.75" customHeight="1">
      <c r="Q486" s="15">
        <f t="shared" si="17"/>
        <v>0</v>
      </c>
      <c r="W486" s="22">
        <f t="shared" si="11"/>
        <v>0</v>
      </c>
      <c r="X486" s="19">
        <f t="shared" si="23"/>
        <v>0</v>
      </c>
    </row>
    <row r="487" ht="15.75" customHeight="1">
      <c r="Q487" s="15">
        <f t="shared" si="17"/>
        <v>0</v>
      </c>
      <c r="W487" s="22">
        <f t="shared" si="11"/>
        <v>0</v>
      </c>
      <c r="X487" s="19">
        <f t="shared" si="23"/>
        <v>0</v>
      </c>
    </row>
    <row r="488" ht="15.75" customHeight="1">
      <c r="Q488" s="15">
        <f t="shared" si="17"/>
        <v>0</v>
      </c>
      <c r="W488" s="22">
        <f t="shared" si="11"/>
        <v>0</v>
      </c>
      <c r="X488" s="19">
        <f t="shared" si="23"/>
        <v>0</v>
      </c>
    </row>
    <row r="489" ht="15.75" customHeight="1">
      <c r="Q489" s="15">
        <f t="shared" si="17"/>
        <v>0</v>
      </c>
      <c r="W489" s="22">
        <f t="shared" si="11"/>
        <v>0</v>
      </c>
      <c r="X489" s="19">
        <f t="shared" si="23"/>
        <v>0</v>
      </c>
    </row>
    <row r="490" ht="15.75" customHeight="1">
      <c r="Q490" s="15">
        <f t="shared" si="17"/>
        <v>0</v>
      </c>
      <c r="W490" s="22">
        <f t="shared" si="11"/>
        <v>0</v>
      </c>
      <c r="X490" s="19">
        <f t="shared" si="23"/>
        <v>0</v>
      </c>
    </row>
    <row r="491" ht="15.75" customHeight="1">
      <c r="Q491" s="15">
        <f t="shared" si="17"/>
        <v>0</v>
      </c>
      <c r="W491" s="22">
        <f t="shared" si="11"/>
        <v>0</v>
      </c>
      <c r="X491" s="19">
        <f t="shared" si="23"/>
        <v>0</v>
      </c>
    </row>
    <row r="492" ht="15.75" customHeight="1">
      <c r="Q492" s="15">
        <f t="shared" si="17"/>
        <v>0</v>
      </c>
      <c r="W492" s="22">
        <f t="shared" si="11"/>
        <v>0</v>
      </c>
      <c r="X492" s="19">
        <f t="shared" si="23"/>
        <v>0</v>
      </c>
    </row>
    <row r="493" ht="15.75" customHeight="1">
      <c r="Q493" s="15">
        <f t="shared" si="17"/>
        <v>0</v>
      </c>
      <c r="W493" s="22">
        <f t="shared" si="11"/>
        <v>0</v>
      </c>
      <c r="X493" s="19">
        <f t="shared" si="23"/>
        <v>0</v>
      </c>
    </row>
    <row r="494" ht="15.75" customHeight="1">
      <c r="Q494" s="15">
        <f t="shared" si="17"/>
        <v>0</v>
      </c>
      <c r="W494" s="22">
        <f t="shared" si="11"/>
        <v>0</v>
      </c>
      <c r="X494" s="19">
        <f t="shared" si="23"/>
        <v>0</v>
      </c>
    </row>
    <row r="495" ht="15.75" customHeight="1">
      <c r="Q495" s="15">
        <f t="shared" si="17"/>
        <v>0</v>
      </c>
      <c r="W495" s="22">
        <f t="shared" si="11"/>
        <v>0</v>
      </c>
      <c r="X495" s="19">
        <f t="shared" si="23"/>
        <v>0</v>
      </c>
    </row>
    <row r="496" ht="15.75" customHeight="1">
      <c r="Q496" s="15">
        <f t="shared" si="17"/>
        <v>0</v>
      </c>
      <c r="W496" s="22">
        <f t="shared" si="11"/>
        <v>0</v>
      </c>
      <c r="X496" s="19">
        <f t="shared" si="23"/>
        <v>0</v>
      </c>
    </row>
    <row r="497" ht="15.75" customHeight="1">
      <c r="Q497" s="15">
        <f t="shared" si="17"/>
        <v>0</v>
      </c>
      <c r="W497" s="22">
        <f t="shared" si="11"/>
        <v>0</v>
      </c>
      <c r="X497" s="19">
        <f t="shared" si="23"/>
        <v>0</v>
      </c>
    </row>
    <row r="498" ht="15.75" customHeight="1">
      <c r="Q498" s="15">
        <f t="shared" si="17"/>
        <v>0</v>
      </c>
      <c r="W498" s="22">
        <f t="shared" si="11"/>
        <v>0</v>
      </c>
      <c r="X498" s="19">
        <f t="shared" si="23"/>
        <v>0</v>
      </c>
    </row>
    <row r="499" ht="15.75" customHeight="1">
      <c r="Q499" s="15">
        <f t="shared" si="17"/>
        <v>0</v>
      </c>
      <c r="W499" s="22">
        <f t="shared" si="11"/>
        <v>0</v>
      </c>
      <c r="X499" s="19">
        <f t="shared" si="23"/>
        <v>0</v>
      </c>
    </row>
    <row r="500" ht="15.75" customHeight="1">
      <c r="Q500" s="15">
        <f t="shared" si="17"/>
        <v>0</v>
      </c>
      <c r="W500" s="22">
        <f t="shared" si="11"/>
        <v>0</v>
      </c>
      <c r="X500" s="19">
        <f t="shared" si="23"/>
        <v>0</v>
      </c>
    </row>
    <row r="501" ht="15.75" customHeight="1">
      <c r="Q501" s="15">
        <f t="shared" si="17"/>
        <v>0</v>
      </c>
      <c r="W501" s="22">
        <f t="shared" si="11"/>
        <v>0</v>
      </c>
      <c r="X501" s="19">
        <f t="shared" si="23"/>
        <v>0</v>
      </c>
    </row>
    <row r="502" ht="15.75" customHeight="1">
      <c r="Q502" s="15">
        <f t="shared" si="17"/>
        <v>0</v>
      </c>
      <c r="W502" s="22">
        <f t="shared" si="11"/>
        <v>0</v>
      </c>
      <c r="X502" s="19">
        <f t="shared" si="23"/>
        <v>0</v>
      </c>
    </row>
    <row r="503" ht="15.75" customHeight="1">
      <c r="Q503" s="15">
        <f t="shared" si="17"/>
        <v>0</v>
      </c>
      <c r="W503" s="22">
        <f t="shared" si="11"/>
        <v>0</v>
      </c>
      <c r="X503" s="19">
        <f t="shared" si="23"/>
        <v>0</v>
      </c>
    </row>
    <row r="504" ht="15.75" customHeight="1">
      <c r="Q504" s="15">
        <f t="shared" si="17"/>
        <v>0</v>
      </c>
      <c r="W504" s="22">
        <f t="shared" si="11"/>
        <v>0</v>
      </c>
      <c r="X504" s="19">
        <f t="shared" si="23"/>
        <v>0</v>
      </c>
    </row>
    <row r="505" ht="15.75" customHeight="1">
      <c r="Q505" s="15">
        <f t="shared" si="17"/>
        <v>0</v>
      </c>
      <c r="W505" s="22">
        <f t="shared" si="11"/>
        <v>0</v>
      </c>
      <c r="X505" s="19">
        <f t="shared" si="23"/>
        <v>0</v>
      </c>
    </row>
    <row r="506" ht="15.75" customHeight="1">
      <c r="Q506" s="15">
        <f t="shared" si="17"/>
        <v>0</v>
      </c>
      <c r="W506" s="22">
        <f t="shared" si="11"/>
        <v>0</v>
      </c>
      <c r="X506" s="19">
        <f t="shared" si="23"/>
        <v>0</v>
      </c>
    </row>
    <row r="507" ht="15.75" customHeight="1">
      <c r="Q507" s="15">
        <f t="shared" si="17"/>
        <v>0</v>
      </c>
      <c r="W507" s="22">
        <f t="shared" si="11"/>
        <v>0</v>
      </c>
      <c r="X507" s="19">
        <f t="shared" si="23"/>
        <v>0</v>
      </c>
    </row>
    <row r="508" ht="15.75" customHeight="1">
      <c r="Q508" s="15">
        <f t="shared" si="17"/>
        <v>0</v>
      </c>
      <c r="W508" s="22">
        <f t="shared" si="11"/>
        <v>0</v>
      </c>
      <c r="X508" s="19">
        <f t="shared" si="23"/>
        <v>0</v>
      </c>
    </row>
    <row r="509" ht="15.75" customHeight="1">
      <c r="Q509" s="15">
        <f t="shared" si="17"/>
        <v>0</v>
      </c>
      <c r="W509" s="22">
        <f t="shared" si="11"/>
        <v>0</v>
      </c>
      <c r="X509" s="19">
        <f t="shared" si="23"/>
        <v>0</v>
      </c>
    </row>
    <row r="510" ht="15.75" customHeight="1">
      <c r="Q510" s="15">
        <f t="shared" si="17"/>
        <v>0</v>
      </c>
      <c r="W510" s="22">
        <f t="shared" si="11"/>
        <v>0</v>
      </c>
      <c r="X510" s="19">
        <f t="shared" si="23"/>
        <v>0</v>
      </c>
    </row>
    <row r="511" ht="15.75" customHeight="1">
      <c r="Q511" s="15">
        <f t="shared" si="17"/>
        <v>0</v>
      </c>
      <c r="W511" s="22">
        <f t="shared" si="11"/>
        <v>0</v>
      </c>
      <c r="X511" s="19">
        <f t="shared" si="23"/>
        <v>0</v>
      </c>
    </row>
    <row r="512" ht="15.75" customHeight="1">
      <c r="Q512" s="15">
        <f t="shared" si="17"/>
        <v>0</v>
      </c>
      <c r="W512" s="22">
        <f t="shared" si="11"/>
        <v>0</v>
      </c>
      <c r="X512" s="19">
        <f t="shared" si="23"/>
        <v>0</v>
      </c>
    </row>
    <row r="513" ht="15.75" customHeight="1">
      <c r="Q513" s="15">
        <f t="shared" si="17"/>
        <v>0</v>
      </c>
      <c r="W513" s="22">
        <f t="shared" si="11"/>
        <v>0</v>
      </c>
      <c r="X513" s="19">
        <f t="shared" si="23"/>
        <v>0</v>
      </c>
    </row>
    <row r="514" ht="15.75" customHeight="1">
      <c r="Q514" s="15">
        <f t="shared" si="17"/>
        <v>0</v>
      </c>
      <c r="W514" s="22">
        <f t="shared" si="11"/>
        <v>0</v>
      </c>
      <c r="X514" s="19">
        <f t="shared" si="23"/>
        <v>0</v>
      </c>
    </row>
    <row r="515" ht="15.75" customHeight="1">
      <c r="Q515" s="15">
        <f t="shared" si="17"/>
        <v>0</v>
      </c>
      <c r="W515" s="22">
        <f t="shared" si="11"/>
        <v>0</v>
      </c>
      <c r="X515" s="19">
        <f t="shared" si="23"/>
        <v>0</v>
      </c>
    </row>
    <row r="516" ht="15.75" customHeight="1">
      <c r="Q516" s="15">
        <f t="shared" si="17"/>
        <v>0</v>
      </c>
      <c r="W516" s="22">
        <f t="shared" si="11"/>
        <v>0</v>
      </c>
      <c r="X516" s="19">
        <f t="shared" si="23"/>
        <v>0</v>
      </c>
    </row>
    <row r="517" ht="15.75" customHeight="1">
      <c r="Q517" s="15">
        <f t="shared" si="17"/>
        <v>0</v>
      </c>
      <c r="W517" s="22">
        <f t="shared" si="11"/>
        <v>0</v>
      </c>
      <c r="X517" s="19">
        <f t="shared" si="23"/>
        <v>0</v>
      </c>
    </row>
    <row r="518" ht="15.75" customHeight="1">
      <c r="Q518" s="15">
        <f t="shared" si="17"/>
        <v>0</v>
      </c>
      <c r="W518" s="22">
        <f t="shared" si="11"/>
        <v>0</v>
      </c>
      <c r="X518" s="19">
        <f t="shared" si="23"/>
        <v>0</v>
      </c>
    </row>
    <row r="519" ht="15.75" customHeight="1">
      <c r="Q519" s="15">
        <f t="shared" si="17"/>
        <v>0</v>
      </c>
      <c r="W519" s="22">
        <f t="shared" si="11"/>
        <v>0</v>
      </c>
      <c r="X519" s="19">
        <f t="shared" si="23"/>
        <v>0</v>
      </c>
    </row>
    <row r="520" ht="15.75" customHeight="1">
      <c r="Q520" s="15">
        <f t="shared" si="17"/>
        <v>0</v>
      </c>
      <c r="W520" s="22">
        <f t="shared" si="11"/>
        <v>0</v>
      </c>
      <c r="X520" s="19">
        <f t="shared" si="23"/>
        <v>0</v>
      </c>
    </row>
    <row r="521" ht="15.75" customHeight="1">
      <c r="Q521" s="15">
        <f t="shared" si="17"/>
        <v>0</v>
      </c>
      <c r="W521" s="22">
        <f t="shared" si="11"/>
        <v>0</v>
      </c>
      <c r="X521" s="19">
        <f t="shared" si="23"/>
        <v>0</v>
      </c>
    </row>
    <row r="522" ht="15.75" customHeight="1">
      <c r="Q522" s="15">
        <f t="shared" si="17"/>
        <v>0</v>
      </c>
      <c r="W522" s="22">
        <f t="shared" si="11"/>
        <v>0</v>
      </c>
      <c r="X522" s="19">
        <f t="shared" si="23"/>
        <v>0</v>
      </c>
    </row>
    <row r="523" ht="15.75" customHeight="1">
      <c r="Q523" s="15">
        <f t="shared" si="17"/>
        <v>0</v>
      </c>
      <c r="W523" s="22">
        <f t="shared" si="11"/>
        <v>0</v>
      </c>
      <c r="X523" s="19">
        <f t="shared" si="23"/>
        <v>0</v>
      </c>
    </row>
    <row r="524" ht="15.75" customHeight="1">
      <c r="Q524" s="15">
        <f t="shared" si="17"/>
        <v>0</v>
      </c>
      <c r="W524" s="22">
        <f t="shared" si="11"/>
        <v>0</v>
      </c>
      <c r="X524" s="19">
        <f t="shared" si="23"/>
        <v>0</v>
      </c>
    </row>
    <row r="525" ht="15.75" customHeight="1">
      <c r="Q525" s="15">
        <f t="shared" si="17"/>
        <v>0</v>
      </c>
      <c r="W525" s="22">
        <f t="shared" si="11"/>
        <v>0</v>
      </c>
      <c r="X525" s="19">
        <f t="shared" si="23"/>
        <v>0</v>
      </c>
    </row>
    <row r="526" ht="15.75" customHeight="1">
      <c r="Q526" s="15">
        <f t="shared" si="17"/>
        <v>0</v>
      </c>
      <c r="W526" s="22">
        <f t="shared" si="11"/>
        <v>0</v>
      </c>
      <c r="X526" s="19">
        <f t="shared" si="23"/>
        <v>0</v>
      </c>
    </row>
    <row r="527" ht="15.75" customHeight="1">
      <c r="Q527" s="15">
        <f t="shared" si="17"/>
        <v>0</v>
      </c>
      <c r="W527" s="22">
        <f t="shared" si="11"/>
        <v>0</v>
      </c>
      <c r="X527" s="19">
        <f t="shared" si="23"/>
        <v>0</v>
      </c>
    </row>
    <row r="528" ht="15.75" customHeight="1">
      <c r="Q528" s="15">
        <f t="shared" si="17"/>
        <v>0</v>
      </c>
      <c r="W528" s="22">
        <f t="shared" si="11"/>
        <v>0</v>
      </c>
      <c r="X528" s="19">
        <f t="shared" si="23"/>
        <v>0</v>
      </c>
    </row>
    <row r="529" ht="15.75" customHeight="1">
      <c r="Q529" s="15">
        <f t="shared" si="17"/>
        <v>0</v>
      </c>
      <c r="W529" s="22">
        <f t="shared" si="11"/>
        <v>0</v>
      </c>
      <c r="X529" s="19">
        <f t="shared" si="23"/>
        <v>0</v>
      </c>
    </row>
    <row r="530" ht="15.75" customHeight="1">
      <c r="Q530" s="15">
        <f t="shared" si="17"/>
        <v>0</v>
      </c>
      <c r="W530" s="22">
        <f t="shared" si="11"/>
        <v>0</v>
      </c>
      <c r="X530" s="19">
        <f t="shared" si="23"/>
        <v>0</v>
      </c>
    </row>
    <row r="531" ht="15.75" customHeight="1">
      <c r="Q531" s="15">
        <f t="shared" si="17"/>
        <v>0</v>
      </c>
      <c r="W531" s="22">
        <f t="shared" si="11"/>
        <v>0</v>
      </c>
      <c r="X531" s="19">
        <f t="shared" si="23"/>
        <v>0</v>
      </c>
    </row>
    <row r="532" ht="15.75" customHeight="1">
      <c r="Q532" s="15">
        <f t="shared" si="17"/>
        <v>0</v>
      </c>
      <c r="W532" s="22">
        <f t="shared" si="11"/>
        <v>0</v>
      </c>
      <c r="X532" s="19">
        <f t="shared" si="23"/>
        <v>0</v>
      </c>
    </row>
    <row r="533" ht="15.75" customHeight="1">
      <c r="Q533" s="15">
        <f t="shared" si="17"/>
        <v>0</v>
      </c>
      <c r="W533" s="22">
        <f t="shared" si="11"/>
        <v>0</v>
      </c>
      <c r="X533" s="19">
        <f t="shared" si="23"/>
        <v>0</v>
      </c>
    </row>
    <row r="534" ht="15.75" customHeight="1">
      <c r="Q534" s="15">
        <f t="shared" si="17"/>
        <v>0</v>
      </c>
      <c r="W534" s="22">
        <f t="shared" si="11"/>
        <v>0</v>
      </c>
      <c r="X534" s="19">
        <f t="shared" si="23"/>
        <v>0</v>
      </c>
    </row>
    <row r="535" ht="15.75" customHeight="1">
      <c r="Q535" s="15">
        <f t="shared" si="17"/>
        <v>0</v>
      </c>
      <c r="W535" s="22">
        <f t="shared" si="11"/>
        <v>0</v>
      </c>
      <c r="X535" s="19">
        <f t="shared" si="23"/>
        <v>0</v>
      </c>
    </row>
    <row r="536" ht="15.75" customHeight="1">
      <c r="Q536" s="15">
        <f t="shared" si="17"/>
        <v>0</v>
      </c>
      <c r="W536" s="22">
        <f t="shared" si="11"/>
        <v>0</v>
      </c>
      <c r="X536" s="19">
        <f t="shared" si="23"/>
        <v>0</v>
      </c>
    </row>
    <row r="537" ht="15.75" customHeight="1">
      <c r="Q537" s="15">
        <f t="shared" si="17"/>
        <v>0</v>
      </c>
      <c r="W537" s="22">
        <f t="shared" si="11"/>
        <v>0</v>
      </c>
      <c r="X537" s="19">
        <f t="shared" si="23"/>
        <v>0</v>
      </c>
    </row>
    <row r="538" ht="15.75" customHeight="1">
      <c r="Q538" s="15">
        <f t="shared" si="17"/>
        <v>0</v>
      </c>
      <c r="W538" s="22">
        <f t="shared" si="11"/>
        <v>0</v>
      </c>
      <c r="X538" s="19">
        <f t="shared" si="23"/>
        <v>0</v>
      </c>
    </row>
    <row r="539" ht="15.75" customHeight="1">
      <c r="Q539" s="15">
        <f t="shared" si="17"/>
        <v>0</v>
      </c>
      <c r="W539" s="22">
        <f t="shared" si="11"/>
        <v>0</v>
      </c>
      <c r="X539" s="19">
        <f t="shared" si="23"/>
        <v>0</v>
      </c>
    </row>
    <row r="540" ht="15.75" customHeight="1">
      <c r="Q540" s="15">
        <f t="shared" si="17"/>
        <v>0</v>
      </c>
      <c r="W540" s="22">
        <f t="shared" si="11"/>
        <v>0</v>
      </c>
      <c r="X540" s="19">
        <f t="shared" si="23"/>
        <v>0</v>
      </c>
    </row>
    <row r="541" ht="15.75" customHeight="1">
      <c r="Q541" s="15">
        <f t="shared" si="17"/>
        <v>0</v>
      </c>
      <c r="W541" s="22">
        <f t="shared" si="11"/>
        <v>0</v>
      </c>
      <c r="X541" s="19">
        <f t="shared" si="23"/>
        <v>0</v>
      </c>
    </row>
    <row r="542" ht="15.75" customHeight="1">
      <c r="Q542" s="15">
        <f t="shared" si="17"/>
        <v>0</v>
      </c>
      <c r="W542" s="22">
        <f t="shared" si="11"/>
        <v>0</v>
      </c>
      <c r="X542" s="19">
        <f t="shared" si="23"/>
        <v>0</v>
      </c>
    </row>
    <row r="543" ht="15.75" customHeight="1">
      <c r="Q543" s="15">
        <f t="shared" si="17"/>
        <v>0</v>
      </c>
      <c r="W543" s="22">
        <f t="shared" si="11"/>
        <v>0</v>
      </c>
      <c r="X543" s="19">
        <f t="shared" si="23"/>
        <v>0</v>
      </c>
    </row>
    <row r="544" ht="15.75" customHeight="1">
      <c r="Q544" s="15">
        <f t="shared" si="17"/>
        <v>0</v>
      </c>
      <c r="W544" s="22">
        <f t="shared" si="11"/>
        <v>0</v>
      </c>
      <c r="X544" s="19">
        <f t="shared" si="23"/>
        <v>0</v>
      </c>
    </row>
    <row r="545" ht="15.75" customHeight="1">
      <c r="Q545" s="15">
        <f t="shared" si="17"/>
        <v>0</v>
      </c>
      <c r="W545" s="22">
        <f t="shared" si="11"/>
        <v>0</v>
      </c>
      <c r="X545" s="19">
        <f t="shared" si="23"/>
        <v>0</v>
      </c>
    </row>
    <row r="546" ht="15.75" customHeight="1">
      <c r="Q546" s="15">
        <f t="shared" si="17"/>
        <v>0</v>
      </c>
      <c r="W546" s="22">
        <f t="shared" si="11"/>
        <v>0</v>
      </c>
      <c r="X546" s="19">
        <f t="shared" si="23"/>
        <v>0</v>
      </c>
    </row>
    <row r="547" ht="15.75" customHeight="1">
      <c r="Q547" s="15">
        <f t="shared" si="17"/>
        <v>0</v>
      </c>
      <c r="W547" s="22">
        <f t="shared" si="11"/>
        <v>0</v>
      </c>
      <c r="X547" s="19">
        <f t="shared" si="23"/>
        <v>0</v>
      </c>
    </row>
    <row r="548" ht="15.75" customHeight="1">
      <c r="Q548" s="15">
        <f t="shared" si="17"/>
        <v>0</v>
      </c>
      <c r="W548" s="22">
        <f t="shared" si="11"/>
        <v>0</v>
      </c>
      <c r="X548" s="19">
        <f t="shared" si="23"/>
        <v>0</v>
      </c>
    </row>
    <row r="549" ht="15.75" customHeight="1">
      <c r="Q549" s="15">
        <f t="shared" si="17"/>
        <v>0</v>
      </c>
      <c r="W549" s="22">
        <f t="shared" si="11"/>
        <v>0</v>
      </c>
      <c r="X549" s="19">
        <f t="shared" si="23"/>
        <v>0</v>
      </c>
    </row>
    <row r="550" ht="15.75" customHeight="1">
      <c r="Q550" s="15">
        <f t="shared" si="17"/>
        <v>0</v>
      </c>
      <c r="W550" s="22">
        <f t="shared" si="11"/>
        <v>0</v>
      </c>
      <c r="X550" s="19">
        <f t="shared" si="23"/>
        <v>0</v>
      </c>
    </row>
    <row r="551" ht="15.75" customHeight="1">
      <c r="Q551" s="15">
        <f t="shared" si="17"/>
        <v>0</v>
      </c>
      <c r="W551" s="22">
        <f t="shared" si="11"/>
        <v>0</v>
      </c>
      <c r="X551" s="19">
        <f t="shared" si="23"/>
        <v>0</v>
      </c>
    </row>
    <row r="552" ht="15.75" customHeight="1">
      <c r="Q552" s="15">
        <f t="shared" si="17"/>
        <v>0</v>
      </c>
      <c r="W552" s="22">
        <f t="shared" si="11"/>
        <v>0</v>
      </c>
      <c r="X552" s="19">
        <f t="shared" si="23"/>
        <v>0</v>
      </c>
    </row>
    <row r="553" ht="15.75" customHeight="1">
      <c r="Q553" s="15">
        <f t="shared" si="17"/>
        <v>0</v>
      </c>
      <c r="W553" s="22">
        <f t="shared" si="11"/>
        <v>0</v>
      </c>
      <c r="X553" s="19">
        <f t="shared" si="23"/>
        <v>0</v>
      </c>
    </row>
    <row r="554" ht="15.75" customHeight="1">
      <c r="Q554" s="15">
        <f t="shared" si="17"/>
        <v>0</v>
      </c>
      <c r="W554" s="22">
        <f t="shared" si="11"/>
        <v>0</v>
      </c>
      <c r="X554" s="19">
        <f t="shared" si="23"/>
        <v>0</v>
      </c>
    </row>
    <row r="555" ht="15.75" customHeight="1">
      <c r="Q555" s="15">
        <f t="shared" si="17"/>
        <v>0</v>
      </c>
      <c r="W555" s="22">
        <f t="shared" si="11"/>
        <v>0</v>
      </c>
      <c r="X555" s="19">
        <f t="shared" si="23"/>
        <v>0</v>
      </c>
    </row>
    <row r="556" ht="15.75" customHeight="1">
      <c r="Q556" s="15">
        <f t="shared" si="17"/>
        <v>0</v>
      </c>
      <c r="W556" s="22">
        <f t="shared" si="11"/>
        <v>0</v>
      </c>
      <c r="X556" s="19">
        <f t="shared" si="23"/>
        <v>0</v>
      </c>
    </row>
    <row r="557" ht="15.75" customHeight="1">
      <c r="Q557" s="15">
        <f t="shared" si="17"/>
        <v>0</v>
      </c>
      <c r="W557" s="22">
        <f t="shared" si="11"/>
        <v>0</v>
      </c>
      <c r="X557" s="19">
        <f t="shared" si="23"/>
        <v>0</v>
      </c>
    </row>
    <row r="558" ht="15.75" customHeight="1">
      <c r="Q558" s="15">
        <f t="shared" si="17"/>
        <v>0</v>
      </c>
      <c r="W558" s="22">
        <f t="shared" si="11"/>
        <v>0</v>
      </c>
      <c r="X558" s="19">
        <f t="shared" si="23"/>
        <v>0</v>
      </c>
    </row>
    <row r="559" ht="15.75" customHeight="1">
      <c r="Q559" s="15">
        <f t="shared" si="17"/>
        <v>0</v>
      </c>
      <c r="W559" s="22">
        <f t="shared" si="11"/>
        <v>0</v>
      </c>
      <c r="X559" s="19">
        <f t="shared" si="23"/>
        <v>0</v>
      </c>
    </row>
    <row r="560" ht="15.75" customHeight="1">
      <c r="Q560" s="15">
        <f t="shared" si="17"/>
        <v>0</v>
      </c>
      <c r="W560" s="22">
        <f t="shared" si="11"/>
        <v>0</v>
      </c>
      <c r="X560" s="19">
        <f t="shared" si="23"/>
        <v>0</v>
      </c>
    </row>
    <row r="561" ht="15.75" customHeight="1">
      <c r="Q561" s="15">
        <f t="shared" si="17"/>
        <v>0</v>
      </c>
      <c r="W561" s="22">
        <f t="shared" si="11"/>
        <v>0</v>
      </c>
      <c r="X561" s="19">
        <f t="shared" si="23"/>
        <v>0</v>
      </c>
    </row>
    <row r="562" ht="15.75" customHeight="1">
      <c r="Q562" s="15">
        <f t="shared" si="17"/>
        <v>0</v>
      </c>
      <c r="W562" s="22">
        <f t="shared" si="11"/>
        <v>0</v>
      </c>
      <c r="X562" s="19">
        <f t="shared" si="23"/>
        <v>0</v>
      </c>
    </row>
    <row r="563" ht="15.75" customHeight="1">
      <c r="Q563" s="15">
        <f t="shared" si="17"/>
        <v>0</v>
      </c>
      <c r="W563" s="22">
        <f t="shared" si="11"/>
        <v>0</v>
      </c>
      <c r="X563" s="19">
        <f t="shared" si="23"/>
        <v>0</v>
      </c>
    </row>
    <row r="564" ht="15.75" customHeight="1">
      <c r="Q564" s="15">
        <f t="shared" si="17"/>
        <v>0</v>
      </c>
      <c r="W564" s="22">
        <f t="shared" si="11"/>
        <v>0</v>
      </c>
      <c r="X564" s="19">
        <f t="shared" si="23"/>
        <v>0</v>
      </c>
    </row>
    <row r="565" ht="15.75" customHeight="1">
      <c r="Q565" s="15">
        <f t="shared" si="17"/>
        <v>0</v>
      </c>
      <c r="W565" s="22">
        <f t="shared" si="11"/>
        <v>0</v>
      </c>
      <c r="X565" s="19">
        <f t="shared" si="23"/>
        <v>0</v>
      </c>
    </row>
    <row r="566" ht="15.75" customHeight="1">
      <c r="Q566" s="15">
        <f t="shared" si="17"/>
        <v>0</v>
      </c>
      <c r="W566" s="22">
        <f t="shared" si="11"/>
        <v>0</v>
      </c>
      <c r="X566" s="19">
        <f t="shared" si="23"/>
        <v>0</v>
      </c>
    </row>
    <row r="567" ht="15.75" customHeight="1">
      <c r="Q567" s="15">
        <f t="shared" si="17"/>
        <v>0</v>
      </c>
      <c r="W567" s="22">
        <f t="shared" si="11"/>
        <v>0</v>
      </c>
      <c r="X567" s="19">
        <f t="shared" si="23"/>
        <v>0</v>
      </c>
    </row>
    <row r="568" ht="15.75" customHeight="1">
      <c r="Q568" s="15">
        <f t="shared" si="17"/>
        <v>0</v>
      </c>
      <c r="W568" s="22">
        <f t="shared" si="11"/>
        <v>0</v>
      </c>
      <c r="X568" s="19">
        <f t="shared" si="23"/>
        <v>0</v>
      </c>
    </row>
    <row r="569" ht="15.75" customHeight="1">
      <c r="Q569" s="15">
        <f t="shared" si="17"/>
        <v>0</v>
      </c>
      <c r="W569" s="22">
        <f t="shared" si="11"/>
        <v>0</v>
      </c>
      <c r="X569" s="19">
        <f t="shared" si="23"/>
        <v>0</v>
      </c>
    </row>
    <row r="570" ht="15.75" customHeight="1">
      <c r="Q570" s="15">
        <f t="shared" si="17"/>
        <v>0</v>
      </c>
      <c r="W570" s="22">
        <f t="shared" si="11"/>
        <v>0</v>
      </c>
      <c r="X570" s="19">
        <f t="shared" si="23"/>
        <v>0</v>
      </c>
    </row>
    <row r="571" ht="15.75" customHeight="1">
      <c r="Q571" s="15">
        <f t="shared" si="17"/>
        <v>0</v>
      </c>
      <c r="W571" s="22">
        <f t="shared" si="11"/>
        <v>0</v>
      </c>
      <c r="X571" s="19">
        <f t="shared" si="23"/>
        <v>0</v>
      </c>
    </row>
    <row r="572" ht="15.75" customHeight="1">
      <c r="Q572" s="15">
        <f t="shared" si="17"/>
        <v>0</v>
      </c>
      <c r="W572" s="22">
        <f t="shared" si="11"/>
        <v>0</v>
      </c>
      <c r="X572" s="19">
        <f t="shared" si="23"/>
        <v>0</v>
      </c>
    </row>
    <row r="573" ht="15.75" customHeight="1">
      <c r="Q573" s="15">
        <f t="shared" si="17"/>
        <v>0</v>
      </c>
      <c r="W573" s="22">
        <f t="shared" si="11"/>
        <v>0</v>
      </c>
      <c r="X573" s="19">
        <f t="shared" si="23"/>
        <v>0</v>
      </c>
    </row>
    <row r="574" ht="15.75" customHeight="1">
      <c r="Q574" s="15">
        <f t="shared" si="17"/>
        <v>0</v>
      </c>
      <c r="W574" s="22">
        <f t="shared" si="11"/>
        <v>0</v>
      </c>
      <c r="X574" s="19">
        <f t="shared" si="23"/>
        <v>0</v>
      </c>
    </row>
    <row r="575" ht="15.75" customHeight="1">
      <c r="Q575" s="15">
        <f t="shared" si="17"/>
        <v>0</v>
      </c>
      <c r="W575" s="22">
        <f t="shared" si="11"/>
        <v>0</v>
      </c>
      <c r="X575" s="19">
        <f t="shared" si="23"/>
        <v>0</v>
      </c>
    </row>
    <row r="576" ht="15.75" customHeight="1">
      <c r="Q576" s="15">
        <f t="shared" si="17"/>
        <v>0</v>
      </c>
      <c r="W576" s="22">
        <f t="shared" si="11"/>
        <v>0</v>
      </c>
      <c r="X576" s="19">
        <f t="shared" si="23"/>
        <v>0</v>
      </c>
    </row>
    <row r="577" ht="15.75" customHeight="1">
      <c r="Q577" s="15">
        <f t="shared" si="17"/>
        <v>0</v>
      </c>
      <c r="W577" s="22">
        <f t="shared" si="11"/>
        <v>0</v>
      </c>
      <c r="X577" s="19">
        <f t="shared" si="23"/>
        <v>0</v>
      </c>
    </row>
    <row r="578" ht="15.75" customHeight="1">
      <c r="Q578" s="15">
        <f t="shared" si="17"/>
        <v>0</v>
      </c>
      <c r="W578" s="22">
        <f t="shared" si="11"/>
        <v>0</v>
      </c>
      <c r="X578" s="19">
        <f t="shared" si="23"/>
        <v>0</v>
      </c>
    </row>
    <row r="579" ht="15.75" customHeight="1">
      <c r="Q579" s="15">
        <f t="shared" si="17"/>
        <v>0</v>
      </c>
      <c r="W579" s="22">
        <f t="shared" si="11"/>
        <v>0</v>
      </c>
      <c r="X579" s="19">
        <f t="shared" si="23"/>
        <v>0</v>
      </c>
    </row>
    <row r="580" ht="15.75" customHeight="1">
      <c r="Q580" s="15">
        <f t="shared" si="17"/>
        <v>0</v>
      </c>
      <c r="W580" s="22">
        <f t="shared" si="11"/>
        <v>0</v>
      </c>
      <c r="X580" s="19">
        <f t="shared" si="23"/>
        <v>0</v>
      </c>
    </row>
    <row r="581" ht="15.75" customHeight="1">
      <c r="Q581" s="15">
        <f t="shared" si="17"/>
        <v>0</v>
      </c>
      <c r="W581" s="22">
        <f t="shared" si="11"/>
        <v>0</v>
      </c>
      <c r="X581" s="19">
        <f t="shared" si="23"/>
        <v>0</v>
      </c>
    </row>
    <row r="582" ht="15.75" customHeight="1">
      <c r="Q582" s="15">
        <f t="shared" si="17"/>
        <v>0</v>
      </c>
      <c r="W582" s="22">
        <f t="shared" si="11"/>
        <v>0</v>
      </c>
      <c r="X582" s="19">
        <f t="shared" si="23"/>
        <v>0</v>
      </c>
    </row>
    <row r="583" ht="15.75" customHeight="1">
      <c r="Q583" s="15">
        <f t="shared" si="17"/>
        <v>0</v>
      </c>
      <c r="W583" s="22">
        <f t="shared" si="11"/>
        <v>0</v>
      </c>
      <c r="X583" s="19">
        <f t="shared" si="23"/>
        <v>0</v>
      </c>
    </row>
    <row r="584" ht="15.75" customHeight="1">
      <c r="Q584" s="15">
        <f t="shared" si="17"/>
        <v>0</v>
      </c>
      <c r="W584" s="22">
        <f t="shared" si="11"/>
        <v>0</v>
      </c>
      <c r="X584" s="19">
        <f t="shared" si="23"/>
        <v>0</v>
      </c>
    </row>
    <row r="585" ht="15.75" customHeight="1">
      <c r="Q585" s="15">
        <f t="shared" si="17"/>
        <v>0</v>
      </c>
      <c r="W585" s="22">
        <f t="shared" si="11"/>
        <v>0</v>
      </c>
      <c r="X585" s="19">
        <f t="shared" si="23"/>
        <v>0</v>
      </c>
    </row>
    <row r="586" ht="15.75" customHeight="1">
      <c r="Q586" s="15">
        <f t="shared" si="17"/>
        <v>0</v>
      </c>
      <c r="W586" s="22">
        <f t="shared" si="11"/>
        <v>0</v>
      </c>
      <c r="X586" s="19">
        <f t="shared" si="23"/>
        <v>0</v>
      </c>
    </row>
    <row r="587" ht="15.75" customHeight="1">
      <c r="Q587" s="15">
        <f t="shared" si="17"/>
        <v>0</v>
      </c>
      <c r="W587" s="22">
        <f t="shared" si="11"/>
        <v>0</v>
      </c>
      <c r="X587" s="19">
        <f t="shared" si="23"/>
        <v>0</v>
      </c>
    </row>
    <row r="588" ht="15.75" customHeight="1">
      <c r="Q588" s="15">
        <f t="shared" si="17"/>
        <v>0</v>
      </c>
      <c r="W588" s="22">
        <f t="shared" si="11"/>
        <v>0</v>
      </c>
      <c r="X588" s="19">
        <f t="shared" si="23"/>
        <v>0</v>
      </c>
    </row>
    <row r="589" ht="15.75" customHeight="1">
      <c r="Q589" s="15">
        <f t="shared" si="17"/>
        <v>0</v>
      </c>
      <c r="W589" s="22">
        <f t="shared" si="11"/>
        <v>0</v>
      </c>
      <c r="X589" s="19">
        <f t="shared" si="23"/>
        <v>0</v>
      </c>
    </row>
    <row r="590" ht="15.75" customHeight="1">
      <c r="Q590" s="15">
        <f t="shared" si="17"/>
        <v>0</v>
      </c>
      <c r="W590" s="22">
        <f t="shared" si="11"/>
        <v>0</v>
      </c>
      <c r="X590" s="19">
        <f t="shared" si="23"/>
        <v>0</v>
      </c>
    </row>
    <row r="591" ht="15.75" customHeight="1">
      <c r="Q591" s="15">
        <f t="shared" si="17"/>
        <v>0</v>
      </c>
      <c r="W591" s="22">
        <f t="shared" si="11"/>
        <v>0</v>
      </c>
      <c r="X591" s="19">
        <f t="shared" si="23"/>
        <v>0</v>
      </c>
    </row>
    <row r="592" ht="15.75" customHeight="1">
      <c r="Q592" s="15">
        <f t="shared" si="17"/>
        <v>0</v>
      </c>
      <c r="W592" s="22">
        <f t="shared" si="11"/>
        <v>0</v>
      </c>
      <c r="X592" s="19">
        <f t="shared" si="23"/>
        <v>0</v>
      </c>
    </row>
    <row r="593" ht="15.75" customHeight="1">
      <c r="Q593" s="15">
        <f t="shared" si="17"/>
        <v>0</v>
      </c>
      <c r="W593" s="22">
        <f t="shared" si="11"/>
        <v>0</v>
      </c>
      <c r="X593" s="19">
        <f t="shared" si="23"/>
        <v>0</v>
      </c>
    </row>
    <row r="594" ht="15.75" customHeight="1">
      <c r="Q594" s="15">
        <f t="shared" si="17"/>
        <v>0</v>
      </c>
      <c r="W594" s="22">
        <f t="shared" si="11"/>
        <v>0</v>
      </c>
      <c r="X594" s="19">
        <f t="shared" si="23"/>
        <v>0</v>
      </c>
    </row>
    <row r="595" ht="15.75" customHeight="1">
      <c r="Q595" s="15">
        <f t="shared" si="17"/>
        <v>0</v>
      </c>
      <c r="W595" s="22">
        <f t="shared" si="11"/>
        <v>0</v>
      </c>
      <c r="X595" s="19">
        <f t="shared" si="23"/>
        <v>0</v>
      </c>
    </row>
    <row r="596" ht="15.75" customHeight="1">
      <c r="Q596" s="15">
        <f t="shared" si="17"/>
        <v>0</v>
      </c>
      <c r="W596" s="22">
        <f t="shared" si="11"/>
        <v>0</v>
      </c>
      <c r="X596" s="19">
        <f t="shared" si="23"/>
        <v>0</v>
      </c>
    </row>
    <row r="597" ht="15.75" customHeight="1">
      <c r="Q597" s="15">
        <f t="shared" si="17"/>
        <v>0</v>
      </c>
      <c r="W597" s="22">
        <f t="shared" si="11"/>
        <v>0</v>
      </c>
      <c r="X597" s="19">
        <f t="shared" si="23"/>
        <v>0</v>
      </c>
    </row>
    <row r="598" ht="15.75" customHeight="1">
      <c r="Q598" s="15">
        <f t="shared" si="17"/>
        <v>0</v>
      </c>
      <c r="W598" s="22">
        <f t="shared" si="11"/>
        <v>0</v>
      </c>
      <c r="X598" s="19">
        <f t="shared" si="23"/>
        <v>0</v>
      </c>
    </row>
    <row r="599" ht="15.75" customHeight="1">
      <c r="Q599" s="15">
        <f t="shared" si="17"/>
        <v>0</v>
      </c>
      <c r="W599" s="22">
        <f t="shared" si="11"/>
        <v>0</v>
      </c>
      <c r="X599" s="19">
        <f t="shared" si="23"/>
        <v>0</v>
      </c>
    </row>
    <row r="600" ht="15.75" customHeight="1">
      <c r="Q600" s="15">
        <f t="shared" si="17"/>
        <v>0</v>
      </c>
      <c r="W600" s="22">
        <f t="shared" si="11"/>
        <v>0</v>
      </c>
      <c r="X600" s="19">
        <f t="shared" si="23"/>
        <v>0</v>
      </c>
    </row>
    <row r="601" ht="15.75" customHeight="1">
      <c r="Q601" s="15">
        <f t="shared" si="17"/>
        <v>0</v>
      </c>
      <c r="W601" s="22">
        <f t="shared" si="11"/>
        <v>0</v>
      </c>
      <c r="X601" s="19">
        <f t="shared" si="23"/>
        <v>0</v>
      </c>
    </row>
    <row r="602" ht="15.75" customHeight="1">
      <c r="Q602" s="15">
        <f t="shared" si="17"/>
        <v>0</v>
      </c>
      <c r="W602" s="22">
        <f t="shared" si="11"/>
        <v>0</v>
      </c>
      <c r="X602" s="19">
        <f t="shared" si="23"/>
        <v>0</v>
      </c>
    </row>
    <row r="603" ht="15.75" customHeight="1">
      <c r="Q603" s="15">
        <f t="shared" si="17"/>
        <v>0</v>
      </c>
      <c r="W603" s="22">
        <f t="shared" si="11"/>
        <v>0</v>
      </c>
      <c r="X603" s="19">
        <f t="shared" si="23"/>
        <v>0</v>
      </c>
    </row>
    <row r="604" ht="15.75" customHeight="1">
      <c r="Q604" s="15">
        <f t="shared" si="17"/>
        <v>0</v>
      </c>
      <c r="W604" s="22">
        <f t="shared" si="11"/>
        <v>0</v>
      </c>
      <c r="X604" s="19">
        <f t="shared" si="23"/>
        <v>0</v>
      </c>
    </row>
    <row r="605" ht="15.75" customHeight="1">
      <c r="Q605" s="15">
        <f t="shared" si="17"/>
        <v>0</v>
      </c>
      <c r="W605" s="22">
        <f t="shared" si="11"/>
        <v>0</v>
      </c>
      <c r="X605" s="19">
        <f t="shared" si="23"/>
        <v>0</v>
      </c>
    </row>
    <row r="606" ht="15.75" customHeight="1">
      <c r="Q606" s="15">
        <f t="shared" si="17"/>
        <v>0</v>
      </c>
      <c r="W606" s="22">
        <f t="shared" si="11"/>
        <v>0</v>
      </c>
      <c r="X606" s="19">
        <f t="shared" si="23"/>
        <v>0</v>
      </c>
    </row>
    <row r="607" ht="15.75" customHeight="1">
      <c r="Q607" s="15">
        <f t="shared" si="17"/>
        <v>0</v>
      </c>
      <c r="W607" s="22">
        <f t="shared" si="11"/>
        <v>0</v>
      </c>
      <c r="X607" s="19">
        <f t="shared" si="23"/>
        <v>0</v>
      </c>
    </row>
    <row r="608" ht="15.75" customHeight="1">
      <c r="Q608" s="15">
        <f t="shared" si="17"/>
        <v>0</v>
      </c>
      <c r="W608" s="22">
        <f t="shared" si="11"/>
        <v>0</v>
      </c>
      <c r="X608" s="19">
        <f t="shared" si="23"/>
        <v>0</v>
      </c>
    </row>
    <row r="609" ht="15.75" customHeight="1">
      <c r="Q609" s="15">
        <f t="shared" si="17"/>
        <v>0</v>
      </c>
      <c r="W609" s="22">
        <f t="shared" si="11"/>
        <v>0</v>
      </c>
      <c r="X609" s="19">
        <f t="shared" si="23"/>
        <v>0</v>
      </c>
    </row>
    <row r="610" ht="15.75" customHeight="1">
      <c r="Q610" s="15">
        <f t="shared" si="17"/>
        <v>0</v>
      </c>
      <c r="W610" s="22">
        <f t="shared" si="11"/>
        <v>0</v>
      </c>
      <c r="X610" s="19">
        <f t="shared" si="23"/>
        <v>0</v>
      </c>
    </row>
    <row r="611" ht="15.75" customHeight="1">
      <c r="Q611" s="15">
        <f t="shared" si="17"/>
        <v>0</v>
      </c>
      <c r="W611" s="22">
        <f t="shared" si="11"/>
        <v>0</v>
      </c>
      <c r="X611" s="19">
        <f t="shared" si="23"/>
        <v>0</v>
      </c>
    </row>
    <row r="612" ht="15.75" customHeight="1">
      <c r="Q612" s="15">
        <f t="shared" si="17"/>
        <v>0</v>
      </c>
      <c r="W612" s="22">
        <f t="shared" si="11"/>
        <v>0</v>
      </c>
      <c r="X612" s="19">
        <f t="shared" si="23"/>
        <v>0</v>
      </c>
    </row>
    <row r="613" ht="15.75" customHeight="1">
      <c r="Q613" s="15">
        <f t="shared" si="17"/>
        <v>0</v>
      </c>
      <c r="W613" s="22">
        <f t="shared" si="11"/>
        <v>0</v>
      </c>
      <c r="X613" s="19">
        <f t="shared" si="23"/>
        <v>0</v>
      </c>
    </row>
    <row r="614" ht="15.75" customHeight="1">
      <c r="Q614" s="15">
        <f t="shared" si="17"/>
        <v>0</v>
      </c>
      <c r="W614" s="22">
        <f t="shared" si="11"/>
        <v>0</v>
      </c>
      <c r="X614" s="19">
        <f t="shared" si="23"/>
        <v>0</v>
      </c>
    </row>
    <row r="615" ht="15.75" customHeight="1">
      <c r="Q615" s="15">
        <f t="shared" si="17"/>
        <v>0</v>
      </c>
      <c r="W615" s="22">
        <f t="shared" si="11"/>
        <v>0</v>
      </c>
      <c r="X615" s="19">
        <f t="shared" si="23"/>
        <v>0</v>
      </c>
    </row>
    <row r="616" ht="15.75" customHeight="1">
      <c r="Q616" s="15">
        <f t="shared" si="17"/>
        <v>0</v>
      </c>
      <c r="W616" s="22">
        <f t="shared" si="11"/>
        <v>0</v>
      </c>
      <c r="X616" s="19">
        <f t="shared" si="23"/>
        <v>0</v>
      </c>
    </row>
    <row r="617" ht="15.75" customHeight="1">
      <c r="Q617" s="15">
        <f t="shared" si="17"/>
        <v>0</v>
      </c>
      <c r="W617" s="22">
        <f t="shared" si="11"/>
        <v>0</v>
      </c>
      <c r="X617" s="19">
        <f t="shared" si="23"/>
        <v>0</v>
      </c>
    </row>
    <row r="618" ht="15.75" customHeight="1">
      <c r="Q618" s="15">
        <f t="shared" si="17"/>
        <v>0</v>
      </c>
      <c r="W618" s="22">
        <f t="shared" si="11"/>
        <v>0</v>
      </c>
      <c r="X618" s="19">
        <f t="shared" si="23"/>
        <v>0</v>
      </c>
    </row>
    <row r="619" ht="15.75" customHeight="1">
      <c r="Q619" s="15">
        <f t="shared" si="17"/>
        <v>0</v>
      </c>
      <c r="W619" s="22">
        <f t="shared" si="11"/>
        <v>0</v>
      </c>
      <c r="X619" s="19">
        <f t="shared" si="23"/>
        <v>0</v>
      </c>
    </row>
    <row r="620" ht="15.75" customHeight="1">
      <c r="Q620" s="15">
        <f t="shared" si="17"/>
        <v>0</v>
      </c>
      <c r="W620" s="22">
        <f t="shared" si="11"/>
        <v>0</v>
      </c>
      <c r="X620" s="19">
        <f t="shared" si="23"/>
        <v>0</v>
      </c>
    </row>
    <row r="621" ht="15.75" customHeight="1">
      <c r="Q621" s="15">
        <f t="shared" si="17"/>
        <v>0</v>
      </c>
      <c r="W621" s="22">
        <f t="shared" si="11"/>
        <v>0</v>
      </c>
      <c r="X621" s="19">
        <f t="shared" si="23"/>
        <v>0</v>
      </c>
    </row>
    <row r="622" ht="15.75" customHeight="1">
      <c r="Q622" s="15">
        <f t="shared" si="17"/>
        <v>0</v>
      </c>
      <c r="W622" s="22">
        <f t="shared" si="11"/>
        <v>0</v>
      </c>
      <c r="X622" s="19">
        <f t="shared" si="23"/>
        <v>0</v>
      </c>
    </row>
    <row r="623" ht="15.75" customHeight="1">
      <c r="Q623" s="15">
        <f t="shared" si="17"/>
        <v>0</v>
      </c>
      <c r="W623" s="22">
        <f t="shared" si="11"/>
        <v>0</v>
      </c>
      <c r="X623" s="19">
        <f t="shared" si="23"/>
        <v>0</v>
      </c>
    </row>
    <row r="624" ht="15.75" customHeight="1">
      <c r="Q624" s="15">
        <f t="shared" si="17"/>
        <v>0</v>
      </c>
      <c r="W624" s="22">
        <f t="shared" si="11"/>
        <v>0</v>
      </c>
      <c r="X624" s="19">
        <f t="shared" si="23"/>
        <v>0</v>
      </c>
    </row>
    <row r="625" ht="15.75" customHeight="1">
      <c r="Q625" s="15">
        <f t="shared" si="17"/>
        <v>0</v>
      </c>
      <c r="W625" s="22">
        <f t="shared" si="11"/>
        <v>0</v>
      </c>
      <c r="X625" s="19">
        <f t="shared" si="23"/>
        <v>0</v>
      </c>
    </row>
    <row r="626" ht="15.75" customHeight="1">
      <c r="Q626" s="15">
        <f t="shared" si="17"/>
        <v>0</v>
      </c>
      <c r="W626" s="22">
        <f t="shared" si="11"/>
        <v>0</v>
      </c>
      <c r="X626" s="19">
        <f t="shared" si="23"/>
        <v>0</v>
      </c>
    </row>
    <row r="627" ht="15.75" customHeight="1">
      <c r="Q627" s="15">
        <f t="shared" si="17"/>
        <v>0</v>
      </c>
      <c r="W627" s="22">
        <f t="shared" si="11"/>
        <v>0</v>
      </c>
      <c r="X627" s="19">
        <f t="shared" si="23"/>
        <v>0</v>
      </c>
    </row>
    <row r="628" ht="15.75" customHeight="1">
      <c r="Q628" s="15">
        <f t="shared" si="17"/>
        <v>0</v>
      </c>
      <c r="W628" s="22">
        <f t="shared" si="11"/>
        <v>0</v>
      </c>
      <c r="X628" s="19">
        <f t="shared" si="23"/>
        <v>0</v>
      </c>
    </row>
    <row r="629" ht="15.75" customHeight="1">
      <c r="Q629" s="15">
        <f t="shared" si="17"/>
        <v>0</v>
      </c>
      <c r="W629" s="22">
        <f t="shared" si="11"/>
        <v>0</v>
      </c>
      <c r="X629" s="19">
        <f t="shared" si="23"/>
        <v>0</v>
      </c>
    </row>
    <row r="630" ht="15.75" customHeight="1">
      <c r="Q630" s="15">
        <f t="shared" si="17"/>
        <v>0</v>
      </c>
      <c r="W630" s="22">
        <f t="shared" si="11"/>
        <v>0</v>
      </c>
      <c r="X630" s="19">
        <f t="shared" si="23"/>
        <v>0</v>
      </c>
    </row>
    <row r="631" ht="15.75" customHeight="1">
      <c r="Q631" s="15">
        <f t="shared" si="17"/>
        <v>0</v>
      </c>
      <c r="W631" s="22">
        <f t="shared" si="11"/>
        <v>0</v>
      </c>
      <c r="X631" s="19">
        <f t="shared" si="23"/>
        <v>0</v>
      </c>
    </row>
    <row r="632" ht="15.75" customHeight="1">
      <c r="Q632" s="15">
        <f t="shared" si="17"/>
        <v>0</v>
      </c>
      <c r="W632" s="22">
        <f t="shared" si="11"/>
        <v>0</v>
      </c>
      <c r="X632" s="19">
        <f t="shared" si="23"/>
        <v>0</v>
      </c>
    </row>
    <row r="633" ht="15.75" customHeight="1">
      <c r="Q633" s="15">
        <f t="shared" si="17"/>
        <v>0</v>
      </c>
      <c r="W633" s="22">
        <f t="shared" si="11"/>
        <v>0</v>
      </c>
      <c r="X633" s="19">
        <f t="shared" si="23"/>
        <v>0</v>
      </c>
    </row>
    <row r="634" ht="15.75" customHeight="1">
      <c r="Q634" s="15">
        <f t="shared" si="17"/>
        <v>0</v>
      </c>
      <c r="W634" s="22">
        <f t="shared" si="11"/>
        <v>0</v>
      </c>
      <c r="X634" s="19">
        <f t="shared" si="23"/>
        <v>0</v>
      </c>
    </row>
    <row r="635" ht="15.75" customHeight="1">
      <c r="Q635" s="15">
        <f t="shared" si="17"/>
        <v>0</v>
      </c>
      <c r="W635" s="22">
        <f t="shared" si="11"/>
        <v>0</v>
      </c>
      <c r="X635" s="19">
        <f t="shared" si="23"/>
        <v>0</v>
      </c>
    </row>
    <row r="636" ht="15.75" customHeight="1">
      <c r="Q636" s="15">
        <f t="shared" si="17"/>
        <v>0</v>
      </c>
      <c r="W636" s="22">
        <f t="shared" si="11"/>
        <v>0</v>
      </c>
      <c r="X636" s="19">
        <f t="shared" si="23"/>
        <v>0</v>
      </c>
    </row>
    <row r="637" ht="15.75" customHeight="1">
      <c r="Q637" s="15">
        <f t="shared" si="17"/>
        <v>0</v>
      </c>
      <c r="W637" s="22">
        <f t="shared" si="11"/>
        <v>0</v>
      </c>
      <c r="X637" s="19">
        <f t="shared" si="23"/>
        <v>0</v>
      </c>
    </row>
    <row r="638" ht="15.75" customHeight="1">
      <c r="Q638" s="15">
        <f t="shared" si="17"/>
        <v>0</v>
      </c>
      <c r="W638" s="22">
        <f t="shared" si="11"/>
        <v>0</v>
      </c>
      <c r="X638" s="19">
        <f t="shared" si="23"/>
        <v>0</v>
      </c>
    </row>
    <row r="639" ht="15.75" customHeight="1">
      <c r="Q639" s="15">
        <f t="shared" si="17"/>
        <v>0</v>
      </c>
      <c r="W639" s="22">
        <f t="shared" si="11"/>
        <v>0</v>
      </c>
      <c r="X639" s="19">
        <f t="shared" si="23"/>
        <v>0</v>
      </c>
    </row>
    <row r="640" ht="15.75" customHeight="1">
      <c r="Q640" s="15">
        <f t="shared" si="17"/>
        <v>0</v>
      </c>
      <c r="W640" s="22">
        <f t="shared" si="11"/>
        <v>0</v>
      </c>
      <c r="X640" s="19">
        <f t="shared" si="23"/>
        <v>0</v>
      </c>
    </row>
    <row r="641" ht="15.75" customHeight="1">
      <c r="Q641" s="15">
        <f t="shared" si="17"/>
        <v>0</v>
      </c>
      <c r="W641" s="22">
        <f t="shared" si="11"/>
        <v>0</v>
      </c>
      <c r="X641" s="19">
        <f t="shared" si="23"/>
        <v>0</v>
      </c>
    </row>
    <row r="642" ht="15.75" customHeight="1">
      <c r="Q642" s="15">
        <f t="shared" si="17"/>
        <v>0</v>
      </c>
      <c r="W642" s="22">
        <f t="shared" si="11"/>
        <v>0</v>
      </c>
      <c r="X642" s="19">
        <f t="shared" si="23"/>
        <v>0</v>
      </c>
    </row>
    <row r="643" ht="15.75" customHeight="1">
      <c r="Q643" s="15">
        <f t="shared" si="17"/>
        <v>0</v>
      </c>
      <c r="W643" s="22">
        <f t="shared" si="11"/>
        <v>0</v>
      </c>
      <c r="X643" s="19">
        <f t="shared" si="23"/>
        <v>0</v>
      </c>
    </row>
    <row r="644" ht="15.75" customHeight="1">
      <c r="Q644" s="15">
        <f t="shared" si="17"/>
        <v>0</v>
      </c>
      <c r="W644" s="22">
        <f t="shared" si="11"/>
        <v>0</v>
      </c>
      <c r="X644" s="19">
        <f t="shared" si="23"/>
        <v>0</v>
      </c>
    </row>
    <row r="645" ht="15.75" customHeight="1">
      <c r="Q645" s="15">
        <f t="shared" si="17"/>
        <v>0</v>
      </c>
      <c r="W645" s="22">
        <f t="shared" si="11"/>
        <v>0</v>
      </c>
      <c r="X645" s="19">
        <f t="shared" si="23"/>
        <v>0</v>
      </c>
    </row>
    <row r="646" ht="15.75" customHeight="1">
      <c r="Q646" s="15">
        <f t="shared" si="17"/>
        <v>0</v>
      </c>
      <c r="W646" s="22">
        <f t="shared" si="11"/>
        <v>0</v>
      </c>
      <c r="X646" s="19">
        <f t="shared" si="23"/>
        <v>0</v>
      </c>
    </row>
    <row r="647" ht="15.75" customHeight="1">
      <c r="Q647" s="15">
        <f t="shared" si="17"/>
        <v>0</v>
      </c>
      <c r="W647" s="22">
        <f t="shared" si="11"/>
        <v>0</v>
      </c>
      <c r="X647" s="19">
        <f t="shared" si="23"/>
        <v>0</v>
      </c>
    </row>
    <row r="648" ht="15.75" customHeight="1">
      <c r="Q648" s="15">
        <f t="shared" si="17"/>
        <v>0</v>
      </c>
      <c r="W648" s="22">
        <f t="shared" si="11"/>
        <v>0</v>
      </c>
      <c r="X648" s="19">
        <f t="shared" si="23"/>
        <v>0</v>
      </c>
    </row>
    <row r="649" ht="15.75" customHeight="1">
      <c r="Q649" s="15">
        <f t="shared" si="17"/>
        <v>0</v>
      </c>
      <c r="W649" s="22">
        <f t="shared" si="11"/>
        <v>0</v>
      </c>
      <c r="X649" s="19">
        <f t="shared" si="23"/>
        <v>0</v>
      </c>
    </row>
    <row r="650" ht="15.75" customHeight="1">
      <c r="Q650" s="15">
        <f t="shared" si="17"/>
        <v>0</v>
      </c>
      <c r="W650" s="22">
        <f t="shared" si="11"/>
        <v>0</v>
      </c>
      <c r="X650" s="19">
        <f t="shared" si="23"/>
        <v>0</v>
      </c>
    </row>
    <row r="651" ht="15.75" customHeight="1">
      <c r="Q651" s="15">
        <f t="shared" si="17"/>
        <v>0</v>
      </c>
      <c r="W651" s="22">
        <f t="shared" si="11"/>
        <v>0</v>
      </c>
      <c r="X651" s="19">
        <f t="shared" si="23"/>
        <v>0</v>
      </c>
    </row>
    <row r="652" ht="15.75" customHeight="1">
      <c r="Q652" s="15">
        <f t="shared" si="17"/>
        <v>0</v>
      </c>
      <c r="W652" s="22">
        <f t="shared" si="11"/>
        <v>0</v>
      </c>
      <c r="X652" s="19">
        <f t="shared" si="23"/>
        <v>0</v>
      </c>
    </row>
    <row r="653" ht="15.75" customHeight="1">
      <c r="Q653" s="15">
        <f t="shared" si="17"/>
        <v>0</v>
      </c>
      <c r="W653" s="22">
        <f t="shared" si="11"/>
        <v>0</v>
      </c>
      <c r="X653" s="19">
        <f t="shared" si="23"/>
        <v>0</v>
      </c>
    </row>
    <row r="654" ht="15.75" customHeight="1">
      <c r="Q654" s="15">
        <f t="shared" si="17"/>
        <v>0</v>
      </c>
      <c r="W654" s="22">
        <f t="shared" si="11"/>
        <v>0</v>
      </c>
      <c r="X654" s="19">
        <f t="shared" si="23"/>
        <v>0</v>
      </c>
    </row>
    <row r="655" ht="15.75" customHeight="1">
      <c r="Q655" s="15">
        <f t="shared" si="17"/>
        <v>0</v>
      </c>
      <c r="W655" s="22">
        <f t="shared" si="11"/>
        <v>0</v>
      </c>
      <c r="X655" s="19">
        <f t="shared" si="23"/>
        <v>0</v>
      </c>
    </row>
    <row r="656" ht="15.75" customHeight="1">
      <c r="Q656" s="15">
        <f t="shared" si="17"/>
        <v>0</v>
      </c>
      <c r="W656" s="22">
        <f t="shared" si="11"/>
        <v>0</v>
      </c>
      <c r="X656" s="19">
        <f t="shared" si="23"/>
        <v>0</v>
      </c>
    </row>
    <row r="657" ht="15.75" customHeight="1">
      <c r="Q657" s="15">
        <f t="shared" si="17"/>
        <v>0</v>
      </c>
      <c r="W657" s="22">
        <f t="shared" si="11"/>
        <v>0</v>
      </c>
      <c r="X657" s="19">
        <f t="shared" si="23"/>
        <v>0</v>
      </c>
    </row>
    <row r="658" ht="15.75" customHeight="1">
      <c r="Q658" s="15">
        <f t="shared" si="17"/>
        <v>0</v>
      </c>
      <c r="W658" s="22">
        <f t="shared" si="11"/>
        <v>0</v>
      </c>
      <c r="X658" s="19">
        <f t="shared" si="23"/>
        <v>0</v>
      </c>
    </row>
    <row r="659" ht="15.75" customHeight="1">
      <c r="Q659" s="15">
        <f t="shared" si="17"/>
        <v>0</v>
      </c>
      <c r="W659" s="22">
        <f t="shared" si="11"/>
        <v>0</v>
      </c>
      <c r="X659" s="19">
        <f t="shared" si="23"/>
        <v>0</v>
      </c>
    </row>
    <row r="660" ht="15.75" customHeight="1">
      <c r="Q660" s="15">
        <f t="shared" si="17"/>
        <v>0</v>
      </c>
      <c r="W660" s="22">
        <f t="shared" si="11"/>
        <v>0</v>
      </c>
      <c r="X660" s="19">
        <f t="shared" si="23"/>
        <v>0</v>
      </c>
    </row>
    <row r="661" ht="15.75" customHeight="1">
      <c r="Q661" s="15">
        <f t="shared" si="17"/>
        <v>0</v>
      </c>
      <c r="W661" s="22">
        <f t="shared" si="11"/>
        <v>0</v>
      </c>
      <c r="X661" s="19">
        <f t="shared" si="23"/>
        <v>0</v>
      </c>
    </row>
    <row r="662" ht="15.75" customHeight="1">
      <c r="Q662" s="15">
        <f t="shared" si="17"/>
        <v>0</v>
      </c>
      <c r="W662" s="22">
        <f t="shared" si="11"/>
        <v>0</v>
      </c>
      <c r="X662" s="19">
        <f t="shared" si="23"/>
        <v>0</v>
      </c>
    </row>
    <row r="663" ht="15.75" customHeight="1">
      <c r="Q663" s="15">
        <f t="shared" si="17"/>
        <v>0</v>
      </c>
      <c r="W663" s="22">
        <f t="shared" si="11"/>
        <v>0</v>
      </c>
      <c r="X663" s="19">
        <f t="shared" si="23"/>
        <v>0</v>
      </c>
    </row>
    <row r="664" ht="15.75" customHeight="1">
      <c r="Q664" s="15">
        <f t="shared" si="17"/>
        <v>0</v>
      </c>
      <c r="W664" s="22">
        <f t="shared" si="11"/>
        <v>0</v>
      </c>
      <c r="X664" s="19">
        <f t="shared" si="23"/>
        <v>0</v>
      </c>
    </row>
    <row r="665" ht="15.75" customHeight="1">
      <c r="Q665" s="15">
        <f t="shared" si="17"/>
        <v>0</v>
      </c>
      <c r="W665" s="22">
        <f t="shared" si="11"/>
        <v>0</v>
      </c>
      <c r="X665" s="19">
        <f t="shared" si="23"/>
        <v>0</v>
      </c>
    </row>
    <row r="666" ht="15.75" customHeight="1">
      <c r="Q666" s="15">
        <f t="shared" si="17"/>
        <v>0</v>
      </c>
      <c r="W666" s="22">
        <f t="shared" si="11"/>
        <v>0</v>
      </c>
      <c r="X666" s="19">
        <f t="shared" si="23"/>
        <v>0</v>
      </c>
    </row>
    <row r="667" ht="15.75" customHeight="1">
      <c r="Q667" s="15">
        <f t="shared" si="17"/>
        <v>0</v>
      </c>
      <c r="W667" s="22">
        <f t="shared" si="11"/>
        <v>0</v>
      </c>
      <c r="X667" s="19">
        <f t="shared" si="23"/>
        <v>0</v>
      </c>
    </row>
    <row r="668" ht="15.75" customHeight="1">
      <c r="Q668" s="15">
        <f t="shared" si="17"/>
        <v>0</v>
      </c>
      <c r="W668" s="22">
        <f t="shared" si="11"/>
        <v>0</v>
      </c>
      <c r="X668" s="19">
        <f t="shared" si="23"/>
        <v>0</v>
      </c>
    </row>
    <row r="669" ht="15.75" customHeight="1">
      <c r="Q669" s="15">
        <f t="shared" si="17"/>
        <v>0</v>
      </c>
      <c r="W669" s="22">
        <f t="shared" si="11"/>
        <v>0</v>
      </c>
      <c r="X669" s="19">
        <f t="shared" si="23"/>
        <v>0</v>
      </c>
    </row>
    <row r="670" ht="15.75" customHeight="1">
      <c r="Q670" s="15">
        <f t="shared" si="17"/>
        <v>0</v>
      </c>
      <c r="W670" s="22">
        <f t="shared" si="11"/>
        <v>0</v>
      </c>
      <c r="X670" s="19">
        <f t="shared" si="23"/>
        <v>0</v>
      </c>
    </row>
    <row r="671" ht="15.75" customHeight="1">
      <c r="Q671" s="15">
        <f t="shared" si="17"/>
        <v>0</v>
      </c>
      <c r="W671" s="22">
        <f t="shared" si="11"/>
        <v>0</v>
      </c>
      <c r="X671" s="19">
        <f t="shared" si="23"/>
        <v>0</v>
      </c>
    </row>
    <row r="672" ht="15.75" customHeight="1">
      <c r="Q672" s="15">
        <f t="shared" si="17"/>
        <v>0</v>
      </c>
      <c r="W672" s="22">
        <f t="shared" si="11"/>
        <v>0</v>
      </c>
      <c r="X672" s="19">
        <f t="shared" si="23"/>
        <v>0</v>
      </c>
    </row>
    <row r="673" ht="15.75" customHeight="1">
      <c r="Q673" s="15">
        <f t="shared" si="17"/>
        <v>0</v>
      </c>
      <c r="W673" s="22">
        <f t="shared" si="11"/>
        <v>0</v>
      </c>
      <c r="X673" s="19">
        <f t="shared" si="23"/>
        <v>0</v>
      </c>
    </row>
    <row r="674" ht="15.75" customHeight="1">
      <c r="Q674" s="15">
        <f t="shared" si="17"/>
        <v>0</v>
      </c>
      <c r="W674" s="22">
        <f t="shared" si="11"/>
        <v>0</v>
      </c>
      <c r="X674" s="19">
        <f t="shared" si="23"/>
        <v>0</v>
      </c>
    </row>
    <row r="675" ht="15.75" customHeight="1">
      <c r="Q675" s="15">
        <f t="shared" si="17"/>
        <v>0</v>
      </c>
      <c r="W675" s="22">
        <f t="shared" si="11"/>
        <v>0</v>
      </c>
      <c r="X675" s="19">
        <f t="shared" si="23"/>
        <v>0</v>
      </c>
    </row>
    <row r="676" ht="15.75" customHeight="1">
      <c r="Q676" s="15">
        <f t="shared" si="17"/>
        <v>0</v>
      </c>
      <c r="W676" s="22">
        <f t="shared" si="11"/>
        <v>0</v>
      </c>
      <c r="X676" s="19">
        <f t="shared" si="23"/>
        <v>0</v>
      </c>
    </row>
    <row r="677" ht="15.75" customHeight="1">
      <c r="Q677" s="15">
        <f t="shared" si="17"/>
        <v>0</v>
      </c>
      <c r="W677" s="22">
        <f t="shared" si="11"/>
        <v>0</v>
      </c>
      <c r="X677" s="19">
        <f t="shared" si="23"/>
        <v>0</v>
      </c>
    </row>
    <row r="678" ht="15.75" customHeight="1">
      <c r="Q678" s="15">
        <f t="shared" si="17"/>
        <v>0</v>
      </c>
      <c r="W678" s="22">
        <f t="shared" si="11"/>
        <v>0</v>
      </c>
      <c r="X678" s="19">
        <f t="shared" si="23"/>
        <v>0</v>
      </c>
    </row>
    <row r="679" ht="15.75" customHeight="1">
      <c r="Q679" s="15">
        <f t="shared" si="17"/>
        <v>0</v>
      </c>
      <c r="W679" s="22">
        <f t="shared" si="11"/>
        <v>0</v>
      </c>
      <c r="X679" s="19">
        <f t="shared" si="23"/>
        <v>0</v>
      </c>
    </row>
    <row r="680" ht="15.75" customHeight="1">
      <c r="Q680" s="15">
        <f t="shared" si="17"/>
        <v>0</v>
      </c>
      <c r="W680" s="22">
        <f t="shared" si="11"/>
        <v>0</v>
      </c>
      <c r="X680" s="19">
        <f t="shared" si="23"/>
        <v>0</v>
      </c>
    </row>
    <row r="681" ht="15.75" customHeight="1">
      <c r="Q681" s="15">
        <f t="shared" si="17"/>
        <v>0</v>
      </c>
      <c r="W681" s="22">
        <f t="shared" si="11"/>
        <v>0</v>
      </c>
      <c r="X681" s="19">
        <f t="shared" si="23"/>
        <v>0</v>
      </c>
    </row>
    <row r="682" ht="15.75" customHeight="1">
      <c r="Q682" s="15">
        <f t="shared" si="17"/>
        <v>0</v>
      </c>
      <c r="W682" s="22">
        <f t="shared" si="11"/>
        <v>0</v>
      </c>
      <c r="X682" s="19">
        <f t="shared" si="23"/>
        <v>0</v>
      </c>
    </row>
    <row r="683" ht="15.75" customHeight="1">
      <c r="Q683" s="15">
        <f t="shared" si="17"/>
        <v>0</v>
      </c>
      <c r="W683" s="22">
        <f t="shared" si="11"/>
        <v>0</v>
      </c>
      <c r="X683" s="19">
        <f t="shared" si="23"/>
        <v>0</v>
      </c>
    </row>
    <row r="684" ht="15.75" customHeight="1">
      <c r="Q684" s="15">
        <f t="shared" si="17"/>
        <v>0</v>
      </c>
      <c r="W684" s="22">
        <f t="shared" si="11"/>
        <v>0</v>
      </c>
      <c r="X684" s="19">
        <f t="shared" si="23"/>
        <v>0</v>
      </c>
    </row>
    <row r="685" ht="15.75" customHeight="1">
      <c r="Q685" s="15">
        <f t="shared" si="17"/>
        <v>0</v>
      </c>
      <c r="W685" s="22">
        <f t="shared" si="11"/>
        <v>0</v>
      </c>
      <c r="X685" s="19">
        <f t="shared" si="23"/>
        <v>0</v>
      </c>
    </row>
    <row r="686" ht="15.75" customHeight="1">
      <c r="Q686" s="15">
        <f t="shared" si="17"/>
        <v>0</v>
      </c>
      <c r="W686" s="22">
        <f t="shared" si="11"/>
        <v>0</v>
      </c>
      <c r="X686" s="19">
        <f t="shared" si="23"/>
        <v>0</v>
      </c>
    </row>
    <row r="687" ht="15.75" customHeight="1">
      <c r="Q687" s="15">
        <f t="shared" si="17"/>
        <v>0</v>
      </c>
      <c r="W687" s="22">
        <f t="shared" si="11"/>
        <v>0</v>
      </c>
      <c r="X687" s="19">
        <f t="shared" si="23"/>
        <v>0</v>
      </c>
    </row>
    <row r="688" ht="15.75" customHeight="1">
      <c r="Q688" s="15">
        <f t="shared" si="17"/>
        <v>0</v>
      </c>
      <c r="W688" s="22">
        <f t="shared" si="11"/>
        <v>0</v>
      </c>
      <c r="X688" s="19">
        <f t="shared" si="23"/>
        <v>0</v>
      </c>
    </row>
    <row r="689" ht="15.75" customHeight="1">
      <c r="Q689" s="15">
        <f t="shared" si="17"/>
        <v>0</v>
      </c>
      <c r="W689" s="22">
        <f t="shared" si="11"/>
        <v>0</v>
      </c>
      <c r="X689" s="19">
        <f t="shared" si="23"/>
        <v>0</v>
      </c>
    </row>
    <row r="690" ht="15.75" customHeight="1">
      <c r="Q690" s="15">
        <f t="shared" si="17"/>
        <v>0</v>
      </c>
      <c r="W690" s="22">
        <f t="shared" si="11"/>
        <v>0</v>
      </c>
      <c r="X690" s="19">
        <f t="shared" si="23"/>
        <v>0</v>
      </c>
    </row>
    <row r="691" ht="15.75" customHeight="1">
      <c r="Q691" s="15">
        <f t="shared" si="17"/>
        <v>0</v>
      </c>
      <c r="W691" s="22">
        <f t="shared" si="11"/>
        <v>0</v>
      </c>
      <c r="X691" s="19">
        <f t="shared" si="23"/>
        <v>0</v>
      </c>
    </row>
    <row r="692" ht="15.75" customHeight="1">
      <c r="Q692" s="15">
        <f t="shared" si="17"/>
        <v>0</v>
      </c>
      <c r="W692" s="22">
        <f t="shared" si="11"/>
        <v>0</v>
      </c>
      <c r="X692" s="19">
        <f t="shared" si="23"/>
        <v>0</v>
      </c>
    </row>
    <row r="693" ht="15.75" customHeight="1">
      <c r="Q693" s="15">
        <f t="shared" si="17"/>
        <v>0</v>
      </c>
      <c r="W693" s="22">
        <f t="shared" si="11"/>
        <v>0</v>
      </c>
      <c r="X693" s="19">
        <f t="shared" si="23"/>
        <v>0</v>
      </c>
    </row>
    <row r="694" ht="15.75" customHeight="1">
      <c r="Q694" s="15">
        <f t="shared" si="17"/>
        <v>0</v>
      </c>
      <c r="W694" s="22">
        <f t="shared" si="11"/>
        <v>0</v>
      </c>
      <c r="X694" s="19">
        <f t="shared" si="23"/>
        <v>0</v>
      </c>
    </row>
    <row r="695" ht="15.75" customHeight="1">
      <c r="Q695" s="15">
        <f t="shared" si="17"/>
        <v>0</v>
      </c>
      <c r="W695" s="22">
        <f t="shared" si="11"/>
        <v>0</v>
      </c>
      <c r="X695" s="19">
        <f t="shared" si="23"/>
        <v>0</v>
      </c>
    </row>
    <row r="696" ht="15.75" customHeight="1">
      <c r="Q696" s="15">
        <f t="shared" si="17"/>
        <v>0</v>
      </c>
      <c r="W696" s="22">
        <f t="shared" si="11"/>
        <v>0</v>
      </c>
      <c r="X696" s="19">
        <f t="shared" si="23"/>
        <v>0</v>
      </c>
    </row>
    <row r="697" ht="15.75" customHeight="1">
      <c r="Q697" s="15">
        <f t="shared" si="17"/>
        <v>0</v>
      </c>
      <c r="W697" s="22">
        <f t="shared" si="11"/>
        <v>0</v>
      </c>
      <c r="X697" s="19">
        <f t="shared" si="23"/>
        <v>0</v>
      </c>
    </row>
    <row r="698" ht="15.75" customHeight="1">
      <c r="Q698" s="15">
        <f t="shared" si="17"/>
        <v>0</v>
      </c>
      <c r="W698" s="22">
        <f t="shared" si="11"/>
        <v>0</v>
      </c>
      <c r="X698" s="19">
        <f t="shared" si="23"/>
        <v>0</v>
      </c>
    </row>
    <row r="699" ht="15.75" customHeight="1">
      <c r="Q699" s="15">
        <f t="shared" si="17"/>
        <v>0</v>
      </c>
      <c r="W699" s="22">
        <f t="shared" si="11"/>
        <v>0</v>
      </c>
      <c r="X699" s="19">
        <f t="shared" si="23"/>
        <v>0</v>
      </c>
    </row>
    <row r="700" ht="15.75" customHeight="1">
      <c r="Q700" s="15">
        <f t="shared" si="17"/>
        <v>0</v>
      </c>
      <c r="W700" s="22">
        <f t="shared" si="11"/>
        <v>0</v>
      </c>
      <c r="X700" s="19">
        <f t="shared" si="23"/>
        <v>0</v>
      </c>
    </row>
    <row r="701" ht="15.75" customHeight="1">
      <c r="Q701" s="15">
        <f t="shared" si="17"/>
        <v>0</v>
      </c>
      <c r="W701" s="22">
        <f t="shared" si="11"/>
        <v>0</v>
      </c>
      <c r="X701" s="19">
        <f t="shared" si="23"/>
        <v>0</v>
      </c>
    </row>
    <row r="702" ht="15.75" customHeight="1">
      <c r="Q702" s="15">
        <f t="shared" si="17"/>
        <v>0</v>
      </c>
      <c r="W702" s="22">
        <f t="shared" si="11"/>
        <v>0</v>
      </c>
      <c r="X702" s="19">
        <f t="shared" si="23"/>
        <v>0</v>
      </c>
    </row>
    <row r="703" ht="15.75" customHeight="1">
      <c r="Q703" s="15">
        <f t="shared" si="17"/>
        <v>0</v>
      </c>
      <c r="W703" s="22">
        <f t="shared" si="11"/>
        <v>0</v>
      </c>
      <c r="X703" s="19">
        <f t="shared" si="23"/>
        <v>0</v>
      </c>
    </row>
    <row r="704" ht="15.75" customHeight="1">
      <c r="Q704" s="15">
        <f t="shared" si="17"/>
        <v>0</v>
      </c>
      <c r="W704" s="22">
        <f t="shared" si="11"/>
        <v>0</v>
      </c>
      <c r="X704" s="19">
        <f t="shared" si="23"/>
        <v>0</v>
      </c>
    </row>
    <row r="705" ht="15.75" customHeight="1">
      <c r="Q705" s="15">
        <f t="shared" si="17"/>
        <v>0</v>
      </c>
      <c r="W705" s="22">
        <f t="shared" si="11"/>
        <v>0</v>
      </c>
      <c r="X705" s="19">
        <f t="shared" si="23"/>
        <v>0</v>
      </c>
    </row>
    <row r="706" ht="15.75" customHeight="1">
      <c r="Q706" s="15">
        <f t="shared" si="17"/>
        <v>0</v>
      </c>
      <c r="W706" s="22">
        <f t="shared" si="11"/>
        <v>0</v>
      </c>
      <c r="X706" s="19">
        <f t="shared" si="23"/>
        <v>0</v>
      </c>
    </row>
    <row r="707" ht="15.75" customHeight="1">
      <c r="Q707" s="15">
        <f t="shared" si="17"/>
        <v>0</v>
      </c>
      <c r="W707" s="22">
        <f t="shared" si="11"/>
        <v>0</v>
      </c>
      <c r="X707" s="19">
        <f t="shared" si="23"/>
        <v>0</v>
      </c>
    </row>
    <row r="708" ht="15.75" customHeight="1">
      <c r="Q708" s="15">
        <f t="shared" si="17"/>
        <v>0</v>
      </c>
      <c r="W708" s="22">
        <f t="shared" si="11"/>
        <v>0</v>
      </c>
      <c r="X708" s="19">
        <f t="shared" si="23"/>
        <v>0</v>
      </c>
    </row>
    <row r="709" ht="15.75" customHeight="1">
      <c r="Q709" s="15">
        <f t="shared" si="17"/>
        <v>0</v>
      </c>
      <c r="W709" s="22">
        <f t="shared" si="11"/>
        <v>0</v>
      </c>
      <c r="X709" s="19">
        <f t="shared" si="23"/>
        <v>0</v>
      </c>
    </row>
    <row r="710" ht="15.75" customHeight="1">
      <c r="Q710" s="15">
        <f t="shared" si="17"/>
        <v>0</v>
      </c>
      <c r="W710" s="22">
        <f t="shared" si="11"/>
        <v>0</v>
      </c>
      <c r="X710" s="19">
        <f t="shared" si="23"/>
        <v>0</v>
      </c>
    </row>
    <row r="711" ht="15.75" customHeight="1">
      <c r="Q711" s="15">
        <f t="shared" si="17"/>
        <v>0</v>
      </c>
      <c r="W711" s="22">
        <f t="shared" si="11"/>
        <v>0</v>
      </c>
      <c r="X711" s="19">
        <f t="shared" si="23"/>
        <v>0</v>
      </c>
    </row>
    <row r="712" ht="15.75" customHeight="1">
      <c r="Q712" s="15">
        <f t="shared" si="17"/>
        <v>0</v>
      </c>
      <c r="W712" s="22">
        <f t="shared" si="11"/>
        <v>0</v>
      </c>
      <c r="X712" s="19">
        <f t="shared" si="23"/>
        <v>0</v>
      </c>
    </row>
    <row r="713" ht="15.75" customHeight="1">
      <c r="Q713" s="15">
        <f t="shared" si="17"/>
        <v>0</v>
      </c>
      <c r="W713" s="22">
        <f t="shared" si="11"/>
        <v>0</v>
      </c>
      <c r="X713" s="19">
        <f t="shared" si="23"/>
        <v>0</v>
      </c>
    </row>
    <row r="714" ht="15.75" customHeight="1">
      <c r="Q714" s="15">
        <f t="shared" si="17"/>
        <v>0</v>
      </c>
      <c r="W714" s="22">
        <f t="shared" si="11"/>
        <v>0</v>
      </c>
      <c r="X714" s="19">
        <f t="shared" si="23"/>
        <v>0</v>
      </c>
    </row>
    <row r="715" ht="15.75" customHeight="1">
      <c r="Q715" s="15">
        <f t="shared" si="17"/>
        <v>0</v>
      </c>
      <c r="W715" s="22">
        <f t="shared" si="11"/>
        <v>0</v>
      </c>
      <c r="X715" s="19">
        <f t="shared" si="23"/>
        <v>0</v>
      </c>
    </row>
    <row r="716" ht="15.75" customHeight="1">
      <c r="Q716" s="15">
        <f t="shared" si="17"/>
        <v>0</v>
      </c>
      <c r="W716" s="22">
        <f t="shared" si="11"/>
        <v>0</v>
      </c>
      <c r="X716" s="19">
        <f t="shared" si="23"/>
        <v>0</v>
      </c>
    </row>
    <row r="717" ht="15.75" customHeight="1">
      <c r="Q717" s="15">
        <f t="shared" si="17"/>
        <v>0</v>
      </c>
      <c r="W717" s="22">
        <f t="shared" si="11"/>
        <v>0</v>
      </c>
      <c r="X717" s="19">
        <f t="shared" si="23"/>
        <v>0</v>
      </c>
    </row>
    <row r="718" ht="15.75" customHeight="1">
      <c r="Q718" s="15">
        <f t="shared" si="17"/>
        <v>0</v>
      </c>
      <c r="W718" s="22">
        <f t="shared" si="11"/>
        <v>0</v>
      </c>
      <c r="X718" s="19">
        <f t="shared" si="23"/>
        <v>0</v>
      </c>
    </row>
    <row r="719" ht="15.75" customHeight="1">
      <c r="Q719" s="15">
        <f t="shared" si="17"/>
        <v>0</v>
      </c>
      <c r="W719" s="22">
        <f t="shared" si="11"/>
        <v>0</v>
      </c>
      <c r="X719" s="19">
        <f t="shared" si="23"/>
        <v>0</v>
      </c>
    </row>
    <row r="720" ht="15.75" customHeight="1">
      <c r="Q720" s="15">
        <f t="shared" si="17"/>
        <v>0</v>
      </c>
      <c r="W720" s="22">
        <f t="shared" si="11"/>
        <v>0</v>
      </c>
      <c r="X720" s="19">
        <f t="shared" si="23"/>
        <v>0</v>
      </c>
    </row>
    <row r="721" ht="15.75" customHeight="1">
      <c r="Q721" s="15">
        <f t="shared" si="17"/>
        <v>0</v>
      </c>
      <c r="W721" s="22">
        <f t="shared" si="11"/>
        <v>0</v>
      </c>
      <c r="X721" s="19">
        <f t="shared" si="23"/>
        <v>0</v>
      </c>
    </row>
    <row r="722" ht="15.75" customHeight="1">
      <c r="Q722" s="15">
        <f t="shared" si="17"/>
        <v>0</v>
      </c>
      <c r="W722" s="22">
        <f t="shared" si="11"/>
        <v>0</v>
      </c>
      <c r="X722" s="19">
        <f t="shared" si="23"/>
        <v>0</v>
      </c>
    </row>
    <row r="723" ht="15.75" customHeight="1">
      <c r="Q723" s="15">
        <f t="shared" si="17"/>
        <v>0</v>
      </c>
      <c r="W723" s="22">
        <f t="shared" si="11"/>
        <v>0</v>
      </c>
      <c r="X723" s="19">
        <f t="shared" si="23"/>
        <v>0</v>
      </c>
    </row>
    <row r="724" ht="15.75" customHeight="1">
      <c r="Q724" s="15">
        <f t="shared" si="17"/>
        <v>0</v>
      </c>
      <c r="W724" s="22">
        <f t="shared" si="11"/>
        <v>0</v>
      </c>
      <c r="X724" s="19">
        <f t="shared" si="23"/>
        <v>0</v>
      </c>
    </row>
    <row r="725" ht="15.75" customHeight="1">
      <c r="Q725" s="15">
        <f t="shared" si="17"/>
        <v>0</v>
      </c>
      <c r="W725" s="22">
        <f t="shared" si="11"/>
        <v>0</v>
      </c>
      <c r="X725" s="19">
        <f t="shared" si="23"/>
        <v>0</v>
      </c>
    </row>
    <row r="726" ht="15.75" customHeight="1">
      <c r="Q726" s="15">
        <f t="shared" si="17"/>
        <v>0</v>
      </c>
      <c r="W726" s="22">
        <f t="shared" si="11"/>
        <v>0</v>
      </c>
      <c r="X726" s="19">
        <f t="shared" si="23"/>
        <v>0</v>
      </c>
    </row>
    <row r="727" ht="15.75" customHeight="1">
      <c r="Q727" s="15">
        <f t="shared" si="17"/>
        <v>0</v>
      </c>
      <c r="W727" s="22">
        <f t="shared" si="11"/>
        <v>0</v>
      </c>
      <c r="X727" s="19">
        <f t="shared" si="23"/>
        <v>0</v>
      </c>
    </row>
    <row r="728" ht="15.75" customHeight="1">
      <c r="Q728" s="15">
        <f t="shared" si="17"/>
        <v>0</v>
      </c>
      <c r="W728" s="22">
        <f t="shared" si="11"/>
        <v>0</v>
      </c>
      <c r="X728" s="19">
        <f t="shared" si="23"/>
        <v>0</v>
      </c>
    </row>
    <row r="729" ht="15.75" customHeight="1">
      <c r="Q729" s="15">
        <f t="shared" si="17"/>
        <v>0</v>
      </c>
      <c r="W729" s="22">
        <f t="shared" si="11"/>
        <v>0</v>
      </c>
      <c r="X729" s="19">
        <f t="shared" si="23"/>
        <v>0</v>
      </c>
    </row>
    <row r="730" ht="15.75" customHeight="1">
      <c r="Q730" s="15">
        <f t="shared" si="17"/>
        <v>0</v>
      </c>
      <c r="W730" s="22">
        <f t="shared" si="11"/>
        <v>0</v>
      </c>
      <c r="X730" s="19">
        <f t="shared" si="23"/>
        <v>0</v>
      </c>
    </row>
    <row r="731" ht="15.75" customHeight="1">
      <c r="Q731" s="15">
        <f t="shared" si="17"/>
        <v>0</v>
      </c>
      <c r="W731" s="22">
        <f t="shared" si="11"/>
        <v>0</v>
      </c>
      <c r="X731" s="19">
        <f t="shared" si="23"/>
        <v>0</v>
      </c>
    </row>
    <row r="732" ht="15.75" customHeight="1">
      <c r="Q732" s="15">
        <f t="shared" si="17"/>
        <v>0</v>
      </c>
      <c r="W732" s="22">
        <f t="shared" si="11"/>
        <v>0</v>
      </c>
      <c r="X732" s="19">
        <f t="shared" si="23"/>
        <v>0</v>
      </c>
    </row>
    <row r="733" ht="15.75" customHeight="1">
      <c r="Q733" s="15">
        <f t="shared" si="17"/>
        <v>0</v>
      </c>
      <c r="W733" s="22">
        <f t="shared" si="11"/>
        <v>0</v>
      </c>
      <c r="X733" s="19">
        <f t="shared" si="23"/>
        <v>0</v>
      </c>
    </row>
    <row r="734" ht="15.75" customHeight="1">
      <c r="Q734" s="15">
        <f t="shared" si="17"/>
        <v>0</v>
      </c>
      <c r="W734" s="22">
        <f t="shared" si="11"/>
        <v>0</v>
      </c>
      <c r="X734" s="19">
        <f t="shared" si="23"/>
        <v>0</v>
      </c>
    </row>
    <row r="735" ht="15.75" customHeight="1">
      <c r="Q735" s="15">
        <f t="shared" si="17"/>
        <v>0</v>
      </c>
      <c r="W735" s="22">
        <f t="shared" si="11"/>
        <v>0</v>
      </c>
      <c r="X735" s="19">
        <f t="shared" si="23"/>
        <v>0</v>
      </c>
    </row>
    <row r="736" ht="15.75" customHeight="1">
      <c r="Q736" s="15">
        <f t="shared" si="17"/>
        <v>0</v>
      </c>
      <c r="W736" s="22">
        <f t="shared" si="11"/>
        <v>0</v>
      </c>
      <c r="X736" s="19">
        <f t="shared" si="23"/>
        <v>0</v>
      </c>
    </row>
    <row r="737" ht="15.75" customHeight="1">
      <c r="Q737" s="15">
        <f t="shared" si="17"/>
        <v>0</v>
      </c>
      <c r="W737" s="22">
        <f t="shared" si="11"/>
        <v>0</v>
      </c>
      <c r="X737" s="19">
        <f t="shared" si="23"/>
        <v>0</v>
      </c>
    </row>
    <row r="738" ht="15.75" customHeight="1">
      <c r="Q738" s="15">
        <f t="shared" si="17"/>
        <v>0</v>
      </c>
      <c r="W738" s="22">
        <f t="shared" si="11"/>
        <v>0</v>
      </c>
      <c r="X738" s="19">
        <f t="shared" si="23"/>
        <v>0</v>
      </c>
    </row>
    <row r="739" ht="15.75" customHeight="1">
      <c r="Q739" s="15">
        <f t="shared" si="17"/>
        <v>0</v>
      </c>
      <c r="W739" s="22">
        <f t="shared" si="11"/>
        <v>0</v>
      </c>
      <c r="X739" s="19">
        <f t="shared" si="23"/>
        <v>0</v>
      </c>
    </row>
    <row r="740" ht="15.75" customHeight="1">
      <c r="Q740" s="15">
        <f t="shared" si="17"/>
        <v>0</v>
      </c>
      <c r="W740" s="22">
        <f t="shared" si="11"/>
        <v>0</v>
      </c>
      <c r="X740" s="19">
        <f t="shared" si="23"/>
        <v>0</v>
      </c>
    </row>
    <row r="741" ht="15.75" customHeight="1">
      <c r="Q741" s="15">
        <f t="shared" si="17"/>
        <v>0</v>
      </c>
      <c r="W741" s="22">
        <f t="shared" si="11"/>
        <v>0</v>
      </c>
      <c r="X741" s="19">
        <f t="shared" si="23"/>
        <v>0</v>
      </c>
    </row>
    <row r="742" ht="15.75" customHeight="1">
      <c r="Q742" s="15">
        <f t="shared" si="17"/>
        <v>0</v>
      </c>
      <c r="W742" s="22">
        <f t="shared" si="11"/>
        <v>0</v>
      </c>
      <c r="X742" s="19">
        <f t="shared" si="23"/>
        <v>0</v>
      </c>
    </row>
    <row r="743" ht="15.75" customHeight="1">
      <c r="Q743" s="15">
        <f t="shared" si="17"/>
        <v>0</v>
      </c>
      <c r="W743" s="22">
        <f t="shared" si="11"/>
        <v>0</v>
      </c>
      <c r="X743" s="19">
        <f t="shared" si="23"/>
        <v>0</v>
      </c>
    </row>
    <row r="744" ht="15.75" customHeight="1">
      <c r="Q744" s="15">
        <f t="shared" si="17"/>
        <v>0</v>
      </c>
      <c r="W744" s="22">
        <f t="shared" si="11"/>
        <v>0</v>
      </c>
      <c r="X744" s="19">
        <f t="shared" si="23"/>
        <v>0</v>
      </c>
    </row>
    <row r="745" ht="15.75" customHeight="1">
      <c r="Q745" s="15">
        <f t="shared" si="17"/>
        <v>0</v>
      </c>
      <c r="W745" s="22">
        <f t="shared" si="11"/>
        <v>0</v>
      </c>
      <c r="X745" s="19">
        <f t="shared" si="23"/>
        <v>0</v>
      </c>
    </row>
    <row r="746" ht="15.75" customHeight="1">
      <c r="Q746" s="15">
        <f t="shared" si="17"/>
        <v>0</v>
      </c>
      <c r="W746" s="22">
        <f t="shared" si="11"/>
        <v>0</v>
      </c>
      <c r="X746" s="19">
        <f t="shared" si="23"/>
        <v>0</v>
      </c>
    </row>
    <row r="747" ht="15.75" customHeight="1">
      <c r="Q747" s="15">
        <f t="shared" si="17"/>
        <v>0</v>
      </c>
      <c r="W747" s="22">
        <f t="shared" si="11"/>
        <v>0</v>
      </c>
      <c r="X747" s="19">
        <f t="shared" si="23"/>
        <v>0</v>
      </c>
    </row>
    <row r="748" ht="15.75" customHeight="1">
      <c r="Q748" s="15">
        <f t="shared" si="17"/>
        <v>0</v>
      </c>
      <c r="W748" s="22">
        <f t="shared" si="11"/>
        <v>0</v>
      </c>
      <c r="X748" s="19">
        <f t="shared" si="23"/>
        <v>0</v>
      </c>
    </row>
    <row r="749" ht="15.75" customHeight="1">
      <c r="Q749" s="15">
        <f t="shared" si="17"/>
        <v>0</v>
      </c>
      <c r="W749" s="22">
        <f t="shared" si="11"/>
        <v>0</v>
      </c>
      <c r="X749" s="19">
        <f t="shared" si="23"/>
        <v>0</v>
      </c>
    </row>
    <row r="750" ht="15.75" customHeight="1">
      <c r="Q750" s="15">
        <f t="shared" si="17"/>
        <v>0</v>
      </c>
      <c r="W750" s="22">
        <f t="shared" si="11"/>
        <v>0</v>
      </c>
      <c r="X750" s="19">
        <f t="shared" si="23"/>
        <v>0</v>
      </c>
    </row>
    <row r="751" ht="15.75" customHeight="1">
      <c r="Q751" s="15">
        <f t="shared" si="17"/>
        <v>0</v>
      </c>
      <c r="W751" s="22">
        <f t="shared" si="11"/>
        <v>0</v>
      </c>
      <c r="X751" s="19">
        <f t="shared" si="23"/>
        <v>0</v>
      </c>
    </row>
    <row r="752" ht="15.75" customHeight="1">
      <c r="Q752" s="15">
        <f t="shared" si="17"/>
        <v>0</v>
      </c>
      <c r="W752" s="22">
        <f t="shared" si="11"/>
        <v>0</v>
      </c>
      <c r="X752" s="19">
        <f t="shared" si="23"/>
        <v>0</v>
      </c>
    </row>
    <row r="753" ht="15.75" customHeight="1">
      <c r="Q753" s="15">
        <f t="shared" si="17"/>
        <v>0</v>
      </c>
      <c r="W753" s="22">
        <f t="shared" si="11"/>
        <v>0</v>
      </c>
      <c r="X753" s="19">
        <f t="shared" si="23"/>
        <v>0</v>
      </c>
    </row>
    <row r="754" ht="15.75" customHeight="1">
      <c r="Q754" s="15">
        <f t="shared" si="17"/>
        <v>0</v>
      </c>
      <c r="W754" s="22">
        <f t="shared" si="11"/>
        <v>0</v>
      </c>
      <c r="X754" s="19">
        <f t="shared" si="23"/>
        <v>0</v>
      </c>
    </row>
    <row r="755" ht="15.75" customHeight="1">
      <c r="Q755" s="15">
        <f t="shared" si="17"/>
        <v>0</v>
      </c>
      <c r="W755" s="22">
        <f t="shared" si="11"/>
        <v>0</v>
      </c>
      <c r="X755" s="19">
        <f t="shared" si="23"/>
        <v>0</v>
      </c>
    </row>
    <row r="756" ht="15.75" customHeight="1">
      <c r="Q756" s="15">
        <f t="shared" si="17"/>
        <v>0</v>
      </c>
      <c r="W756" s="22">
        <f t="shared" si="11"/>
        <v>0</v>
      </c>
      <c r="X756" s="19">
        <f t="shared" si="23"/>
        <v>0</v>
      </c>
    </row>
    <row r="757" ht="15.75" customHeight="1">
      <c r="Q757" s="15">
        <f t="shared" si="17"/>
        <v>0</v>
      </c>
      <c r="W757" s="22">
        <f t="shared" si="11"/>
        <v>0</v>
      </c>
      <c r="X757" s="19">
        <f t="shared" si="23"/>
        <v>0</v>
      </c>
    </row>
    <row r="758" ht="15.75" customHeight="1">
      <c r="Q758" s="15">
        <f t="shared" si="17"/>
        <v>0</v>
      </c>
      <c r="W758" s="22">
        <f t="shared" si="11"/>
        <v>0</v>
      </c>
      <c r="X758" s="19">
        <f t="shared" si="23"/>
        <v>0</v>
      </c>
    </row>
    <row r="759" ht="15.75" customHeight="1">
      <c r="Q759" s="15">
        <f t="shared" si="17"/>
        <v>0</v>
      </c>
      <c r="W759" s="22">
        <f t="shared" si="11"/>
        <v>0</v>
      </c>
      <c r="X759" s="19">
        <f t="shared" si="23"/>
        <v>0</v>
      </c>
    </row>
    <row r="760" ht="15.75" customHeight="1">
      <c r="Q760" s="15">
        <f t="shared" si="17"/>
        <v>0</v>
      </c>
      <c r="W760" s="22">
        <f t="shared" si="11"/>
        <v>0</v>
      </c>
      <c r="X760" s="19">
        <f t="shared" si="23"/>
        <v>0</v>
      </c>
    </row>
    <row r="761" ht="15.75" customHeight="1">
      <c r="Q761" s="15">
        <f t="shared" si="17"/>
        <v>0</v>
      </c>
      <c r="W761" s="22">
        <f t="shared" si="11"/>
        <v>0</v>
      </c>
      <c r="X761" s="19">
        <f t="shared" si="23"/>
        <v>0</v>
      </c>
    </row>
    <row r="762" ht="15.75" customHeight="1">
      <c r="Q762" s="15">
        <f t="shared" si="17"/>
        <v>0</v>
      </c>
      <c r="W762" s="22">
        <f t="shared" si="11"/>
        <v>0</v>
      </c>
      <c r="X762" s="19">
        <f t="shared" si="23"/>
        <v>0</v>
      </c>
    </row>
    <row r="763" ht="15.75" customHeight="1">
      <c r="Q763" s="15">
        <f t="shared" si="17"/>
        <v>0</v>
      </c>
      <c r="W763" s="22">
        <f t="shared" si="11"/>
        <v>0</v>
      </c>
      <c r="X763" s="19">
        <f t="shared" si="23"/>
        <v>0</v>
      </c>
    </row>
    <row r="764" ht="15.75" customHeight="1">
      <c r="Q764" s="15">
        <f t="shared" si="17"/>
        <v>0</v>
      </c>
      <c r="W764" s="22">
        <f t="shared" si="11"/>
        <v>0</v>
      </c>
      <c r="X764" s="19">
        <f t="shared" si="23"/>
        <v>0</v>
      </c>
    </row>
    <row r="765" ht="15.75" customHeight="1">
      <c r="Q765" s="15">
        <f t="shared" si="17"/>
        <v>0</v>
      </c>
      <c r="W765" s="22">
        <f t="shared" si="11"/>
        <v>0</v>
      </c>
      <c r="X765" s="19">
        <f t="shared" si="23"/>
        <v>0</v>
      </c>
    </row>
    <row r="766" ht="15.75" customHeight="1">
      <c r="Q766" s="15">
        <f t="shared" si="17"/>
        <v>0</v>
      </c>
      <c r="W766" s="22">
        <f t="shared" si="11"/>
        <v>0</v>
      </c>
      <c r="X766" s="19">
        <f t="shared" si="23"/>
        <v>0</v>
      </c>
    </row>
    <row r="767" ht="15.75" customHeight="1">
      <c r="Q767" s="15">
        <f t="shared" si="17"/>
        <v>0</v>
      </c>
      <c r="W767" s="22">
        <f t="shared" si="11"/>
        <v>0</v>
      </c>
      <c r="X767" s="19">
        <f t="shared" si="23"/>
        <v>0</v>
      </c>
    </row>
    <row r="768" ht="15.75" customHeight="1">
      <c r="Q768" s="15">
        <f t="shared" si="17"/>
        <v>0</v>
      </c>
      <c r="W768" s="22">
        <f t="shared" si="11"/>
        <v>0</v>
      </c>
      <c r="X768" s="19">
        <f t="shared" si="23"/>
        <v>0</v>
      </c>
    </row>
    <row r="769" ht="15.75" customHeight="1">
      <c r="Q769" s="15">
        <f t="shared" si="17"/>
        <v>0</v>
      </c>
      <c r="W769" s="22">
        <f t="shared" si="11"/>
        <v>0</v>
      </c>
      <c r="X769" s="19">
        <f t="shared" si="23"/>
        <v>0</v>
      </c>
    </row>
    <row r="770" ht="15.75" customHeight="1">
      <c r="Q770" s="15">
        <f t="shared" si="17"/>
        <v>0</v>
      </c>
      <c r="W770" s="22">
        <f t="shared" si="11"/>
        <v>0</v>
      </c>
      <c r="X770" s="19">
        <f t="shared" si="23"/>
        <v>0</v>
      </c>
    </row>
    <row r="771" ht="15.75" customHeight="1">
      <c r="Q771" s="15">
        <f t="shared" si="17"/>
        <v>0</v>
      </c>
      <c r="W771" s="22">
        <f t="shared" si="11"/>
        <v>0</v>
      </c>
      <c r="X771" s="19">
        <f t="shared" si="23"/>
        <v>0</v>
      </c>
    </row>
    <row r="772" ht="15.75" customHeight="1">
      <c r="Q772" s="15">
        <f t="shared" si="17"/>
        <v>0</v>
      </c>
      <c r="W772" s="22">
        <f t="shared" si="11"/>
        <v>0</v>
      </c>
      <c r="X772" s="19">
        <f t="shared" si="23"/>
        <v>0</v>
      </c>
    </row>
    <row r="773" ht="15.75" customHeight="1">
      <c r="Q773" s="15">
        <f t="shared" si="17"/>
        <v>0</v>
      </c>
      <c r="W773" s="22">
        <f t="shared" si="11"/>
        <v>0</v>
      </c>
      <c r="X773" s="19">
        <f t="shared" si="23"/>
        <v>0</v>
      </c>
    </row>
    <row r="774" ht="15.75" customHeight="1">
      <c r="Q774" s="15">
        <f t="shared" si="17"/>
        <v>0</v>
      </c>
      <c r="W774" s="22">
        <f t="shared" si="11"/>
        <v>0</v>
      </c>
      <c r="X774" s="19">
        <f t="shared" si="23"/>
        <v>0</v>
      </c>
    </row>
    <row r="775" ht="15.75" customHeight="1">
      <c r="Q775" s="15">
        <f t="shared" si="17"/>
        <v>0</v>
      </c>
      <c r="W775" s="22">
        <f t="shared" si="11"/>
        <v>0</v>
      </c>
      <c r="X775" s="19">
        <f t="shared" si="23"/>
        <v>0</v>
      </c>
    </row>
    <row r="776" ht="15.75" customHeight="1">
      <c r="Q776" s="15">
        <f t="shared" si="17"/>
        <v>0</v>
      </c>
      <c r="W776" s="22">
        <f t="shared" si="11"/>
        <v>0</v>
      </c>
      <c r="X776" s="19">
        <f t="shared" si="23"/>
        <v>0</v>
      </c>
    </row>
    <row r="777" ht="15.75" customHeight="1">
      <c r="Q777" s="15">
        <f t="shared" si="17"/>
        <v>0</v>
      </c>
      <c r="W777" s="22">
        <f t="shared" si="11"/>
        <v>0</v>
      </c>
      <c r="X777" s="19">
        <f t="shared" si="23"/>
        <v>0</v>
      </c>
    </row>
    <row r="778" ht="15.75" customHeight="1">
      <c r="Q778" s="15">
        <f t="shared" si="17"/>
        <v>0</v>
      </c>
      <c r="W778" s="22">
        <f t="shared" si="11"/>
        <v>0</v>
      </c>
      <c r="X778" s="19">
        <f t="shared" si="23"/>
        <v>0</v>
      </c>
    </row>
    <row r="779" ht="15.75" customHeight="1">
      <c r="Q779" s="15">
        <f t="shared" si="17"/>
        <v>0</v>
      </c>
      <c r="W779" s="22">
        <f t="shared" si="11"/>
        <v>0</v>
      </c>
      <c r="X779" s="19">
        <f t="shared" si="23"/>
        <v>0</v>
      </c>
    </row>
    <row r="780" ht="15.75" customHeight="1">
      <c r="Q780" s="15">
        <f t="shared" si="17"/>
        <v>0</v>
      </c>
      <c r="W780" s="22">
        <f t="shared" si="11"/>
        <v>0</v>
      </c>
      <c r="X780" s="19">
        <f t="shared" si="23"/>
        <v>0</v>
      </c>
    </row>
    <row r="781" ht="15.75" customHeight="1">
      <c r="Q781" s="15">
        <f t="shared" si="17"/>
        <v>0</v>
      </c>
      <c r="W781" s="22">
        <f t="shared" si="11"/>
        <v>0</v>
      </c>
      <c r="X781" s="19">
        <f t="shared" si="23"/>
        <v>0</v>
      </c>
    </row>
    <row r="782" ht="15.75" customHeight="1">
      <c r="Q782" s="15">
        <f t="shared" si="17"/>
        <v>0</v>
      </c>
      <c r="W782" s="22">
        <f t="shared" si="11"/>
        <v>0</v>
      </c>
      <c r="X782" s="19">
        <f t="shared" si="23"/>
        <v>0</v>
      </c>
    </row>
    <row r="783" ht="15.75" customHeight="1">
      <c r="Q783" s="15">
        <f t="shared" si="17"/>
        <v>0</v>
      </c>
      <c r="W783" s="22">
        <f t="shared" si="11"/>
        <v>0</v>
      </c>
      <c r="X783" s="19">
        <f t="shared" si="23"/>
        <v>0</v>
      </c>
    </row>
    <row r="784" ht="15.75" customHeight="1">
      <c r="Q784" s="15">
        <f t="shared" si="17"/>
        <v>0</v>
      </c>
      <c r="W784" s="22">
        <f t="shared" si="11"/>
        <v>0</v>
      </c>
      <c r="X784" s="19">
        <f t="shared" si="23"/>
        <v>0</v>
      </c>
    </row>
    <row r="785" ht="15.75" customHeight="1">
      <c r="Q785" s="15">
        <f t="shared" si="17"/>
        <v>0</v>
      </c>
      <c r="W785" s="22">
        <f t="shared" si="11"/>
        <v>0</v>
      </c>
      <c r="X785" s="19">
        <f t="shared" si="23"/>
        <v>0</v>
      </c>
    </row>
    <row r="786" ht="15.75" customHeight="1">
      <c r="Q786" s="15">
        <f t="shared" si="17"/>
        <v>0</v>
      </c>
      <c r="W786" s="22">
        <f t="shared" si="11"/>
        <v>0</v>
      </c>
      <c r="X786" s="19">
        <f t="shared" si="23"/>
        <v>0</v>
      </c>
    </row>
    <row r="787" ht="15.75" customHeight="1">
      <c r="Q787" s="15">
        <f t="shared" si="17"/>
        <v>0</v>
      </c>
      <c r="W787" s="22">
        <f t="shared" si="11"/>
        <v>0</v>
      </c>
      <c r="X787" s="19">
        <f t="shared" si="23"/>
        <v>0</v>
      </c>
    </row>
    <row r="788" ht="15.75" customHeight="1">
      <c r="Q788" s="15">
        <f t="shared" si="17"/>
        <v>0</v>
      </c>
      <c r="W788" s="22">
        <f t="shared" si="11"/>
        <v>0</v>
      </c>
      <c r="X788" s="19">
        <f t="shared" si="23"/>
        <v>0</v>
      </c>
    </row>
    <row r="789" ht="15.75" customHeight="1">
      <c r="Q789" s="15">
        <f t="shared" si="17"/>
        <v>0</v>
      </c>
      <c r="W789" s="22">
        <f t="shared" si="11"/>
        <v>0</v>
      </c>
      <c r="X789" s="19">
        <f t="shared" si="23"/>
        <v>0</v>
      </c>
    </row>
    <row r="790" ht="15.75" customHeight="1">
      <c r="Q790" s="15">
        <f t="shared" si="17"/>
        <v>0</v>
      </c>
      <c r="W790" s="22">
        <f t="shared" si="11"/>
        <v>0</v>
      </c>
      <c r="X790" s="19">
        <f t="shared" si="23"/>
        <v>0</v>
      </c>
    </row>
    <row r="791" ht="15.75" customHeight="1">
      <c r="Q791" s="15">
        <f t="shared" si="17"/>
        <v>0</v>
      </c>
      <c r="W791" s="22">
        <f t="shared" si="11"/>
        <v>0</v>
      </c>
      <c r="X791" s="19">
        <f t="shared" si="23"/>
        <v>0</v>
      </c>
    </row>
    <row r="792" ht="15.75" customHeight="1">
      <c r="Q792" s="15">
        <f t="shared" si="17"/>
        <v>0</v>
      </c>
      <c r="W792" s="22">
        <f t="shared" si="11"/>
        <v>0</v>
      </c>
      <c r="X792" s="19">
        <f t="shared" si="23"/>
        <v>0</v>
      </c>
    </row>
    <row r="793" ht="15.75" customHeight="1">
      <c r="Q793" s="15">
        <f t="shared" si="17"/>
        <v>0</v>
      </c>
      <c r="W793" s="22">
        <f t="shared" si="11"/>
        <v>0</v>
      </c>
      <c r="X793" s="19">
        <f t="shared" si="23"/>
        <v>0</v>
      </c>
    </row>
    <row r="794" ht="15.75" customHeight="1">
      <c r="Q794" s="15">
        <f t="shared" si="17"/>
        <v>0</v>
      </c>
      <c r="W794" s="22">
        <f t="shared" si="11"/>
        <v>0</v>
      </c>
      <c r="X794" s="19">
        <f t="shared" si="23"/>
        <v>0</v>
      </c>
    </row>
    <row r="795" ht="15.75" customHeight="1">
      <c r="Q795" s="15">
        <f t="shared" si="17"/>
        <v>0</v>
      </c>
      <c r="W795" s="22">
        <f t="shared" si="11"/>
        <v>0</v>
      </c>
      <c r="X795" s="19">
        <f t="shared" si="23"/>
        <v>0</v>
      </c>
    </row>
    <row r="796" ht="15.75" customHeight="1">
      <c r="Q796" s="15">
        <f t="shared" si="17"/>
        <v>0</v>
      </c>
      <c r="W796" s="22">
        <f t="shared" si="11"/>
        <v>0</v>
      </c>
      <c r="X796" s="19">
        <f t="shared" si="23"/>
        <v>0</v>
      </c>
    </row>
    <row r="797" ht="15.75" customHeight="1">
      <c r="Q797" s="15">
        <f t="shared" si="17"/>
        <v>0</v>
      </c>
      <c r="W797" s="22">
        <f t="shared" si="11"/>
        <v>0</v>
      </c>
      <c r="X797" s="19">
        <f t="shared" si="23"/>
        <v>0</v>
      </c>
    </row>
    <row r="798" ht="15.75" customHeight="1">
      <c r="Q798" s="15">
        <f t="shared" si="17"/>
        <v>0</v>
      </c>
      <c r="W798" s="22">
        <f t="shared" si="11"/>
        <v>0</v>
      </c>
      <c r="X798" s="19">
        <f t="shared" si="23"/>
        <v>0</v>
      </c>
    </row>
    <row r="799" ht="15.75" customHeight="1">
      <c r="Q799" s="15">
        <f t="shared" si="17"/>
        <v>0</v>
      </c>
      <c r="W799" s="22">
        <f t="shared" si="11"/>
        <v>0</v>
      </c>
      <c r="X799" s="19">
        <f t="shared" si="23"/>
        <v>0</v>
      </c>
    </row>
    <row r="800" ht="15.75" customHeight="1">
      <c r="Q800" s="15">
        <f t="shared" si="17"/>
        <v>0</v>
      </c>
      <c r="W800" s="22">
        <f t="shared" si="11"/>
        <v>0</v>
      </c>
      <c r="X800" s="19">
        <f t="shared" si="23"/>
        <v>0</v>
      </c>
    </row>
    <row r="801" ht="15.75" customHeight="1">
      <c r="Q801" s="15">
        <f t="shared" si="17"/>
        <v>0</v>
      </c>
      <c r="W801" s="22">
        <f t="shared" si="11"/>
        <v>0</v>
      </c>
      <c r="X801" s="19">
        <f t="shared" si="23"/>
        <v>0</v>
      </c>
    </row>
    <row r="802" ht="15.75" customHeight="1">
      <c r="Q802" s="15">
        <f t="shared" si="17"/>
        <v>0</v>
      </c>
      <c r="W802" s="22">
        <f t="shared" si="11"/>
        <v>0</v>
      </c>
      <c r="X802" s="19">
        <f t="shared" si="23"/>
        <v>0</v>
      </c>
    </row>
    <row r="803" ht="15.75" customHeight="1">
      <c r="Q803" s="15">
        <f t="shared" si="17"/>
        <v>0</v>
      </c>
      <c r="W803" s="22">
        <f t="shared" si="11"/>
        <v>0</v>
      </c>
      <c r="X803" s="19">
        <f t="shared" si="23"/>
        <v>0</v>
      </c>
    </row>
    <row r="804" ht="15.75" customHeight="1">
      <c r="Q804" s="15">
        <f t="shared" si="17"/>
        <v>0</v>
      </c>
      <c r="W804" s="22">
        <f t="shared" si="11"/>
        <v>0</v>
      </c>
      <c r="X804" s="19">
        <f t="shared" si="23"/>
        <v>0</v>
      </c>
    </row>
    <row r="805" ht="15.75" customHeight="1">
      <c r="Q805" s="15">
        <f t="shared" si="17"/>
        <v>0</v>
      </c>
      <c r="W805" s="22">
        <f t="shared" si="11"/>
        <v>0</v>
      </c>
      <c r="X805" s="19">
        <f t="shared" si="23"/>
        <v>0</v>
      </c>
    </row>
    <row r="806" ht="15.75" customHeight="1">
      <c r="Q806" s="15">
        <f t="shared" si="17"/>
        <v>0</v>
      </c>
      <c r="W806" s="22">
        <f t="shared" si="11"/>
        <v>0</v>
      </c>
      <c r="X806" s="19">
        <f t="shared" si="23"/>
        <v>0</v>
      </c>
    </row>
    <row r="807" ht="15.75" customHeight="1">
      <c r="Q807" s="15">
        <f t="shared" si="17"/>
        <v>0</v>
      </c>
      <c r="W807" s="22">
        <f t="shared" si="11"/>
        <v>0</v>
      </c>
      <c r="X807" s="19">
        <f t="shared" si="23"/>
        <v>0</v>
      </c>
    </row>
    <row r="808" ht="15.75" customHeight="1">
      <c r="Q808" s="15">
        <f t="shared" si="17"/>
        <v>0</v>
      </c>
      <c r="W808" s="22">
        <f t="shared" si="11"/>
        <v>0</v>
      </c>
      <c r="X808" s="19">
        <f t="shared" si="23"/>
        <v>0</v>
      </c>
    </row>
    <row r="809" ht="15.75" customHeight="1">
      <c r="Q809" s="15">
        <f t="shared" si="17"/>
        <v>0</v>
      </c>
      <c r="W809" s="22">
        <f t="shared" si="11"/>
        <v>0</v>
      </c>
      <c r="X809" s="19">
        <f t="shared" si="23"/>
        <v>0</v>
      </c>
    </row>
    <row r="810" ht="15.75" customHeight="1">
      <c r="Q810" s="15">
        <f t="shared" si="17"/>
        <v>0</v>
      </c>
      <c r="W810" s="22">
        <f t="shared" si="11"/>
        <v>0</v>
      </c>
      <c r="X810" s="19">
        <f t="shared" si="23"/>
        <v>0</v>
      </c>
    </row>
    <row r="811" ht="15.75" customHeight="1">
      <c r="Q811" s="15">
        <f t="shared" si="17"/>
        <v>0</v>
      </c>
      <c r="W811" s="22">
        <f t="shared" si="11"/>
        <v>0</v>
      </c>
      <c r="X811" s="19">
        <f t="shared" si="23"/>
        <v>0</v>
      </c>
    </row>
    <row r="812" ht="15.75" customHeight="1">
      <c r="Q812" s="15">
        <f t="shared" si="17"/>
        <v>0</v>
      </c>
      <c r="W812" s="22">
        <f t="shared" si="11"/>
        <v>0</v>
      </c>
      <c r="X812" s="19">
        <f t="shared" si="23"/>
        <v>0</v>
      </c>
    </row>
    <row r="813" ht="15.75" customHeight="1">
      <c r="Q813" s="15">
        <f t="shared" si="17"/>
        <v>0</v>
      </c>
      <c r="W813" s="22">
        <f t="shared" si="11"/>
        <v>0</v>
      </c>
      <c r="X813" s="19">
        <f t="shared" si="23"/>
        <v>0</v>
      </c>
    </row>
    <row r="814" ht="15.75" customHeight="1">
      <c r="Q814" s="15">
        <f t="shared" si="17"/>
        <v>0</v>
      </c>
      <c r="W814" s="22">
        <f t="shared" si="11"/>
        <v>0</v>
      </c>
      <c r="X814" s="19">
        <f t="shared" si="23"/>
        <v>0</v>
      </c>
    </row>
    <row r="815" ht="15.75" customHeight="1">
      <c r="Q815" s="15">
        <f t="shared" si="17"/>
        <v>0</v>
      </c>
      <c r="W815" s="22">
        <f t="shared" si="11"/>
        <v>0</v>
      </c>
      <c r="X815" s="19">
        <f t="shared" si="23"/>
        <v>0</v>
      </c>
    </row>
    <row r="816" ht="15.75" customHeight="1">
      <c r="Q816" s="15">
        <f t="shared" si="17"/>
        <v>0</v>
      </c>
      <c r="W816" s="22">
        <f t="shared" si="11"/>
        <v>0</v>
      </c>
      <c r="X816" s="19">
        <f t="shared" si="23"/>
        <v>0</v>
      </c>
    </row>
    <row r="817" ht="15.75" customHeight="1">
      <c r="Q817" s="15">
        <f t="shared" si="17"/>
        <v>0</v>
      </c>
      <c r="W817" s="22">
        <f t="shared" si="11"/>
        <v>0</v>
      </c>
      <c r="X817" s="19">
        <f t="shared" si="23"/>
        <v>0</v>
      </c>
    </row>
    <row r="818" ht="15.75" customHeight="1">
      <c r="Q818" s="15">
        <f t="shared" si="17"/>
        <v>0</v>
      </c>
      <c r="W818" s="22">
        <f t="shared" si="11"/>
        <v>0</v>
      </c>
      <c r="X818" s="19">
        <f t="shared" si="23"/>
        <v>0</v>
      </c>
    </row>
    <row r="819" ht="15.75" customHeight="1">
      <c r="Q819" s="15">
        <f t="shared" si="17"/>
        <v>0</v>
      </c>
      <c r="W819" s="22">
        <f t="shared" si="11"/>
        <v>0</v>
      </c>
      <c r="X819" s="19">
        <f t="shared" si="23"/>
        <v>0</v>
      </c>
    </row>
    <row r="820" ht="15.75" customHeight="1">
      <c r="Q820" s="15">
        <f t="shared" si="17"/>
        <v>0</v>
      </c>
      <c r="W820" s="22">
        <f t="shared" si="11"/>
        <v>0</v>
      </c>
      <c r="X820" s="19">
        <f t="shared" si="23"/>
        <v>0</v>
      </c>
    </row>
    <row r="821" ht="15.75" customHeight="1">
      <c r="Q821" s="15">
        <f t="shared" si="17"/>
        <v>0</v>
      </c>
      <c r="W821" s="22">
        <f t="shared" si="11"/>
        <v>0</v>
      </c>
      <c r="X821" s="19">
        <f t="shared" si="23"/>
        <v>0</v>
      </c>
    </row>
    <row r="822" ht="15.75" customHeight="1">
      <c r="Q822" s="15">
        <f t="shared" si="17"/>
        <v>0</v>
      </c>
      <c r="W822" s="22">
        <f t="shared" si="11"/>
        <v>0</v>
      </c>
      <c r="X822" s="19">
        <f t="shared" si="23"/>
        <v>0</v>
      </c>
    </row>
    <row r="823" ht="15.75" customHeight="1">
      <c r="Q823" s="15">
        <f t="shared" si="17"/>
        <v>0</v>
      </c>
      <c r="W823" s="22">
        <f t="shared" si="11"/>
        <v>0</v>
      </c>
      <c r="X823" s="19">
        <f t="shared" si="23"/>
        <v>0</v>
      </c>
    </row>
    <row r="824" ht="15.75" customHeight="1">
      <c r="Q824" s="15">
        <f t="shared" si="17"/>
        <v>0</v>
      </c>
      <c r="W824" s="22">
        <f t="shared" si="11"/>
        <v>0</v>
      </c>
      <c r="X824" s="19">
        <f t="shared" si="23"/>
        <v>0</v>
      </c>
    </row>
    <row r="825" ht="15.75" customHeight="1">
      <c r="Q825" s="15">
        <f t="shared" si="17"/>
        <v>0</v>
      </c>
      <c r="W825" s="22">
        <f t="shared" si="11"/>
        <v>0</v>
      </c>
      <c r="X825" s="19">
        <f t="shared" si="23"/>
        <v>0</v>
      </c>
    </row>
    <row r="826" ht="15.75" customHeight="1">
      <c r="Q826" s="15">
        <f t="shared" si="17"/>
        <v>0</v>
      </c>
      <c r="W826" s="22">
        <f t="shared" si="11"/>
        <v>0</v>
      </c>
      <c r="X826" s="19">
        <f t="shared" si="23"/>
        <v>0</v>
      </c>
    </row>
    <row r="827" ht="15.75" customHeight="1">
      <c r="Q827" s="15">
        <f t="shared" si="17"/>
        <v>0</v>
      </c>
      <c r="W827" s="22">
        <f t="shared" si="11"/>
        <v>0</v>
      </c>
      <c r="X827" s="19">
        <f t="shared" si="23"/>
        <v>0</v>
      </c>
    </row>
    <row r="828" ht="15.75" customHeight="1">
      <c r="Q828" s="15">
        <f t="shared" si="17"/>
        <v>0</v>
      </c>
      <c r="W828" s="22">
        <f t="shared" si="11"/>
        <v>0</v>
      </c>
      <c r="X828" s="19">
        <f t="shared" si="23"/>
        <v>0</v>
      </c>
    </row>
    <row r="829" ht="15.75" customHeight="1">
      <c r="Q829" s="15">
        <f t="shared" si="17"/>
        <v>0</v>
      </c>
      <c r="W829" s="22">
        <f t="shared" si="11"/>
        <v>0</v>
      </c>
      <c r="X829" s="19">
        <f t="shared" si="23"/>
        <v>0</v>
      </c>
    </row>
    <row r="830" ht="15.75" customHeight="1">
      <c r="Q830" s="15">
        <f t="shared" si="17"/>
        <v>0</v>
      </c>
      <c r="W830" s="22">
        <f t="shared" si="11"/>
        <v>0</v>
      </c>
      <c r="X830" s="19">
        <f t="shared" si="23"/>
        <v>0</v>
      </c>
    </row>
    <row r="831" ht="15.75" customHeight="1">
      <c r="Q831" s="15">
        <f t="shared" si="17"/>
        <v>0</v>
      </c>
      <c r="W831" s="22">
        <f t="shared" si="11"/>
        <v>0</v>
      </c>
      <c r="X831" s="19">
        <f t="shared" si="23"/>
        <v>0</v>
      </c>
    </row>
    <row r="832" ht="15.75" customHeight="1">
      <c r="Q832" s="15">
        <f t="shared" si="17"/>
        <v>0</v>
      </c>
      <c r="W832" s="22">
        <f t="shared" si="11"/>
        <v>0</v>
      </c>
      <c r="X832" s="19">
        <f t="shared" si="23"/>
        <v>0</v>
      </c>
    </row>
    <row r="833" ht="15.75" customHeight="1">
      <c r="Q833" s="15">
        <f t="shared" si="17"/>
        <v>0</v>
      </c>
      <c r="W833" s="22">
        <f t="shared" si="11"/>
        <v>0</v>
      </c>
      <c r="X833" s="19">
        <f t="shared" si="23"/>
        <v>0</v>
      </c>
    </row>
    <row r="834" ht="15.75" customHeight="1">
      <c r="Q834" s="15">
        <f t="shared" si="17"/>
        <v>0</v>
      </c>
      <c r="W834" s="22">
        <f t="shared" si="11"/>
        <v>0</v>
      </c>
      <c r="X834" s="19">
        <f t="shared" si="23"/>
        <v>0</v>
      </c>
    </row>
    <row r="835" ht="15.75" customHeight="1">
      <c r="Q835" s="15">
        <f t="shared" si="17"/>
        <v>0</v>
      </c>
      <c r="W835" s="22">
        <f t="shared" si="11"/>
        <v>0</v>
      </c>
      <c r="X835" s="19">
        <f t="shared" si="23"/>
        <v>0</v>
      </c>
    </row>
    <row r="836" ht="15.75" customHeight="1">
      <c r="Q836" s="15">
        <f t="shared" si="17"/>
        <v>0</v>
      </c>
      <c r="W836" s="22">
        <f t="shared" si="11"/>
        <v>0</v>
      </c>
      <c r="X836" s="19">
        <f t="shared" si="23"/>
        <v>0</v>
      </c>
    </row>
    <row r="837" ht="15.75" customHeight="1">
      <c r="Q837" s="15">
        <f t="shared" si="17"/>
        <v>0</v>
      </c>
      <c r="W837" s="22">
        <f t="shared" si="11"/>
        <v>0</v>
      </c>
      <c r="X837" s="19">
        <f t="shared" si="23"/>
        <v>0</v>
      </c>
    </row>
    <row r="838" ht="15.75" customHeight="1">
      <c r="Q838" s="15">
        <f t="shared" si="17"/>
        <v>0</v>
      </c>
      <c r="W838" s="22">
        <f t="shared" si="11"/>
        <v>0</v>
      </c>
      <c r="X838" s="19">
        <f t="shared" si="23"/>
        <v>0</v>
      </c>
    </row>
    <row r="839" ht="15.75" customHeight="1">
      <c r="Q839" s="15">
        <f t="shared" si="17"/>
        <v>0</v>
      </c>
      <c r="W839" s="22">
        <f t="shared" si="11"/>
        <v>0</v>
      </c>
      <c r="X839" s="19">
        <f t="shared" si="23"/>
        <v>0</v>
      </c>
    </row>
    <row r="840" ht="15.75" customHeight="1">
      <c r="Q840" s="15">
        <f t="shared" si="17"/>
        <v>0</v>
      </c>
      <c r="W840" s="22">
        <f t="shared" si="11"/>
        <v>0</v>
      </c>
      <c r="X840" s="19">
        <f t="shared" si="23"/>
        <v>0</v>
      </c>
    </row>
    <row r="841" ht="15.75" customHeight="1">
      <c r="Q841" s="15">
        <f t="shared" si="17"/>
        <v>0</v>
      </c>
      <c r="W841" s="22">
        <f t="shared" si="11"/>
        <v>0</v>
      </c>
      <c r="X841" s="19">
        <f t="shared" si="23"/>
        <v>0</v>
      </c>
    </row>
    <row r="842" ht="15.75" customHeight="1">
      <c r="Q842" s="15">
        <f t="shared" si="17"/>
        <v>0</v>
      </c>
      <c r="W842" s="22">
        <f t="shared" si="11"/>
        <v>0</v>
      </c>
      <c r="X842" s="19">
        <f t="shared" si="23"/>
        <v>0</v>
      </c>
    </row>
    <row r="843" ht="15.75" customHeight="1">
      <c r="Q843" s="15">
        <f t="shared" si="17"/>
        <v>0</v>
      </c>
      <c r="W843" s="22">
        <f t="shared" si="11"/>
        <v>0</v>
      </c>
      <c r="X843" s="19">
        <f t="shared" si="23"/>
        <v>0</v>
      </c>
    </row>
    <row r="844" ht="15.75" customHeight="1">
      <c r="Q844" s="15">
        <f t="shared" si="17"/>
        <v>0</v>
      </c>
      <c r="W844" s="22">
        <f t="shared" si="11"/>
        <v>0</v>
      </c>
      <c r="X844" s="19">
        <f t="shared" si="23"/>
        <v>0</v>
      </c>
    </row>
    <row r="845" ht="15.75" customHeight="1">
      <c r="Q845" s="15">
        <f t="shared" si="17"/>
        <v>0</v>
      </c>
      <c r="W845" s="22">
        <f t="shared" si="11"/>
        <v>0</v>
      </c>
      <c r="X845" s="19">
        <f t="shared" si="23"/>
        <v>0</v>
      </c>
    </row>
    <row r="846" ht="15.75" customHeight="1">
      <c r="Q846" s="15">
        <f t="shared" si="17"/>
        <v>0</v>
      </c>
      <c r="W846" s="22">
        <f t="shared" si="11"/>
        <v>0</v>
      </c>
      <c r="X846" s="19">
        <f t="shared" si="23"/>
        <v>0</v>
      </c>
    </row>
    <row r="847" ht="15.75" customHeight="1">
      <c r="Q847" s="15">
        <f t="shared" si="17"/>
        <v>0</v>
      </c>
      <c r="W847" s="22">
        <f t="shared" si="11"/>
        <v>0</v>
      </c>
      <c r="X847" s="19">
        <f t="shared" si="23"/>
        <v>0</v>
      </c>
    </row>
    <row r="848" ht="15.75" customHeight="1">
      <c r="Q848" s="15">
        <f t="shared" si="17"/>
        <v>0</v>
      </c>
      <c r="W848" s="22">
        <f t="shared" si="11"/>
        <v>0</v>
      </c>
      <c r="X848" s="19">
        <f t="shared" si="23"/>
        <v>0</v>
      </c>
    </row>
    <row r="849" ht="15.75" customHeight="1">
      <c r="Q849" s="15">
        <f t="shared" si="17"/>
        <v>0</v>
      </c>
      <c r="W849" s="22">
        <f t="shared" si="11"/>
        <v>0</v>
      </c>
      <c r="X849" s="19">
        <f t="shared" si="23"/>
        <v>0</v>
      </c>
    </row>
    <row r="850" ht="15.75" customHeight="1">
      <c r="Q850" s="15">
        <f t="shared" si="17"/>
        <v>0</v>
      </c>
      <c r="W850" s="22">
        <f t="shared" si="11"/>
        <v>0</v>
      </c>
      <c r="X850" s="19">
        <f t="shared" si="23"/>
        <v>0</v>
      </c>
    </row>
    <row r="851" ht="15.75" customHeight="1">
      <c r="Q851" s="15">
        <f t="shared" si="17"/>
        <v>0</v>
      </c>
      <c r="W851" s="22">
        <f t="shared" si="11"/>
        <v>0</v>
      </c>
      <c r="X851" s="19">
        <f t="shared" si="23"/>
        <v>0</v>
      </c>
    </row>
    <row r="852" ht="15.75" customHeight="1">
      <c r="Q852" s="15">
        <f t="shared" si="17"/>
        <v>0</v>
      </c>
      <c r="W852" s="22">
        <f t="shared" si="11"/>
        <v>0</v>
      </c>
      <c r="X852" s="19">
        <f t="shared" si="23"/>
        <v>0</v>
      </c>
    </row>
    <row r="853" ht="15.75" customHeight="1">
      <c r="Q853" s="15">
        <f t="shared" si="17"/>
        <v>0</v>
      </c>
      <c r="W853" s="22">
        <f t="shared" si="11"/>
        <v>0</v>
      </c>
      <c r="X853" s="19">
        <f t="shared" si="23"/>
        <v>0</v>
      </c>
    </row>
    <row r="854" ht="15.75" customHeight="1">
      <c r="Q854" s="15">
        <f t="shared" si="17"/>
        <v>0</v>
      </c>
      <c r="W854" s="22">
        <f t="shared" si="11"/>
        <v>0</v>
      </c>
      <c r="X854" s="19">
        <f t="shared" si="23"/>
        <v>0</v>
      </c>
    </row>
    <row r="855" ht="15.75" customHeight="1">
      <c r="Q855" s="15">
        <f t="shared" si="17"/>
        <v>0</v>
      </c>
      <c r="W855" s="22">
        <f t="shared" si="11"/>
        <v>0</v>
      </c>
      <c r="X855" s="19">
        <f t="shared" si="23"/>
        <v>0</v>
      </c>
    </row>
    <row r="856" ht="15.75" customHeight="1">
      <c r="Q856" s="15">
        <f t="shared" si="17"/>
        <v>0</v>
      </c>
      <c r="W856" s="22">
        <f t="shared" si="11"/>
        <v>0</v>
      </c>
      <c r="X856" s="19">
        <f t="shared" si="23"/>
        <v>0</v>
      </c>
    </row>
    <row r="857" ht="15.75" customHeight="1">
      <c r="Q857" s="15">
        <f t="shared" si="17"/>
        <v>0</v>
      </c>
      <c r="W857" s="22">
        <f t="shared" si="11"/>
        <v>0</v>
      </c>
      <c r="X857" s="19">
        <f t="shared" si="23"/>
        <v>0</v>
      </c>
    </row>
    <row r="858" ht="15.75" customHeight="1">
      <c r="Q858" s="15">
        <f t="shared" si="17"/>
        <v>0</v>
      </c>
      <c r="W858" s="22">
        <f t="shared" si="11"/>
        <v>0</v>
      </c>
      <c r="X858" s="19">
        <f t="shared" si="23"/>
        <v>0</v>
      </c>
    </row>
    <row r="859" ht="15.75" customHeight="1">
      <c r="Q859" s="15">
        <f t="shared" si="17"/>
        <v>0</v>
      </c>
      <c r="W859" s="22">
        <f t="shared" si="11"/>
        <v>0</v>
      </c>
      <c r="X859" s="19">
        <f t="shared" si="23"/>
        <v>0</v>
      </c>
    </row>
    <row r="860" ht="15.75" customHeight="1">
      <c r="Q860" s="15">
        <f t="shared" si="17"/>
        <v>0</v>
      </c>
      <c r="W860" s="22">
        <f t="shared" si="11"/>
        <v>0</v>
      </c>
      <c r="X860" s="19">
        <f t="shared" si="23"/>
        <v>0</v>
      </c>
    </row>
    <row r="861" ht="15.75" customHeight="1">
      <c r="Q861" s="15">
        <f t="shared" si="17"/>
        <v>0</v>
      </c>
      <c r="W861" s="22">
        <f t="shared" si="11"/>
        <v>0</v>
      </c>
      <c r="X861" s="19">
        <f t="shared" si="23"/>
        <v>0</v>
      </c>
    </row>
    <row r="862" ht="15.75" customHeight="1">
      <c r="Q862" s="15">
        <f t="shared" si="17"/>
        <v>0</v>
      </c>
      <c r="W862" s="22">
        <f t="shared" si="11"/>
        <v>0</v>
      </c>
      <c r="X862" s="19">
        <f t="shared" si="23"/>
        <v>0</v>
      </c>
    </row>
    <row r="863" ht="15.75" customHeight="1">
      <c r="Q863" s="15">
        <f t="shared" si="17"/>
        <v>0</v>
      </c>
      <c r="W863" s="22">
        <f t="shared" si="11"/>
        <v>0</v>
      </c>
      <c r="X863" s="19">
        <f t="shared" si="23"/>
        <v>0</v>
      </c>
    </row>
    <row r="864" ht="15.75" customHeight="1">
      <c r="Q864" s="15">
        <f t="shared" si="17"/>
        <v>0</v>
      </c>
      <c r="W864" s="22">
        <f t="shared" si="11"/>
        <v>0</v>
      </c>
      <c r="X864" s="19">
        <f t="shared" si="23"/>
        <v>0</v>
      </c>
    </row>
    <row r="865" ht="15.75" customHeight="1">
      <c r="Q865" s="15">
        <f t="shared" si="17"/>
        <v>0</v>
      </c>
      <c r="W865" s="22">
        <f t="shared" si="11"/>
        <v>0</v>
      </c>
      <c r="X865" s="19">
        <f t="shared" si="23"/>
        <v>0</v>
      </c>
    </row>
    <row r="866" ht="15.75" customHeight="1">
      <c r="Q866" s="15">
        <f t="shared" si="17"/>
        <v>0</v>
      </c>
      <c r="W866" s="22">
        <f t="shared" si="11"/>
        <v>0</v>
      </c>
      <c r="X866" s="19">
        <f t="shared" si="23"/>
        <v>0</v>
      </c>
    </row>
    <row r="867" ht="15.75" customHeight="1">
      <c r="Q867" s="15">
        <f t="shared" si="17"/>
        <v>0</v>
      </c>
      <c r="W867" s="22">
        <f t="shared" si="11"/>
        <v>0</v>
      </c>
      <c r="X867" s="19">
        <f t="shared" si="23"/>
        <v>0</v>
      </c>
    </row>
    <row r="868" ht="15.75" customHeight="1">
      <c r="Q868" s="15">
        <f t="shared" si="17"/>
        <v>0</v>
      </c>
      <c r="W868" s="22">
        <f t="shared" si="11"/>
        <v>0</v>
      </c>
      <c r="X868" s="19">
        <f t="shared" si="23"/>
        <v>0</v>
      </c>
    </row>
    <row r="869" ht="15.75" customHeight="1">
      <c r="Q869" s="15">
        <f t="shared" si="17"/>
        <v>0</v>
      </c>
      <c r="W869" s="22">
        <f t="shared" si="11"/>
        <v>0</v>
      </c>
      <c r="X869" s="19">
        <f t="shared" si="23"/>
        <v>0</v>
      </c>
    </row>
    <row r="870" ht="15.75" customHeight="1">
      <c r="Q870" s="15">
        <f t="shared" si="17"/>
        <v>0</v>
      </c>
      <c r="W870" s="22">
        <f t="shared" si="11"/>
        <v>0</v>
      </c>
      <c r="X870" s="19">
        <f t="shared" si="23"/>
        <v>0</v>
      </c>
    </row>
    <row r="871" ht="15.75" customHeight="1">
      <c r="Q871" s="15">
        <f t="shared" si="17"/>
        <v>0</v>
      </c>
      <c r="W871" s="22">
        <f t="shared" si="11"/>
        <v>0</v>
      </c>
      <c r="X871" s="19">
        <f t="shared" si="23"/>
        <v>0</v>
      </c>
    </row>
    <row r="872" ht="15.75" customHeight="1">
      <c r="Q872" s="15">
        <f t="shared" si="17"/>
        <v>0</v>
      </c>
      <c r="W872" s="22">
        <f t="shared" si="11"/>
        <v>0</v>
      </c>
      <c r="X872" s="19">
        <f t="shared" si="23"/>
        <v>0</v>
      </c>
    </row>
    <row r="873" ht="15.75" customHeight="1">
      <c r="Q873" s="15">
        <f t="shared" si="17"/>
        <v>0</v>
      </c>
      <c r="W873" s="22">
        <f t="shared" si="11"/>
        <v>0</v>
      </c>
      <c r="X873" s="19">
        <f t="shared" si="23"/>
        <v>0</v>
      </c>
    </row>
    <row r="874" ht="15.75" customHeight="1">
      <c r="Q874" s="15">
        <f t="shared" si="17"/>
        <v>0</v>
      </c>
      <c r="W874" s="22">
        <f t="shared" si="11"/>
        <v>0</v>
      </c>
      <c r="X874" s="19">
        <f t="shared" si="23"/>
        <v>0</v>
      </c>
    </row>
    <row r="875" ht="15.75" customHeight="1">
      <c r="Q875" s="15">
        <f t="shared" si="17"/>
        <v>0</v>
      </c>
      <c r="W875" s="22">
        <f t="shared" si="11"/>
        <v>0</v>
      </c>
      <c r="X875" s="19">
        <f t="shared" si="23"/>
        <v>0</v>
      </c>
    </row>
    <row r="876" ht="15.75" customHeight="1">
      <c r="Q876" s="15">
        <f t="shared" si="17"/>
        <v>0</v>
      </c>
      <c r="W876" s="22">
        <f t="shared" si="11"/>
        <v>0</v>
      </c>
      <c r="X876" s="19">
        <f t="shared" si="23"/>
        <v>0</v>
      </c>
    </row>
    <row r="877" ht="15.75" customHeight="1">
      <c r="Q877" s="15">
        <f t="shared" si="17"/>
        <v>0</v>
      </c>
      <c r="W877" s="22">
        <f t="shared" si="11"/>
        <v>0</v>
      </c>
      <c r="X877" s="19">
        <f t="shared" si="23"/>
        <v>0</v>
      </c>
    </row>
    <row r="878" ht="15.75" customHeight="1">
      <c r="Q878" s="15">
        <f t="shared" si="17"/>
        <v>0</v>
      </c>
      <c r="W878" s="22">
        <f t="shared" si="11"/>
        <v>0</v>
      </c>
      <c r="X878" s="19">
        <f t="shared" si="23"/>
        <v>0</v>
      </c>
    </row>
    <row r="879" ht="15.75" customHeight="1">
      <c r="Q879" s="15">
        <f t="shared" si="17"/>
        <v>0</v>
      </c>
      <c r="W879" s="22">
        <f t="shared" si="11"/>
        <v>0</v>
      </c>
      <c r="X879" s="19">
        <f t="shared" si="23"/>
        <v>0</v>
      </c>
    </row>
    <row r="880" ht="15.75" customHeight="1">
      <c r="Q880" s="15">
        <f t="shared" si="17"/>
        <v>0</v>
      </c>
      <c r="W880" s="22">
        <f t="shared" si="11"/>
        <v>0</v>
      </c>
      <c r="X880" s="19">
        <f t="shared" si="23"/>
        <v>0</v>
      </c>
    </row>
    <row r="881" ht="15.75" customHeight="1">
      <c r="Q881" s="15">
        <f t="shared" si="17"/>
        <v>0</v>
      </c>
      <c r="W881" s="22">
        <f t="shared" si="11"/>
        <v>0</v>
      </c>
      <c r="X881" s="19">
        <f t="shared" si="23"/>
        <v>0</v>
      </c>
    </row>
    <row r="882" ht="15.75" customHeight="1">
      <c r="Q882" s="15">
        <f t="shared" si="17"/>
        <v>0</v>
      </c>
      <c r="W882" s="22">
        <f t="shared" si="11"/>
        <v>0</v>
      </c>
      <c r="X882" s="19">
        <f t="shared" si="23"/>
        <v>0</v>
      </c>
    </row>
    <row r="883" ht="15.75" customHeight="1">
      <c r="Q883" s="15">
        <f t="shared" si="17"/>
        <v>0</v>
      </c>
      <c r="W883" s="22">
        <f t="shared" si="11"/>
        <v>0</v>
      </c>
      <c r="X883" s="19">
        <f t="shared" si="23"/>
        <v>0</v>
      </c>
    </row>
    <row r="884" ht="15.75" customHeight="1">
      <c r="Q884" s="15">
        <f t="shared" si="17"/>
        <v>0</v>
      </c>
      <c r="W884" s="22">
        <f t="shared" si="11"/>
        <v>0</v>
      </c>
      <c r="X884" s="19">
        <f t="shared" si="23"/>
        <v>0</v>
      </c>
    </row>
    <row r="885" ht="15.75" customHeight="1">
      <c r="Q885" s="15">
        <f t="shared" si="17"/>
        <v>0</v>
      </c>
      <c r="W885" s="22">
        <f t="shared" si="11"/>
        <v>0</v>
      </c>
      <c r="X885" s="19">
        <f t="shared" si="23"/>
        <v>0</v>
      </c>
    </row>
    <row r="886" ht="15.75" customHeight="1">
      <c r="Q886" s="15">
        <f t="shared" si="17"/>
        <v>0</v>
      </c>
      <c r="W886" s="22">
        <f t="shared" si="11"/>
        <v>0</v>
      </c>
      <c r="X886" s="19">
        <f t="shared" si="23"/>
        <v>0</v>
      </c>
    </row>
    <row r="887" ht="15.75" customHeight="1">
      <c r="Q887" s="15">
        <f t="shared" si="17"/>
        <v>0</v>
      </c>
      <c r="W887" s="22">
        <f t="shared" si="11"/>
        <v>0</v>
      </c>
      <c r="X887" s="19">
        <f t="shared" si="23"/>
        <v>0</v>
      </c>
    </row>
    <row r="888" ht="15.75" customHeight="1">
      <c r="Q888" s="15">
        <f t="shared" si="17"/>
        <v>0</v>
      </c>
      <c r="W888" s="22">
        <f t="shared" si="11"/>
        <v>0</v>
      </c>
      <c r="X888" s="19">
        <f t="shared" si="23"/>
        <v>0</v>
      </c>
    </row>
    <row r="889" ht="15.75" customHeight="1">
      <c r="Q889" s="15">
        <f t="shared" si="17"/>
        <v>0</v>
      </c>
      <c r="W889" s="22">
        <f t="shared" si="11"/>
        <v>0</v>
      </c>
      <c r="X889" s="19">
        <f t="shared" si="23"/>
        <v>0</v>
      </c>
    </row>
    <row r="890" ht="15.75" customHeight="1">
      <c r="Q890" s="15">
        <f t="shared" si="17"/>
        <v>0</v>
      </c>
      <c r="W890" s="22">
        <f t="shared" si="11"/>
        <v>0</v>
      </c>
      <c r="X890" s="19">
        <f t="shared" si="23"/>
        <v>0</v>
      </c>
    </row>
    <row r="891" ht="15.75" customHeight="1">
      <c r="Q891" s="15">
        <f t="shared" si="17"/>
        <v>0</v>
      </c>
      <c r="W891" s="22">
        <f t="shared" si="11"/>
        <v>0</v>
      </c>
      <c r="X891" s="19">
        <f t="shared" si="23"/>
        <v>0</v>
      </c>
    </row>
    <row r="892" ht="15.75" customHeight="1">
      <c r="Q892" s="15">
        <f t="shared" si="17"/>
        <v>0</v>
      </c>
      <c r="W892" s="22">
        <f t="shared" si="11"/>
        <v>0</v>
      </c>
      <c r="X892" s="19">
        <f t="shared" si="23"/>
        <v>0</v>
      </c>
    </row>
    <row r="893" ht="15.75" customHeight="1">
      <c r="Q893" s="15">
        <f t="shared" si="17"/>
        <v>0</v>
      </c>
      <c r="W893" s="22">
        <f t="shared" si="11"/>
        <v>0</v>
      </c>
      <c r="X893" s="19">
        <f t="shared" si="23"/>
        <v>0</v>
      </c>
    </row>
    <row r="894" ht="15.75" customHeight="1">
      <c r="Q894" s="15">
        <f t="shared" si="17"/>
        <v>0</v>
      </c>
      <c r="W894" s="22">
        <f t="shared" si="11"/>
        <v>0</v>
      </c>
      <c r="X894" s="19">
        <f t="shared" si="23"/>
        <v>0</v>
      </c>
    </row>
    <row r="895" ht="15.75" customHeight="1">
      <c r="Q895" s="15">
        <f t="shared" si="17"/>
        <v>0</v>
      </c>
      <c r="W895" s="22">
        <f t="shared" si="11"/>
        <v>0</v>
      </c>
      <c r="X895" s="19">
        <f t="shared" si="23"/>
        <v>0</v>
      </c>
    </row>
    <row r="896" ht="15.75" customHeight="1">
      <c r="Q896" s="15">
        <f t="shared" si="17"/>
        <v>0</v>
      </c>
      <c r="W896" s="22">
        <f t="shared" si="11"/>
        <v>0</v>
      </c>
      <c r="X896" s="19">
        <f t="shared" si="23"/>
        <v>0</v>
      </c>
    </row>
    <row r="897" ht="15.75" customHeight="1">
      <c r="Q897" s="15">
        <f t="shared" si="17"/>
        <v>0</v>
      </c>
      <c r="W897" s="22">
        <f t="shared" si="11"/>
        <v>0</v>
      </c>
      <c r="X897" s="19">
        <f t="shared" si="23"/>
        <v>0</v>
      </c>
    </row>
    <row r="898" ht="15.75" customHeight="1">
      <c r="Q898" s="15">
        <f t="shared" si="17"/>
        <v>0</v>
      </c>
      <c r="W898" s="22">
        <f t="shared" si="11"/>
        <v>0</v>
      </c>
      <c r="X898" s="19">
        <f t="shared" si="23"/>
        <v>0</v>
      </c>
    </row>
    <row r="899" ht="15.75" customHeight="1">
      <c r="Q899" s="15">
        <f t="shared" si="17"/>
        <v>0</v>
      </c>
      <c r="W899" s="22">
        <f t="shared" si="11"/>
        <v>0</v>
      </c>
      <c r="X899" s="19">
        <f t="shared" si="23"/>
        <v>0</v>
      </c>
    </row>
    <row r="900" ht="15.75" customHeight="1">
      <c r="Q900" s="15">
        <f t="shared" si="17"/>
        <v>0</v>
      </c>
      <c r="W900" s="22">
        <f t="shared" si="11"/>
        <v>0</v>
      </c>
      <c r="X900" s="19">
        <f t="shared" si="23"/>
        <v>0</v>
      </c>
    </row>
    <row r="901" ht="15.75" customHeight="1">
      <c r="Q901" s="15">
        <f t="shared" si="17"/>
        <v>0</v>
      </c>
      <c r="W901" s="22">
        <f t="shared" si="11"/>
        <v>0</v>
      </c>
      <c r="X901" s="19">
        <f t="shared" si="23"/>
        <v>0</v>
      </c>
    </row>
    <row r="902" ht="15.75" customHeight="1">
      <c r="Q902" s="15">
        <f t="shared" si="17"/>
        <v>0</v>
      </c>
      <c r="W902" s="22">
        <f t="shared" si="11"/>
        <v>0</v>
      </c>
      <c r="X902" s="19">
        <f t="shared" si="23"/>
        <v>0</v>
      </c>
    </row>
    <row r="903" ht="15.75" customHeight="1">
      <c r="Q903" s="15">
        <f t="shared" si="17"/>
        <v>0</v>
      </c>
      <c r="W903" s="22">
        <f t="shared" si="11"/>
        <v>0</v>
      </c>
      <c r="X903" s="19">
        <f t="shared" si="23"/>
        <v>0</v>
      </c>
    </row>
    <row r="904" ht="15.75" customHeight="1">
      <c r="Q904" s="15">
        <f t="shared" si="17"/>
        <v>0</v>
      </c>
      <c r="W904" s="22">
        <f t="shared" si="11"/>
        <v>0</v>
      </c>
      <c r="X904" s="19">
        <f t="shared" si="23"/>
        <v>0</v>
      </c>
    </row>
    <row r="905" ht="15.75" customHeight="1">
      <c r="Q905" s="15">
        <f t="shared" si="17"/>
        <v>0</v>
      </c>
      <c r="W905" s="22">
        <f t="shared" si="11"/>
        <v>0</v>
      </c>
      <c r="X905" s="19">
        <f t="shared" si="23"/>
        <v>0</v>
      </c>
    </row>
    <row r="906" ht="15.75" customHeight="1">
      <c r="Q906" s="15">
        <f t="shared" si="17"/>
        <v>0</v>
      </c>
      <c r="W906" s="22">
        <f t="shared" si="11"/>
        <v>0</v>
      </c>
      <c r="X906" s="19">
        <f t="shared" si="23"/>
        <v>0</v>
      </c>
    </row>
    <row r="907" ht="15.75" customHeight="1">
      <c r="Q907" s="15">
        <f t="shared" si="17"/>
        <v>0</v>
      </c>
      <c r="W907" s="22">
        <f t="shared" si="11"/>
        <v>0</v>
      </c>
      <c r="X907" s="19">
        <f t="shared" si="23"/>
        <v>0</v>
      </c>
    </row>
    <row r="908" ht="15.75" customHeight="1">
      <c r="Q908" s="15">
        <f t="shared" si="17"/>
        <v>0</v>
      </c>
      <c r="W908" s="22">
        <f t="shared" si="11"/>
        <v>0</v>
      </c>
      <c r="X908" s="19">
        <f t="shared" si="23"/>
        <v>0</v>
      </c>
    </row>
    <row r="909" ht="15.75" customHeight="1">
      <c r="Q909" s="15">
        <f t="shared" si="17"/>
        <v>0</v>
      </c>
      <c r="W909" s="22">
        <f t="shared" si="11"/>
        <v>0</v>
      </c>
      <c r="X909" s="19">
        <f t="shared" si="23"/>
        <v>0</v>
      </c>
    </row>
    <row r="910" ht="15.75" customHeight="1">
      <c r="Q910" s="15">
        <f t="shared" si="17"/>
        <v>0</v>
      </c>
      <c r="W910" s="22">
        <f t="shared" si="11"/>
        <v>0</v>
      </c>
      <c r="X910" s="19">
        <f t="shared" si="23"/>
        <v>0</v>
      </c>
    </row>
    <row r="911" ht="15.75" customHeight="1">
      <c r="Q911" s="15">
        <f t="shared" si="17"/>
        <v>0</v>
      </c>
      <c r="W911" s="22">
        <f t="shared" si="11"/>
        <v>0</v>
      </c>
      <c r="X911" s="19">
        <f t="shared" si="23"/>
        <v>0</v>
      </c>
    </row>
    <row r="912" ht="15.75" customHeight="1">
      <c r="Q912" s="15">
        <f t="shared" si="17"/>
        <v>0</v>
      </c>
      <c r="W912" s="22">
        <f t="shared" si="11"/>
        <v>0</v>
      </c>
      <c r="X912" s="19">
        <f t="shared" si="23"/>
        <v>0</v>
      </c>
    </row>
    <row r="913" ht="15.75" customHeight="1">
      <c r="Q913" s="15">
        <f t="shared" si="17"/>
        <v>0</v>
      </c>
      <c r="W913" s="22">
        <f t="shared" si="11"/>
        <v>0</v>
      </c>
      <c r="X913" s="19">
        <f t="shared" si="23"/>
        <v>0</v>
      </c>
    </row>
    <row r="914" ht="15.75" customHeight="1">
      <c r="Q914" s="15">
        <f t="shared" si="17"/>
        <v>0</v>
      </c>
      <c r="W914" s="22">
        <f t="shared" si="11"/>
        <v>0</v>
      </c>
      <c r="X914" s="19">
        <f t="shared" si="23"/>
        <v>0</v>
      </c>
    </row>
    <row r="915" ht="15.75" customHeight="1">
      <c r="Q915" s="15">
        <f t="shared" si="17"/>
        <v>0</v>
      </c>
      <c r="W915" s="22">
        <f t="shared" si="11"/>
        <v>0</v>
      </c>
      <c r="X915" s="19">
        <f t="shared" si="23"/>
        <v>0</v>
      </c>
    </row>
    <row r="916" ht="15.75" customHeight="1">
      <c r="Q916" s="15">
        <f t="shared" si="17"/>
        <v>0</v>
      </c>
      <c r="W916" s="22">
        <f t="shared" si="11"/>
        <v>0</v>
      </c>
      <c r="X916" s="19">
        <f t="shared" si="23"/>
        <v>0</v>
      </c>
    </row>
    <row r="917" ht="15.75" customHeight="1">
      <c r="Q917" s="15">
        <f t="shared" si="17"/>
        <v>0</v>
      </c>
      <c r="W917" s="22">
        <f t="shared" si="11"/>
        <v>0</v>
      </c>
      <c r="X917" s="19">
        <f t="shared" si="23"/>
        <v>0</v>
      </c>
    </row>
    <row r="918" ht="15.75" customHeight="1">
      <c r="Q918" s="15">
        <f t="shared" si="17"/>
        <v>0</v>
      </c>
      <c r="W918" s="22">
        <f t="shared" si="11"/>
        <v>0</v>
      </c>
      <c r="X918" s="19">
        <f t="shared" si="23"/>
        <v>0</v>
      </c>
    </row>
    <row r="919" ht="15.75" customHeight="1">
      <c r="Q919" s="15">
        <f t="shared" si="17"/>
        <v>0</v>
      </c>
      <c r="W919" s="22">
        <f t="shared" si="11"/>
        <v>0</v>
      </c>
      <c r="X919" s="19">
        <f t="shared" si="23"/>
        <v>0</v>
      </c>
    </row>
    <row r="920" ht="15.75" customHeight="1">
      <c r="Q920" s="15">
        <f t="shared" si="17"/>
        <v>0</v>
      </c>
      <c r="W920" s="22">
        <f t="shared" si="11"/>
        <v>0</v>
      </c>
      <c r="X920" s="19">
        <f t="shared" si="23"/>
        <v>0</v>
      </c>
    </row>
    <row r="921" ht="15.75" customHeight="1">
      <c r="Q921" s="15">
        <f t="shared" si="17"/>
        <v>0</v>
      </c>
      <c r="W921" s="22">
        <f t="shared" si="11"/>
        <v>0</v>
      </c>
      <c r="X921" s="19">
        <f t="shared" si="23"/>
        <v>0</v>
      </c>
    </row>
    <row r="922" ht="15.75" customHeight="1">
      <c r="Q922" s="15">
        <f t="shared" si="17"/>
        <v>0</v>
      </c>
      <c r="W922" s="22">
        <f t="shared" si="11"/>
        <v>0</v>
      </c>
      <c r="X922" s="19">
        <f t="shared" si="23"/>
        <v>0</v>
      </c>
    </row>
    <row r="923" ht="15.75" customHeight="1">
      <c r="Q923" s="15">
        <f t="shared" si="17"/>
        <v>0</v>
      </c>
      <c r="W923" s="22">
        <f t="shared" si="11"/>
        <v>0</v>
      </c>
      <c r="X923" s="19">
        <f t="shared" si="23"/>
        <v>0</v>
      </c>
    </row>
    <row r="924" ht="15.75" customHeight="1">
      <c r="Q924" s="15">
        <f t="shared" si="17"/>
        <v>0</v>
      </c>
      <c r="W924" s="22">
        <f t="shared" si="11"/>
        <v>0</v>
      </c>
      <c r="X924" s="19">
        <f t="shared" si="23"/>
        <v>0</v>
      </c>
    </row>
    <row r="925" ht="15.75" customHeight="1">
      <c r="Q925" s="15">
        <f t="shared" si="17"/>
        <v>0</v>
      </c>
      <c r="W925" s="22">
        <f t="shared" si="11"/>
        <v>0</v>
      </c>
      <c r="X925" s="19">
        <f t="shared" si="23"/>
        <v>0</v>
      </c>
    </row>
    <row r="926" ht="15.75" customHeight="1">
      <c r="Q926" s="15">
        <f t="shared" si="17"/>
        <v>0</v>
      </c>
      <c r="W926" s="22">
        <f t="shared" si="11"/>
        <v>0</v>
      </c>
      <c r="X926" s="19">
        <f t="shared" si="23"/>
        <v>0</v>
      </c>
    </row>
    <row r="927" ht="15.75" customHeight="1">
      <c r="Q927" s="15">
        <f t="shared" si="17"/>
        <v>0</v>
      </c>
      <c r="W927" s="22">
        <f t="shared" si="11"/>
        <v>0</v>
      </c>
      <c r="X927" s="19">
        <f t="shared" si="23"/>
        <v>0</v>
      </c>
    </row>
    <row r="928" ht="15.75" customHeight="1">
      <c r="Q928" s="15">
        <f t="shared" si="17"/>
        <v>0</v>
      </c>
      <c r="W928" s="22">
        <f t="shared" si="11"/>
        <v>0</v>
      </c>
      <c r="X928" s="19">
        <f t="shared" si="23"/>
        <v>0</v>
      </c>
    </row>
    <row r="929" ht="15.75" customHeight="1">
      <c r="Q929" s="15">
        <f t="shared" si="17"/>
        <v>0</v>
      </c>
      <c r="W929" s="22">
        <f t="shared" si="11"/>
        <v>0</v>
      </c>
      <c r="X929" s="19">
        <f t="shared" si="23"/>
        <v>0</v>
      </c>
    </row>
    <row r="930" ht="15.75" customHeight="1">
      <c r="Q930" s="15">
        <f t="shared" si="17"/>
        <v>0</v>
      </c>
      <c r="W930" s="22">
        <f t="shared" si="11"/>
        <v>0</v>
      </c>
      <c r="X930" s="19">
        <f t="shared" si="23"/>
        <v>0</v>
      </c>
    </row>
    <row r="931" ht="15.75" customHeight="1">
      <c r="Q931" s="15">
        <f t="shared" si="17"/>
        <v>0</v>
      </c>
      <c r="W931" s="22">
        <f t="shared" si="11"/>
        <v>0</v>
      </c>
      <c r="X931" s="19">
        <f t="shared" si="23"/>
        <v>0</v>
      </c>
    </row>
    <row r="932" ht="15.75" customHeight="1">
      <c r="Q932" s="15">
        <f t="shared" si="17"/>
        <v>0</v>
      </c>
      <c r="W932" s="22">
        <f t="shared" si="11"/>
        <v>0</v>
      </c>
      <c r="X932" s="19">
        <f t="shared" si="23"/>
        <v>0</v>
      </c>
    </row>
    <row r="933" ht="15.75" customHeight="1">
      <c r="Q933" s="15">
        <f t="shared" si="17"/>
        <v>0</v>
      </c>
      <c r="W933" s="22">
        <f t="shared" si="11"/>
        <v>0</v>
      </c>
      <c r="X933" s="19">
        <f t="shared" si="23"/>
        <v>0</v>
      </c>
    </row>
    <row r="934" ht="15.75" customHeight="1">
      <c r="Q934" s="15">
        <f t="shared" si="17"/>
        <v>0</v>
      </c>
      <c r="W934" s="22">
        <f t="shared" si="11"/>
        <v>0</v>
      </c>
      <c r="X934" s="19">
        <f t="shared" si="23"/>
        <v>0</v>
      </c>
    </row>
    <row r="935" ht="15.75" customHeight="1">
      <c r="Q935" s="15">
        <f t="shared" si="17"/>
        <v>0</v>
      </c>
      <c r="W935" s="22">
        <f t="shared" si="11"/>
        <v>0</v>
      </c>
      <c r="X935" s="19">
        <f t="shared" si="23"/>
        <v>0</v>
      </c>
    </row>
    <row r="936" ht="15.75" customHeight="1">
      <c r="Q936" s="15">
        <f t="shared" si="17"/>
        <v>0</v>
      </c>
      <c r="W936" s="22">
        <f t="shared" si="11"/>
        <v>0</v>
      </c>
      <c r="X936" s="19">
        <f t="shared" si="23"/>
        <v>0</v>
      </c>
    </row>
    <row r="937" ht="15.75" customHeight="1">
      <c r="Q937" s="15">
        <f t="shared" si="17"/>
        <v>0</v>
      </c>
      <c r="W937" s="22">
        <f t="shared" si="11"/>
        <v>0</v>
      </c>
      <c r="X937" s="19">
        <f t="shared" si="23"/>
        <v>0</v>
      </c>
    </row>
    <row r="938" ht="15.75" customHeight="1">
      <c r="Q938" s="15">
        <f t="shared" si="17"/>
        <v>0</v>
      </c>
      <c r="W938" s="22">
        <f t="shared" si="11"/>
        <v>0</v>
      </c>
      <c r="X938" s="19">
        <f t="shared" si="23"/>
        <v>0</v>
      </c>
    </row>
    <row r="939" ht="15.75" customHeight="1">
      <c r="Q939" s="15">
        <f t="shared" si="17"/>
        <v>0</v>
      </c>
      <c r="W939" s="22">
        <f t="shared" si="11"/>
        <v>0</v>
      </c>
      <c r="X939" s="19">
        <f t="shared" si="23"/>
        <v>0</v>
      </c>
    </row>
    <row r="940" ht="15.75" customHeight="1">
      <c r="Q940" s="15">
        <f t="shared" si="17"/>
        <v>0</v>
      </c>
      <c r="W940" s="22">
        <f t="shared" si="11"/>
        <v>0</v>
      </c>
      <c r="X940" s="19">
        <f t="shared" si="23"/>
        <v>0</v>
      </c>
    </row>
    <row r="941" ht="15.75" customHeight="1">
      <c r="Q941" s="15">
        <f t="shared" si="17"/>
        <v>0</v>
      </c>
      <c r="W941" s="22">
        <f t="shared" si="11"/>
        <v>0</v>
      </c>
      <c r="X941" s="19">
        <f t="shared" si="23"/>
        <v>0</v>
      </c>
    </row>
    <row r="942" ht="15.75" customHeight="1">
      <c r="Q942" s="15">
        <f t="shared" si="17"/>
        <v>0</v>
      </c>
      <c r="W942" s="22">
        <f t="shared" si="11"/>
        <v>0</v>
      </c>
      <c r="X942" s="19">
        <f t="shared" si="23"/>
        <v>0</v>
      </c>
    </row>
    <row r="943" ht="15.75" customHeight="1">
      <c r="Q943" s="15">
        <f t="shared" si="17"/>
        <v>0</v>
      </c>
      <c r="W943" s="22">
        <f t="shared" si="11"/>
        <v>0</v>
      </c>
      <c r="X943" s="19">
        <f t="shared" si="23"/>
        <v>0</v>
      </c>
    </row>
    <row r="944" ht="15.75" customHeight="1">
      <c r="Q944" s="15">
        <f t="shared" si="17"/>
        <v>0</v>
      </c>
      <c r="W944" s="22">
        <f t="shared" si="11"/>
        <v>0</v>
      </c>
      <c r="X944" s="19">
        <f t="shared" si="23"/>
        <v>0</v>
      </c>
    </row>
    <row r="945" ht="15.75" customHeight="1">
      <c r="Q945" s="15">
        <f t="shared" si="17"/>
        <v>0</v>
      </c>
      <c r="W945" s="22">
        <f t="shared" si="11"/>
        <v>0</v>
      </c>
      <c r="X945" s="19">
        <f t="shared" si="23"/>
        <v>0</v>
      </c>
    </row>
    <row r="946" ht="15.75" customHeight="1">
      <c r="Q946" s="15">
        <f t="shared" si="17"/>
        <v>0</v>
      </c>
      <c r="W946" s="22">
        <f t="shared" si="11"/>
        <v>0</v>
      </c>
      <c r="X946" s="19">
        <f t="shared" si="23"/>
        <v>0</v>
      </c>
    </row>
    <row r="947" ht="15.75" customHeight="1">
      <c r="Q947" s="15">
        <f t="shared" si="17"/>
        <v>0</v>
      </c>
      <c r="W947" s="22">
        <f t="shared" si="11"/>
        <v>0</v>
      </c>
      <c r="X947" s="19">
        <f t="shared" si="23"/>
        <v>0</v>
      </c>
    </row>
    <row r="948" ht="15.75" customHeight="1">
      <c r="Q948" s="15">
        <f t="shared" si="17"/>
        <v>0</v>
      </c>
      <c r="W948" s="22">
        <f t="shared" si="11"/>
        <v>0</v>
      </c>
      <c r="X948" s="19">
        <f t="shared" si="23"/>
        <v>0</v>
      </c>
    </row>
    <row r="949" ht="15.75" customHeight="1">
      <c r="Q949" s="15">
        <f t="shared" si="17"/>
        <v>0</v>
      </c>
      <c r="W949" s="22">
        <f t="shared" si="11"/>
        <v>0</v>
      </c>
      <c r="X949" s="19">
        <f t="shared" si="23"/>
        <v>0</v>
      </c>
    </row>
    <row r="950" ht="15.75" customHeight="1">
      <c r="Q950" s="15">
        <f t="shared" si="17"/>
        <v>0</v>
      </c>
      <c r="W950" s="22">
        <f t="shared" si="11"/>
        <v>0</v>
      </c>
      <c r="X950" s="19">
        <f t="shared" si="23"/>
        <v>0</v>
      </c>
    </row>
    <row r="951" ht="15.75" customHeight="1">
      <c r="Q951" s="15">
        <f t="shared" si="17"/>
        <v>0</v>
      </c>
      <c r="W951" s="22">
        <f t="shared" si="11"/>
        <v>0</v>
      </c>
      <c r="X951" s="19">
        <f t="shared" si="23"/>
        <v>0</v>
      </c>
    </row>
    <row r="952" ht="15.75" customHeight="1">
      <c r="Q952" s="15">
        <f t="shared" si="17"/>
        <v>0</v>
      </c>
      <c r="W952" s="22">
        <f t="shared" si="11"/>
        <v>0</v>
      </c>
      <c r="X952" s="19">
        <f t="shared" si="23"/>
        <v>0</v>
      </c>
    </row>
    <row r="953" ht="15.75" customHeight="1">
      <c r="Q953" s="15">
        <f t="shared" si="17"/>
        <v>0</v>
      </c>
      <c r="W953" s="22">
        <f t="shared" si="11"/>
        <v>0</v>
      </c>
      <c r="X953" s="19">
        <f t="shared" si="23"/>
        <v>0</v>
      </c>
    </row>
    <row r="954" ht="15.75" customHeight="1">
      <c r="Q954" s="15">
        <f t="shared" si="17"/>
        <v>0</v>
      </c>
      <c r="W954" s="22">
        <f t="shared" si="11"/>
        <v>0</v>
      </c>
      <c r="X954" s="19">
        <f t="shared" si="23"/>
        <v>0</v>
      </c>
    </row>
    <row r="955" ht="15.75" customHeight="1">
      <c r="Q955" s="15">
        <f t="shared" si="17"/>
        <v>0</v>
      </c>
      <c r="W955" s="22">
        <f t="shared" si="11"/>
        <v>0</v>
      </c>
      <c r="X955" s="19">
        <f t="shared" si="23"/>
        <v>0</v>
      </c>
    </row>
    <row r="956" ht="15.75" customHeight="1">
      <c r="Q956" s="15">
        <f t="shared" si="17"/>
        <v>0</v>
      </c>
      <c r="W956" s="22">
        <f t="shared" si="11"/>
        <v>0</v>
      </c>
      <c r="X956" s="19">
        <f t="shared" si="23"/>
        <v>0</v>
      </c>
    </row>
    <row r="957" ht="15.75" customHeight="1">
      <c r="Q957" s="15">
        <f t="shared" si="17"/>
        <v>0</v>
      </c>
      <c r="W957" s="22">
        <f t="shared" si="11"/>
        <v>0</v>
      </c>
      <c r="X957" s="19">
        <f t="shared" si="23"/>
        <v>0</v>
      </c>
    </row>
    <row r="958" ht="15.75" customHeight="1">
      <c r="Q958" s="15">
        <f t="shared" si="17"/>
        <v>0</v>
      </c>
      <c r="W958" s="22">
        <f t="shared" si="11"/>
        <v>0</v>
      </c>
      <c r="X958" s="19">
        <f t="shared" si="23"/>
        <v>0</v>
      </c>
    </row>
    <row r="959" ht="15.75" customHeight="1">
      <c r="Q959" s="15">
        <f t="shared" si="17"/>
        <v>0</v>
      </c>
      <c r="W959" s="22">
        <f t="shared" si="11"/>
        <v>0</v>
      </c>
      <c r="X959" s="19">
        <f t="shared" si="23"/>
        <v>0</v>
      </c>
    </row>
    <row r="960" ht="15.75" customHeight="1">
      <c r="Q960" s="15">
        <f t="shared" si="17"/>
        <v>0</v>
      </c>
      <c r="W960" s="22">
        <f t="shared" si="11"/>
        <v>0</v>
      </c>
      <c r="X960" s="19">
        <f t="shared" si="23"/>
        <v>0</v>
      </c>
    </row>
    <row r="961" ht="15.75" customHeight="1">
      <c r="Q961" s="15">
        <f t="shared" si="17"/>
        <v>0</v>
      </c>
      <c r="W961" s="22">
        <f t="shared" si="11"/>
        <v>0</v>
      </c>
      <c r="X961" s="19">
        <f t="shared" si="23"/>
        <v>0</v>
      </c>
    </row>
    <row r="962" ht="15.75" customHeight="1">
      <c r="Q962" s="15">
        <f t="shared" si="17"/>
        <v>0</v>
      </c>
      <c r="W962" s="22">
        <f t="shared" si="11"/>
        <v>0</v>
      </c>
      <c r="X962" s="19">
        <f t="shared" si="23"/>
        <v>0</v>
      </c>
    </row>
    <row r="963" ht="15.75" customHeight="1">
      <c r="Q963" s="15">
        <f t="shared" si="17"/>
        <v>0</v>
      </c>
      <c r="W963" s="22">
        <f t="shared" si="11"/>
        <v>0</v>
      </c>
      <c r="X963" s="19">
        <f t="shared" si="23"/>
        <v>0</v>
      </c>
    </row>
    <row r="964" ht="15.75" customHeight="1">
      <c r="Q964" s="15">
        <f t="shared" si="17"/>
        <v>0</v>
      </c>
      <c r="W964" s="22">
        <f t="shared" si="11"/>
        <v>0</v>
      </c>
      <c r="X964" s="19">
        <f t="shared" si="23"/>
        <v>0</v>
      </c>
    </row>
    <row r="965" ht="15.75" customHeight="1">
      <c r="Q965" s="15">
        <f t="shared" si="17"/>
        <v>0</v>
      </c>
      <c r="W965" s="22">
        <f t="shared" si="11"/>
        <v>0</v>
      </c>
      <c r="X965" s="19">
        <f t="shared" si="23"/>
        <v>0</v>
      </c>
    </row>
    <row r="966" ht="15.75" customHeight="1">
      <c r="Q966" s="15">
        <f t="shared" si="17"/>
        <v>0</v>
      </c>
      <c r="W966" s="22">
        <f t="shared" si="11"/>
        <v>0</v>
      </c>
      <c r="X966" s="19">
        <f t="shared" si="23"/>
        <v>0</v>
      </c>
    </row>
    <row r="967" ht="15.75" customHeight="1">
      <c r="Q967" s="15">
        <f t="shared" si="17"/>
        <v>0</v>
      </c>
      <c r="W967" s="22">
        <f t="shared" si="11"/>
        <v>0</v>
      </c>
      <c r="X967" s="19">
        <f t="shared" si="23"/>
        <v>0</v>
      </c>
    </row>
    <row r="968" ht="15.75" customHeight="1">
      <c r="Q968" s="15">
        <f t="shared" si="17"/>
        <v>0</v>
      </c>
      <c r="W968" s="22">
        <f t="shared" si="11"/>
        <v>0</v>
      </c>
      <c r="X968" s="19">
        <f t="shared" si="23"/>
        <v>0</v>
      </c>
    </row>
    <row r="969" ht="15.75" customHeight="1">
      <c r="Q969" s="15">
        <f t="shared" si="17"/>
        <v>0</v>
      </c>
      <c r="W969" s="22">
        <f t="shared" si="11"/>
        <v>0</v>
      </c>
      <c r="X969" s="19">
        <f t="shared" si="23"/>
        <v>0</v>
      </c>
    </row>
    <row r="970" ht="15.75" customHeight="1">
      <c r="Q970" s="15">
        <f t="shared" si="17"/>
        <v>0</v>
      </c>
      <c r="W970" s="22">
        <f t="shared" si="11"/>
        <v>0</v>
      </c>
      <c r="X970" s="19">
        <f t="shared" si="23"/>
        <v>0</v>
      </c>
    </row>
    <row r="971" ht="15.75" customHeight="1">
      <c r="Q971" s="15">
        <f t="shared" si="17"/>
        <v>0</v>
      </c>
      <c r="W971" s="22">
        <f t="shared" si="11"/>
        <v>0</v>
      </c>
      <c r="X971" s="19">
        <f t="shared" si="23"/>
        <v>0</v>
      </c>
    </row>
    <row r="972" ht="15.75" customHeight="1">
      <c r="Q972" s="15">
        <f t="shared" si="17"/>
        <v>0</v>
      </c>
      <c r="W972" s="22">
        <f t="shared" si="11"/>
        <v>0</v>
      </c>
      <c r="X972" s="19">
        <f t="shared" si="23"/>
        <v>0</v>
      </c>
    </row>
    <row r="973" ht="15.75" customHeight="1">
      <c r="Q973" s="15">
        <f t="shared" si="17"/>
        <v>0</v>
      </c>
      <c r="W973" s="22">
        <f t="shared" si="11"/>
        <v>0</v>
      </c>
      <c r="X973" s="19">
        <f t="shared" si="23"/>
        <v>0</v>
      </c>
    </row>
    <row r="974" ht="15.75" customHeight="1">
      <c r="Q974" s="15">
        <f t="shared" si="17"/>
        <v>0</v>
      </c>
      <c r="W974" s="22">
        <f t="shared" si="11"/>
        <v>0</v>
      </c>
      <c r="X974" s="19">
        <f t="shared" si="23"/>
        <v>0</v>
      </c>
    </row>
    <row r="975" ht="15.75" customHeight="1">
      <c r="Q975" s="15">
        <f t="shared" si="17"/>
        <v>0</v>
      </c>
      <c r="W975" s="22">
        <f t="shared" si="11"/>
        <v>0</v>
      </c>
      <c r="X975" s="19">
        <f t="shared" si="23"/>
        <v>0</v>
      </c>
    </row>
    <row r="976" ht="15.75" customHeight="1">
      <c r="Q976" s="15">
        <f t="shared" si="17"/>
        <v>0</v>
      </c>
      <c r="W976" s="22">
        <f t="shared" si="11"/>
        <v>0</v>
      </c>
      <c r="X976" s="19">
        <f t="shared" si="23"/>
        <v>0</v>
      </c>
    </row>
    <row r="977" ht="15.75" customHeight="1">
      <c r="Q977" s="15">
        <f t="shared" si="17"/>
        <v>0</v>
      </c>
      <c r="W977" s="22">
        <f t="shared" si="11"/>
        <v>0</v>
      </c>
      <c r="X977" s="19">
        <f t="shared" si="23"/>
        <v>0</v>
      </c>
    </row>
    <row r="978" ht="15.75" customHeight="1">
      <c r="Q978" s="15">
        <f t="shared" si="17"/>
        <v>0</v>
      </c>
      <c r="W978" s="22">
        <f t="shared" si="11"/>
        <v>0</v>
      </c>
      <c r="X978" s="19">
        <f t="shared" si="23"/>
        <v>0</v>
      </c>
    </row>
    <row r="979" ht="15.75" customHeight="1">
      <c r="Q979" s="15">
        <f t="shared" si="17"/>
        <v>0</v>
      </c>
      <c r="W979" s="22">
        <f t="shared" si="11"/>
        <v>0</v>
      </c>
      <c r="X979" s="19">
        <f t="shared" si="23"/>
        <v>0</v>
      </c>
    </row>
    <row r="980" ht="15.75" customHeight="1">
      <c r="Q980" s="15">
        <f t="shared" si="17"/>
        <v>0</v>
      </c>
      <c r="W980" s="22">
        <f t="shared" si="11"/>
        <v>0</v>
      </c>
      <c r="X980" s="19">
        <f t="shared" si="23"/>
        <v>0</v>
      </c>
    </row>
    <row r="981" ht="15.75" customHeight="1">
      <c r="Q981" s="15">
        <f t="shared" si="17"/>
        <v>0</v>
      </c>
      <c r="W981" s="22">
        <f t="shared" si="11"/>
        <v>0</v>
      </c>
      <c r="X981" s="19">
        <f t="shared" si="23"/>
        <v>0</v>
      </c>
    </row>
    <row r="982" ht="15.75" customHeight="1">
      <c r="Q982" s="15">
        <f t="shared" si="17"/>
        <v>0</v>
      </c>
      <c r="W982" s="22">
        <f t="shared" si="11"/>
        <v>0</v>
      </c>
      <c r="X982" s="19">
        <f t="shared" si="23"/>
        <v>0</v>
      </c>
    </row>
    <row r="983" ht="15.75" customHeight="1">
      <c r="Q983" s="15">
        <f t="shared" si="17"/>
        <v>0</v>
      </c>
      <c r="W983" s="22">
        <f t="shared" si="11"/>
        <v>0</v>
      </c>
      <c r="X983" s="19">
        <f t="shared" si="23"/>
        <v>0</v>
      </c>
    </row>
    <row r="984" ht="15.75" customHeight="1">
      <c r="Q984" s="15">
        <f t="shared" si="17"/>
        <v>0</v>
      </c>
      <c r="W984" s="22">
        <f t="shared" si="11"/>
        <v>0</v>
      </c>
      <c r="X984" s="19">
        <f t="shared" si="23"/>
        <v>0</v>
      </c>
    </row>
    <row r="985" ht="15.75" customHeight="1">
      <c r="Q985" s="15">
        <f t="shared" si="17"/>
        <v>0</v>
      </c>
      <c r="W985" s="22">
        <f t="shared" si="11"/>
        <v>0</v>
      </c>
      <c r="X985" s="19">
        <f t="shared" si="23"/>
        <v>0</v>
      </c>
    </row>
    <row r="986" ht="15.75" customHeight="1">
      <c r="Q986" s="15">
        <f t="shared" si="17"/>
        <v>0</v>
      </c>
      <c r="W986" s="22">
        <f t="shared" si="11"/>
        <v>0</v>
      </c>
      <c r="X986" s="19">
        <f t="shared" si="23"/>
        <v>0</v>
      </c>
    </row>
    <row r="987" ht="15.75" customHeight="1">
      <c r="Q987" s="15">
        <f t="shared" si="17"/>
        <v>0</v>
      </c>
      <c r="W987" s="22">
        <f t="shared" si="11"/>
        <v>0</v>
      </c>
      <c r="X987" s="19">
        <f t="shared" si="23"/>
        <v>0</v>
      </c>
    </row>
    <row r="988" ht="15.75" customHeight="1">
      <c r="Q988" s="15">
        <f t="shared" si="17"/>
        <v>0</v>
      </c>
      <c r="W988" s="22">
        <f t="shared" si="11"/>
        <v>0</v>
      </c>
      <c r="X988" s="19">
        <f t="shared" si="23"/>
        <v>0</v>
      </c>
    </row>
    <row r="989" ht="15.75" customHeight="1">
      <c r="Q989" s="15">
        <f t="shared" si="17"/>
        <v>0</v>
      </c>
      <c r="W989" s="22">
        <f t="shared" si="11"/>
        <v>0</v>
      </c>
      <c r="X989" s="19">
        <f t="shared" si="23"/>
        <v>0</v>
      </c>
    </row>
    <row r="990" ht="15.75" customHeight="1">
      <c r="Q990" s="15">
        <f t="shared" si="17"/>
        <v>0</v>
      </c>
      <c r="W990" s="22">
        <f t="shared" si="11"/>
        <v>0</v>
      </c>
      <c r="X990" s="19">
        <f t="shared" si="23"/>
        <v>0</v>
      </c>
    </row>
    <row r="991" ht="15.75" customHeight="1">
      <c r="Q991" s="15">
        <f t="shared" si="17"/>
        <v>0</v>
      </c>
      <c r="W991" s="22">
        <f t="shared" si="11"/>
        <v>0</v>
      </c>
      <c r="X991" s="19">
        <f t="shared" si="23"/>
        <v>0</v>
      </c>
    </row>
    <row r="992" ht="15.75" customHeight="1">
      <c r="Q992" s="15">
        <f t="shared" si="17"/>
        <v>0</v>
      </c>
      <c r="W992" s="22">
        <f t="shared" si="11"/>
        <v>0</v>
      </c>
      <c r="X992" s="19">
        <f t="shared" si="23"/>
        <v>0</v>
      </c>
    </row>
    <row r="993" ht="15.75" customHeight="1">
      <c r="Q993" s="15">
        <f t="shared" si="17"/>
        <v>0</v>
      </c>
      <c r="W993" s="22">
        <f t="shared" si="11"/>
        <v>0</v>
      </c>
      <c r="X993" s="19">
        <f t="shared" si="23"/>
        <v>0</v>
      </c>
    </row>
    <row r="994" ht="15.75" customHeight="1">
      <c r="Q994" s="15">
        <f t="shared" si="17"/>
        <v>0</v>
      </c>
      <c r="W994" s="22">
        <f t="shared" si="11"/>
        <v>0</v>
      </c>
      <c r="X994" s="19">
        <f t="shared" si="23"/>
        <v>0</v>
      </c>
    </row>
    <row r="995" ht="15.75" customHeight="1">
      <c r="Q995" s="15">
        <f t="shared" si="17"/>
        <v>0</v>
      </c>
      <c r="W995" s="22">
        <f t="shared" si="11"/>
        <v>0</v>
      </c>
      <c r="X995" s="19">
        <f t="shared" si="23"/>
        <v>0</v>
      </c>
    </row>
    <row r="996" ht="15.75" customHeight="1">
      <c r="Q996" s="15">
        <f t="shared" si="17"/>
        <v>0</v>
      </c>
      <c r="W996" s="22">
        <f t="shared" si="11"/>
        <v>0</v>
      </c>
      <c r="X996" s="19">
        <f t="shared" si="23"/>
        <v>0</v>
      </c>
    </row>
    <row r="997" ht="15.75" customHeight="1">
      <c r="Q997" s="15">
        <f t="shared" si="17"/>
        <v>0</v>
      </c>
      <c r="W997" s="22">
        <f t="shared" si="11"/>
        <v>0</v>
      </c>
      <c r="X997" s="19">
        <f t="shared" si="23"/>
        <v>0</v>
      </c>
    </row>
    <row r="998" ht="15.75" customHeight="1">
      <c r="Q998" s="15">
        <f t="shared" si="17"/>
        <v>0</v>
      </c>
      <c r="W998" s="22">
        <f t="shared" si="11"/>
        <v>0</v>
      </c>
      <c r="X998" s="19">
        <f t="shared" si="23"/>
        <v>0</v>
      </c>
    </row>
    <row r="999" ht="15.75" customHeight="1">
      <c r="Q999" s="15">
        <f t="shared" si="17"/>
        <v>0</v>
      </c>
      <c r="W999" s="22">
        <f t="shared" si="11"/>
        <v>0</v>
      </c>
      <c r="X999" s="19">
        <f t="shared" si="23"/>
        <v>0</v>
      </c>
    </row>
    <row r="1000" ht="15.75" customHeight="1">
      <c r="Q1000" s="15">
        <f t="shared" si="17"/>
        <v>0</v>
      </c>
      <c r="W1000" s="22">
        <f t="shared" si="11"/>
        <v>0</v>
      </c>
      <c r="X1000" s="19">
        <f t="shared" si="23"/>
        <v>0</v>
      </c>
    </row>
    <row r="1001" ht="15.75" customHeight="1">
      <c r="Q1001" s="15">
        <f t="shared" si="17"/>
        <v>0</v>
      </c>
      <c r="W1001" s="22">
        <f t="shared" si="11"/>
        <v>0</v>
      </c>
      <c r="X1001" s="19">
        <f t="shared" si="23"/>
        <v>0</v>
      </c>
    </row>
    <row r="1002" ht="15.75" customHeight="1">
      <c r="Q1002" s="15">
        <f t="shared" si="17"/>
        <v>0</v>
      </c>
      <c r="W1002" s="22">
        <f t="shared" si="11"/>
        <v>0</v>
      </c>
      <c r="X1002" s="19">
        <f t="shared" si="23"/>
        <v>0</v>
      </c>
    </row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mergeCells count="6">
    <mergeCell ref="AA17:AB17"/>
    <mergeCell ref="AA24:AB24"/>
    <mergeCell ref="AA30:AB30"/>
    <mergeCell ref="AA38:AB38"/>
    <mergeCell ref="AA48:AB48"/>
    <mergeCell ref="AA59:AB59"/>
  </mergeCells>
  <dataValidations>
    <dataValidation type="list" allowBlank="1" showErrorMessage="1" sqref="AB7:AB8">
      <formula1>"Interior HP 2c walls,Interior Super Paint 2c walls,Interior Duration 2c walls"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23" t="s">
        <v>128</v>
      </c>
      <c r="C2" s="10">
        <v>31.0</v>
      </c>
      <c r="D2" s="10">
        <v>7.0</v>
      </c>
      <c r="E2" s="10">
        <v>8.0</v>
      </c>
      <c r="F2" s="11"/>
      <c r="G2" s="11" t="b">
        <v>0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0</v>
      </c>
      <c r="N2" s="13">
        <f t="shared" ref="N2:N49" si="2">IF(H2,C2*D2,0)</f>
        <v>0</v>
      </c>
      <c r="O2" s="13">
        <f t="shared" ref="O2:O49" si="3">(C2+D2)*2</f>
        <v>76</v>
      </c>
      <c r="P2" s="14">
        <f t="shared" ref="P2:P49" si="4">M2*$AB$7</f>
        <v>0</v>
      </c>
      <c r="Q2" s="15">
        <f t="shared" ref="Q2:Q1000" si="5">IFERROR(P2*0.35,0)</f>
        <v>0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0</v>
      </c>
      <c r="X2" s="16">
        <f t="shared" ref="X2:X1000" si="12">IFERROR((W2*$AB$47)/$AB$48,0)</f>
        <v>0</v>
      </c>
      <c r="AA2" s="18" t="s">
        <v>28</v>
      </c>
      <c r="AB2" s="1">
        <v>1.0</v>
      </c>
      <c r="AC2" s="2" t="s">
        <v>26</v>
      </c>
    </row>
    <row r="3" ht="15.75" customHeight="1">
      <c r="B3" s="23" t="s">
        <v>129</v>
      </c>
      <c r="C3" s="10">
        <v>20.0</v>
      </c>
      <c r="D3" s="10">
        <v>10.0</v>
      </c>
      <c r="E3" s="10">
        <v>11.0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660</v>
      </c>
      <c r="N3" s="13">
        <f t="shared" si="2"/>
        <v>0</v>
      </c>
      <c r="O3" s="13">
        <f t="shared" si="3"/>
        <v>60</v>
      </c>
      <c r="P3" s="14">
        <f t="shared" si="4"/>
        <v>792</v>
      </c>
      <c r="Q3" s="15">
        <f t="shared" si="5"/>
        <v>277.2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792</v>
      </c>
      <c r="X3" s="19">
        <f t="shared" si="12"/>
        <v>8.448</v>
      </c>
      <c r="AA3" s="8" t="s">
        <v>30</v>
      </c>
      <c r="AB3" s="3">
        <v>1.1</v>
      </c>
      <c r="AC3" s="20" t="s">
        <v>26</v>
      </c>
    </row>
    <row r="4" ht="15.75" customHeight="1">
      <c r="B4" s="23" t="s">
        <v>130</v>
      </c>
      <c r="C4" s="10">
        <v>12.0</v>
      </c>
      <c r="D4" s="10">
        <v>10.0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44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B5" s="23" t="s">
        <v>131</v>
      </c>
      <c r="C5" s="10">
        <v>15.0</v>
      </c>
      <c r="D5" s="10">
        <v>5.0</v>
      </c>
      <c r="E5" s="10">
        <v>15.0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40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B6" s="23" t="s">
        <v>102</v>
      </c>
      <c r="C6" s="10">
        <v>12.0</v>
      </c>
      <c r="D6" s="10">
        <v>18.0</v>
      </c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60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B7" s="23" t="s">
        <v>108</v>
      </c>
      <c r="C7" s="11">
        <v>16.0</v>
      </c>
      <c r="D7" s="11">
        <v>18.0</v>
      </c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68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B8" s="23" t="s">
        <v>104</v>
      </c>
      <c r="C8" s="11">
        <v>7.0</v>
      </c>
      <c r="D8" s="11">
        <v>6.0</v>
      </c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26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B9" s="23" t="s">
        <v>114</v>
      </c>
      <c r="C9" s="11">
        <v>21.0</v>
      </c>
      <c r="D9" s="11">
        <v>5.0</v>
      </c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52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B10" s="23" t="s">
        <v>132</v>
      </c>
      <c r="C10" s="11"/>
      <c r="D10" s="11"/>
      <c r="E10" s="11"/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B11" s="9" t="s">
        <v>133</v>
      </c>
      <c r="C11" s="11">
        <v>14.0</v>
      </c>
      <c r="D11" s="11">
        <v>8.0</v>
      </c>
      <c r="E11" s="11">
        <v>8.0</v>
      </c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44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7"/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660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792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277.2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8.448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23" t="s">
        <v>128</v>
      </c>
      <c r="C2" s="10">
        <v>10.0</v>
      </c>
      <c r="D2" s="10">
        <v>15.0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400</v>
      </c>
      <c r="N2" s="13">
        <f t="shared" ref="N2:N49" si="2">IF(H2,C2*D2,0)</f>
        <v>0</v>
      </c>
      <c r="O2" s="13">
        <f t="shared" ref="O2:O49" si="3">(C2+D2)*2</f>
        <v>50</v>
      </c>
      <c r="P2" s="14">
        <f t="shared" ref="P2:P49" si="4">M2*$AB$7</f>
        <v>480</v>
      </c>
      <c r="Q2" s="15">
        <f t="shared" ref="Q2:Q1000" si="5">IFERROR(P2*0.35,0)</f>
        <v>168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100</v>
      </c>
      <c r="V2" s="14">
        <f t="shared" ref="V2:V49" si="10">IF(J2,O2*$AB$11,0)</f>
        <v>0</v>
      </c>
      <c r="W2" s="14">
        <f t="shared" ref="W2:W1000" si="11">SUM(P2,R2:V2)</f>
        <v>580</v>
      </c>
      <c r="X2" s="16">
        <f t="shared" ref="X2:X1000" si="12">IFERROR((W2*$AB$47)/$AB$48,0)</f>
        <v>6.186666667</v>
      </c>
      <c r="AA2" s="18" t="s">
        <v>28</v>
      </c>
      <c r="AB2" s="1">
        <v>1.0</v>
      </c>
      <c r="AC2" s="2" t="s">
        <v>26</v>
      </c>
    </row>
    <row r="3" ht="15.75" customHeight="1">
      <c r="B3" s="23" t="s">
        <v>131</v>
      </c>
      <c r="C3" s="10">
        <v>12.0</v>
      </c>
      <c r="D3" s="10">
        <v>4.0</v>
      </c>
      <c r="E3" s="10">
        <v>15.0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480</v>
      </c>
      <c r="N3" s="13">
        <f t="shared" si="2"/>
        <v>0</v>
      </c>
      <c r="O3" s="13">
        <f t="shared" si="3"/>
        <v>32</v>
      </c>
      <c r="P3" s="14">
        <f t="shared" si="4"/>
        <v>576</v>
      </c>
      <c r="Q3" s="15">
        <f t="shared" si="5"/>
        <v>201.6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64</v>
      </c>
      <c r="V3" s="14">
        <f t="shared" si="10"/>
        <v>0</v>
      </c>
      <c r="W3" s="14">
        <f t="shared" si="11"/>
        <v>640</v>
      </c>
      <c r="X3" s="19">
        <f t="shared" si="12"/>
        <v>6.826666667</v>
      </c>
      <c r="AA3" s="8" t="s">
        <v>30</v>
      </c>
      <c r="AB3" s="3">
        <v>1.1</v>
      </c>
      <c r="AC3" s="20" t="s">
        <v>26</v>
      </c>
    </row>
    <row r="4" ht="15.75" customHeight="1">
      <c r="B4" s="23" t="s">
        <v>101</v>
      </c>
      <c r="C4" s="10">
        <v>8.0</v>
      </c>
      <c r="D4" s="10">
        <v>7.0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240</v>
      </c>
      <c r="N4" s="13">
        <f t="shared" si="2"/>
        <v>0</v>
      </c>
      <c r="O4" s="13">
        <f t="shared" si="3"/>
        <v>30</v>
      </c>
      <c r="P4" s="14">
        <f t="shared" si="4"/>
        <v>288</v>
      </c>
      <c r="Q4" s="15">
        <f t="shared" si="5"/>
        <v>100.8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60</v>
      </c>
      <c r="V4" s="14">
        <f t="shared" si="10"/>
        <v>0</v>
      </c>
      <c r="W4" s="14">
        <f t="shared" si="11"/>
        <v>348</v>
      </c>
      <c r="X4" s="19">
        <f t="shared" si="12"/>
        <v>3.712</v>
      </c>
      <c r="AA4" s="8" t="s">
        <v>31</v>
      </c>
      <c r="AB4" s="3">
        <v>1.2</v>
      </c>
      <c r="AC4" s="20" t="s">
        <v>26</v>
      </c>
    </row>
    <row r="5" ht="15.75" customHeight="1">
      <c r="B5" s="23" t="s">
        <v>104</v>
      </c>
      <c r="C5" s="10">
        <v>10.0</v>
      </c>
      <c r="D5" s="10">
        <v>4.0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224</v>
      </c>
      <c r="N5" s="13">
        <f t="shared" si="2"/>
        <v>0</v>
      </c>
      <c r="O5" s="13">
        <f t="shared" si="3"/>
        <v>28</v>
      </c>
      <c r="P5" s="14">
        <f t="shared" si="4"/>
        <v>268.8</v>
      </c>
      <c r="Q5" s="15">
        <f t="shared" si="5"/>
        <v>94.08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56</v>
      </c>
      <c r="V5" s="14">
        <f t="shared" si="10"/>
        <v>0</v>
      </c>
      <c r="W5" s="14">
        <f t="shared" si="11"/>
        <v>324.8</v>
      </c>
      <c r="X5" s="19">
        <f t="shared" si="12"/>
        <v>3.464533333</v>
      </c>
      <c r="AA5" s="8" t="s">
        <v>26</v>
      </c>
      <c r="AB5" s="8" t="s">
        <v>26</v>
      </c>
      <c r="AC5" s="20" t="s">
        <v>26</v>
      </c>
    </row>
    <row r="6" ht="15.75" customHeight="1">
      <c r="B6" s="23" t="s">
        <v>122</v>
      </c>
      <c r="C6" s="10">
        <v>6.0</v>
      </c>
      <c r="D6" s="10">
        <v>3.0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144</v>
      </c>
      <c r="N6" s="13">
        <f t="shared" si="2"/>
        <v>0</v>
      </c>
      <c r="O6" s="13">
        <f t="shared" si="3"/>
        <v>18</v>
      </c>
      <c r="P6" s="14">
        <f t="shared" si="4"/>
        <v>172.8</v>
      </c>
      <c r="Q6" s="15">
        <f t="shared" si="5"/>
        <v>60.48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36</v>
      </c>
      <c r="V6" s="14">
        <f t="shared" si="10"/>
        <v>0</v>
      </c>
      <c r="W6" s="14">
        <f t="shared" si="11"/>
        <v>208.8</v>
      </c>
      <c r="X6" s="19">
        <f t="shared" si="12"/>
        <v>2.2272</v>
      </c>
      <c r="AA6" s="8" t="s">
        <v>34</v>
      </c>
      <c r="AB6" s="3" t="s">
        <v>31</v>
      </c>
      <c r="AC6" s="20" t="s">
        <v>26</v>
      </c>
    </row>
    <row r="7" ht="15.75" customHeight="1">
      <c r="B7" s="23" t="s">
        <v>108</v>
      </c>
      <c r="C7" s="11">
        <v>9.0</v>
      </c>
      <c r="D7" s="11">
        <v>18.0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432</v>
      </c>
      <c r="N7" s="13">
        <f t="shared" si="2"/>
        <v>0</v>
      </c>
      <c r="O7" s="13">
        <f t="shared" si="3"/>
        <v>54</v>
      </c>
      <c r="P7" s="14">
        <f t="shared" si="4"/>
        <v>518.4</v>
      </c>
      <c r="Q7" s="15">
        <f t="shared" si="5"/>
        <v>181.44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108</v>
      </c>
      <c r="V7" s="14">
        <f t="shared" si="10"/>
        <v>0</v>
      </c>
      <c r="W7" s="14">
        <f t="shared" si="11"/>
        <v>626.4</v>
      </c>
      <c r="X7" s="19">
        <f t="shared" si="12"/>
        <v>6.6816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B8" s="23" t="s">
        <v>134</v>
      </c>
      <c r="C8" s="11">
        <v>9.0</v>
      </c>
      <c r="D8" s="11">
        <v>9.0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288</v>
      </c>
      <c r="N8" s="13">
        <f t="shared" si="2"/>
        <v>0</v>
      </c>
      <c r="O8" s="13">
        <f t="shared" si="3"/>
        <v>36</v>
      </c>
      <c r="P8" s="14">
        <f t="shared" si="4"/>
        <v>345.6</v>
      </c>
      <c r="Q8" s="15">
        <f t="shared" si="5"/>
        <v>120.96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72</v>
      </c>
      <c r="V8" s="14">
        <f t="shared" si="10"/>
        <v>0</v>
      </c>
      <c r="W8" s="14">
        <f t="shared" si="11"/>
        <v>417.6</v>
      </c>
      <c r="X8" s="19">
        <f t="shared" si="12"/>
        <v>4.4544</v>
      </c>
      <c r="AA8" s="8" t="s">
        <v>38</v>
      </c>
      <c r="AB8" s="3">
        <v>1.2</v>
      </c>
      <c r="AC8" s="20" t="s">
        <v>26</v>
      </c>
    </row>
    <row r="9" ht="15.75" customHeight="1">
      <c r="B9" s="23" t="s">
        <v>102</v>
      </c>
      <c r="C9" s="11">
        <v>16.0</v>
      </c>
      <c r="D9" s="11">
        <v>10.0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416</v>
      </c>
      <c r="N9" s="13">
        <f t="shared" si="2"/>
        <v>0</v>
      </c>
      <c r="O9" s="13">
        <f t="shared" si="3"/>
        <v>52</v>
      </c>
      <c r="P9" s="14">
        <f t="shared" si="4"/>
        <v>499.2</v>
      </c>
      <c r="Q9" s="15">
        <f t="shared" si="5"/>
        <v>174.72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104</v>
      </c>
      <c r="V9" s="14">
        <f t="shared" si="10"/>
        <v>0</v>
      </c>
      <c r="W9" s="14">
        <f t="shared" si="11"/>
        <v>603.2</v>
      </c>
      <c r="X9" s="19">
        <f t="shared" si="12"/>
        <v>6.434133333</v>
      </c>
      <c r="AA9" s="8" t="s">
        <v>40</v>
      </c>
      <c r="AB9" s="3">
        <v>90.0</v>
      </c>
      <c r="AC9" s="24" t="s">
        <v>26</v>
      </c>
    </row>
    <row r="10" ht="15.75" customHeight="1">
      <c r="B10" s="59"/>
      <c r="C10" s="11"/>
      <c r="D10" s="11"/>
      <c r="E10" s="11"/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7"/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2624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300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8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3148.8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600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1102.08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33.5872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6.4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B2" s="59" t="s">
        <v>135</v>
      </c>
      <c r="C2" s="10">
        <v>13.0</v>
      </c>
      <c r="D2" s="10">
        <v>12.0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400</v>
      </c>
      <c r="N2" s="13">
        <f t="shared" ref="N2:N49" si="2">IF(H2,C2*D2,0)</f>
        <v>0</v>
      </c>
      <c r="O2" s="13">
        <f t="shared" ref="O2:O49" si="3">(C2+D2)*2</f>
        <v>50</v>
      </c>
      <c r="P2" s="14">
        <f t="shared" ref="P2:P49" si="4">M2*$AB$7</f>
        <v>480</v>
      </c>
      <c r="Q2" s="15">
        <f t="shared" ref="Q2:Q1000" si="5">IFERROR(P2*0.35,0)</f>
        <v>168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100</v>
      </c>
      <c r="V2" s="14">
        <f t="shared" ref="V2:V49" si="10">IF(J2,O2*$AB$11,0)</f>
        <v>0</v>
      </c>
      <c r="W2" s="14">
        <f t="shared" ref="W2:W1000" si="11">SUM(P2,R2:V2)</f>
        <v>580</v>
      </c>
      <c r="X2" s="16">
        <f t="shared" ref="X2:X1000" si="12">IFERROR((W2*$AB$47)/$AB$48,0)</f>
        <v>6.186666667</v>
      </c>
      <c r="AA2" s="18" t="s">
        <v>28</v>
      </c>
      <c r="AB2" s="1">
        <v>1.0</v>
      </c>
      <c r="AC2" s="2" t="s">
        <v>26</v>
      </c>
    </row>
    <row r="3" ht="15.75" customHeight="1">
      <c r="B3" s="9" t="s">
        <v>128</v>
      </c>
      <c r="C3" s="10">
        <v>9.0</v>
      </c>
      <c r="D3" s="10">
        <v>3.0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192</v>
      </c>
      <c r="N3" s="13">
        <f t="shared" si="2"/>
        <v>0</v>
      </c>
      <c r="O3" s="13">
        <f t="shared" si="3"/>
        <v>24</v>
      </c>
      <c r="P3" s="14">
        <f t="shared" si="4"/>
        <v>230.4</v>
      </c>
      <c r="Q3" s="15">
        <f t="shared" si="5"/>
        <v>80.64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48</v>
      </c>
      <c r="V3" s="14">
        <f t="shared" si="10"/>
        <v>0</v>
      </c>
      <c r="W3" s="14">
        <f t="shared" si="11"/>
        <v>278.4</v>
      </c>
      <c r="X3" s="19">
        <f t="shared" si="12"/>
        <v>2.9696</v>
      </c>
      <c r="AA3" s="8" t="s">
        <v>30</v>
      </c>
      <c r="AB3" s="3">
        <v>1.1</v>
      </c>
      <c r="AC3" s="20" t="s">
        <v>26</v>
      </c>
    </row>
    <row r="4" ht="15.75" customHeight="1">
      <c r="B4" s="9" t="s">
        <v>88</v>
      </c>
      <c r="C4" s="10">
        <v>24.0</v>
      </c>
      <c r="D4" s="10">
        <v>13.0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592</v>
      </c>
      <c r="N4" s="13">
        <f t="shared" si="2"/>
        <v>0</v>
      </c>
      <c r="O4" s="13">
        <f t="shared" si="3"/>
        <v>74</v>
      </c>
      <c r="P4" s="14">
        <f t="shared" si="4"/>
        <v>710.4</v>
      </c>
      <c r="Q4" s="15">
        <f t="shared" si="5"/>
        <v>248.64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148</v>
      </c>
      <c r="V4" s="14">
        <f t="shared" si="10"/>
        <v>0</v>
      </c>
      <c r="W4" s="14">
        <f t="shared" si="11"/>
        <v>858.4</v>
      </c>
      <c r="X4" s="19">
        <f t="shared" si="12"/>
        <v>9.156266667</v>
      </c>
      <c r="AA4" s="8" t="s">
        <v>31</v>
      </c>
      <c r="AB4" s="3">
        <v>1.2</v>
      </c>
      <c r="AC4" s="20" t="s">
        <v>26</v>
      </c>
    </row>
    <row r="5" ht="15.75" customHeight="1">
      <c r="B5" s="9" t="s">
        <v>136</v>
      </c>
      <c r="C5" s="10">
        <v>5.0</v>
      </c>
      <c r="D5" s="10">
        <v>8.0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208</v>
      </c>
      <c r="N5" s="13">
        <f t="shared" si="2"/>
        <v>0</v>
      </c>
      <c r="O5" s="13">
        <f t="shared" si="3"/>
        <v>26</v>
      </c>
      <c r="P5" s="14">
        <f t="shared" si="4"/>
        <v>249.6</v>
      </c>
      <c r="Q5" s="15">
        <f t="shared" si="5"/>
        <v>87.36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52</v>
      </c>
      <c r="V5" s="14">
        <f t="shared" si="10"/>
        <v>0</v>
      </c>
      <c r="W5" s="14">
        <f t="shared" si="11"/>
        <v>301.6</v>
      </c>
      <c r="X5" s="19">
        <f t="shared" si="12"/>
        <v>3.217066667</v>
      </c>
      <c r="AA5" s="8" t="s">
        <v>26</v>
      </c>
      <c r="AB5" s="8" t="s">
        <v>26</v>
      </c>
      <c r="AC5" s="20" t="s">
        <v>26</v>
      </c>
    </row>
    <row r="6" ht="15.75" customHeight="1">
      <c r="B6" s="23" t="s">
        <v>131</v>
      </c>
      <c r="C6" s="10">
        <v>8.0</v>
      </c>
      <c r="D6" s="10">
        <v>4.0</v>
      </c>
      <c r="E6" s="10">
        <v>14.0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336</v>
      </c>
      <c r="N6" s="13">
        <f t="shared" si="2"/>
        <v>0</v>
      </c>
      <c r="O6" s="13">
        <f t="shared" si="3"/>
        <v>24</v>
      </c>
      <c r="P6" s="14">
        <f t="shared" si="4"/>
        <v>403.2</v>
      </c>
      <c r="Q6" s="15">
        <f t="shared" si="5"/>
        <v>141.12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48</v>
      </c>
      <c r="V6" s="14">
        <f t="shared" si="10"/>
        <v>0</v>
      </c>
      <c r="W6" s="14">
        <f t="shared" si="11"/>
        <v>451.2</v>
      </c>
      <c r="X6" s="19">
        <f t="shared" si="12"/>
        <v>4.8128</v>
      </c>
      <c r="AA6" s="8" t="s">
        <v>34</v>
      </c>
      <c r="AB6" s="3" t="s">
        <v>31</v>
      </c>
      <c r="AC6" s="20" t="s">
        <v>26</v>
      </c>
    </row>
    <row r="7" ht="15.75" customHeight="1">
      <c r="B7" s="23" t="s">
        <v>112</v>
      </c>
      <c r="C7" s="11">
        <v>16.0</v>
      </c>
      <c r="D7" s="11">
        <v>13.0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464</v>
      </c>
      <c r="N7" s="13">
        <f t="shared" si="2"/>
        <v>0</v>
      </c>
      <c r="O7" s="13">
        <f t="shared" si="3"/>
        <v>58</v>
      </c>
      <c r="P7" s="14">
        <f t="shared" si="4"/>
        <v>556.8</v>
      </c>
      <c r="Q7" s="15">
        <f t="shared" si="5"/>
        <v>194.88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116</v>
      </c>
      <c r="V7" s="14">
        <f t="shared" si="10"/>
        <v>0</v>
      </c>
      <c r="W7" s="14">
        <f t="shared" si="11"/>
        <v>672.8</v>
      </c>
      <c r="X7" s="19">
        <f t="shared" si="12"/>
        <v>7.176533333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B8" s="23" t="s">
        <v>113</v>
      </c>
      <c r="C8" s="11">
        <v>9.0</v>
      </c>
      <c r="D8" s="11">
        <v>12.0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336</v>
      </c>
      <c r="N8" s="13">
        <f t="shared" si="2"/>
        <v>0</v>
      </c>
      <c r="O8" s="13">
        <f t="shared" si="3"/>
        <v>42</v>
      </c>
      <c r="P8" s="14">
        <f t="shared" si="4"/>
        <v>403.2</v>
      </c>
      <c r="Q8" s="15">
        <f t="shared" si="5"/>
        <v>141.12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84</v>
      </c>
      <c r="V8" s="14">
        <f t="shared" si="10"/>
        <v>0</v>
      </c>
      <c r="W8" s="14">
        <f t="shared" si="11"/>
        <v>487.2</v>
      </c>
      <c r="X8" s="19">
        <f t="shared" si="12"/>
        <v>5.1968</v>
      </c>
      <c r="AA8" s="8" t="s">
        <v>38</v>
      </c>
      <c r="AB8" s="3">
        <v>1.2</v>
      </c>
      <c r="AC8" s="20" t="s">
        <v>26</v>
      </c>
    </row>
    <row r="9" ht="15.75" customHeight="1">
      <c r="B9" s="23" t="s">
        <v>108</v>
      </c>
      <c r="C9" s="11">
        <v>11.0</v>
      </c>
      <c r="D9" s="11">
        <v>9.0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320</v>
      </c>
      <c r="N9" s="13">
        <f t="shared" si="2"/>
        <v>0</v>
      </c>
      <c r="O9" s="13">
        <f t="shared" si="3"/>
        <v>40</v>
      </c>
      <c r="P9" s="14">
        <f t="shared" si="4"/>
        <v>384</v>
      </c>
      <c r="Q9" s="15">
        <f t="shared" si="5"/>
        <v>134.4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80</v>
      </c>
      <c r="V9" s="14">
        <f t="shared" si="10"/>
        <v>0</v>
      </c>
      <c r="W9" s="14">
        <f t="shared" si="11"/>
        <v>464</v>
      </c>
      <c r="X9" s="19">
        <f t="shared" si="12"/>
        <v>4.949333333</v>
      </c>
      <c r="AA9" s="8" t="s">
        <v>40</v>
      </c>
      <c r="AB9" s="3">
        <v>90.0</v>
      </c>
      <c r="AC9" s="24" t="s">
        <v>26</v>
      </c>
    </row>
    <row r="10" ht="15.75" customHeight="1">
      <c r="B10" s="23" t="s">
        <v>105</v>
      </c>
      <c r="C10" s="11">
        <v>3.0</v>
      </c>
      <c r="D10" s="11">
        <v>5.0</v>
      </c>
      <c r="E10" s="11">
        <v>8.0</v>
      </c>
      <c r="F10" s="21"/>
      <c r="G10" s="1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128</v>
      </c>
      <c r="N10" s="13">
        <f t="shared" si="2"/>
        <v>0</v>
      </c>
      <c r="O10" s="13">
        <f t="shared" si="3"/>
        <v>16</v>
      </c>
      <c r="P10" s="14">
        <f t="shared" si="4"/>
        <v>153.6</v>
      </c>
      <c r="Q10" s="15">
        <f t="shared" si="5"/>
        <v>53.76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32</v>
      </c>
      <c r="V10" s="14">
        <f t="shared" si="10"/>
        <v>0</v>
      </c>
      <c r="W10" s="14">
        <f t="shared" si="11"/>
        <v>185.6</v>
      </c>
      <c r="X10" s="19">
        <f t="shared" si="12"/>
        <v>1.979733333</v>
      </c>
      <c r="AA10" s="8" t="s">
        <v>42</v>
      </c>
      <c r="AB10" s="8">
        <v>2.0</v>
      </c>
    </row>
    <row r="11" ht="15.75" customHeight="1">
      <c r="B11" s="9" t="s">
        <v>137</v>
      </c>
      <c r="C11" s="11">
        <v>9.0</v>
      </c>
      <c r="D11" s="11">
        <v>4.0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208</v>
      </c>
      <c r="N11" s="13">
        <f t="shared" si="2"/>
        <v>0</v>
      </c>
      <c r="O11" s="13">
        <f t="shared" si="3"/>
        <v>26</v>
      </c>
      <c r="P11" s="14">
        <f t="shared" si="4"/>
        <v>249.6</v>
      </c>
      <c r="Q11" s="15">
        <f t="shared" si="5"/>
        <v>87.36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52</v>
      </c>
      <c r="V11" s="14">
        <f t="shared" si="10"/>
        <v>0</v>
      </c>
      <c r="W11" s="14">
        <f t="shared" si="11"/>
        <v>301.6</v>
      </c>
      <c r="X11" s="19">
        <f t="shared" si="12"/>
        <v>3.217066667</v>
      </c>
      <c r="AA11" s="8" t="s">
        <v>44</v>
      </c>
      <c r="AB11" s="3">
        <v>1.1</v>
      </c>
    </row>
    <row r="12" ht="15.75" customHeight="1">
      <c r="B12" s="23" t="s">
        <v>126</v>
      </c>
      <c r="C12" s="11">
        <v>7.0</v>
      </c>
      <c r="D12" s="11">
        <v>3.0</v>
      </c>
      <c r="E12" s="11">
        <v>12.0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240</v>
      </c>
      <c r="N12" s="13">
        <f t="shared" si="2"/>
        <v>0</v>
      </c>
      <c r="O12" s="13">
        <f t="shared" si="3"/>
        <v>20</v>
      </c>
      <c r="P12" s="14">
        <f t="shared" si="4"/>
        <v>288</v>
      </c>
      <c r="Q12" s="15">
        <f t="shared" si="5"/>
        <v>100.8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40</v>
      </c>
      <c r="V12" s="14">
        <f t="shared" si="10"/>
        <v>0</v>
      </c>
      <c r="W12" s="14">
        <f t="shared" si="11"/>
        <v>328</v>
      </c>
      <c r="X12" s="19">
        <f t="shared" si="12"/>
        <v>3.498666667</v>
      </c>
      <c r="AA12" s="8" t="s">
        <v>46</v>
      </c>
      <c r="AB12" s="3">
        <v>8.0</v>
      </c>
    </row>
    <row r="13" ht="21.0" customHeight="1">
      <c r="B13" s="9" t="s">
        <v>138</v>
      </c>
      <c r="C13" s="11">
        <v>3.0</v>
      </c>
      <c r="D13" s="11">
        <v>7.0</v>
      </c>
      <c r="E13" s="11">
        <v>9.0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180</v>
      </c>
      <c r="N13" s="13">
        <f t="shared" si="2"/>
        <v>0</v>
      </c>
      <c r="O13" s="13">
        <f t="shared" si="3"/>
        <v>20</v>
      </c>
      <c r="P13" s="14">
        <f t="shared" si="4"/>
        <v>216</v>
      </c>
      <c r="Q13" s="15">
        <f t="shared" si="5"/>
        <v>75.6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40</v>
      </c>
      <c r="V13" s="14">
        <f t="shared" si="10"/>
        <v>0</v>
      </c>
      <c r="W13" s="14">
        <f t="shared" si="11"/>
        <v>256</v>
      </c>
      <c r="X13" s="19">
        <f t="shared" si="12"/>
        <v>2.730666667</v>
      </c>
      <c r="AA13" s="3" t="s">
        <v>48</v>
      </c>
      <c r="AB13" s="3">
        <v>185.0</v>
      </c>
    </row>
    <row r="14" ht="15.75" customHeight="1">
      <c r="B14" s="9" t="s">
        <v>139</v>
      </c>
      <c r="C14" s="11">
        <v>13.0</v>
      </c>
      <c r="D14" s="11">
        <v>6.0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304</v>
      </c>
      <c r="N14" s="13">
        <f t="shared" si="2"/>
        <v>0</v>
      </c>
      <c r="O14" s="13">
        <f t="shared" si="3"/>
        <v>38</v>
      </c>
      <c r="P14" s="14">
        <f t="shared" si="4"/>
        <v>364.8</v>
      </c>
      <c r="Q14" s="15">
        <f t="shared" si="5"/>
        <v>127.68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76</v>
      </c>
      <c r="V14" s="14">
        <f t="shared" si="10"/>
        <v>0</v>
      </c>
      <c r="W14" s="14">
        <f t="shared" si="11"/>
        <v>440.8</v>
      </c>
      <c r="X14" s="19">
        <f t="shared" si="12"/>
        <v>4.701866667</v>
      </c>
    </row>
    <row r="15" ht="15.75" customHeight="1"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7"/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3908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458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13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4689.6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916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1641.36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50.0224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9.770666667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3" t="s">
        <v>114</v>
      </c>
      <c r="C2" s="10">
        <v>17.0</v>
      </c>
      <c r="D2" s="10">
        <v>5.0</v>
      </c>
      <c r="E2" s="10">
        <v>8.0</v>
      </c>
      <c r="F2" s="11"/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352</v>
      </c>
      <c r="N2" s="13">
        <f t="shared" ref="N2:N49" si="2">IF(H2,C2*D2,0)</f>
        <v>85</v>
      </c>
      <c r="O2" s="13">
        <f t="shared" ref="O2:O49" si="3">(C2+D2)*2</f>
        <v>44</v>
      </c>
      <c r="P2" s="14">
        <f t="shared" ref="P2:P49" si="4">M2*$AB$7</f>
        <v>422.4</v>
      </c>
      <c r="Q2" s="15">
        <f t="shared" ref="Q2:Q1000" si="5">IFERROR(P2*0.35,0)</f>
        <v>147.84</v>
      </c>
      <c r="R2" s="14">
        <f t="shared" ref="R2:R49" si="6">N2*$AB$8</f>
        <v>102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88</v>
      </c>
      <c r="V2" s="14">
        <f t="shared" ref="V2:V49" si="10">IF(J2,O2*$AB$11,0)</f>
        <v>0</v>
      </c>
      <c r="W2" s="14">
        <f t="shared" ref="W2:W1000" si="11">SUM(P2,R2:V2)</f>
        <v>612.4</v>
      </c>
      <c r="X2" s="16">
        <f t="shared" ref="X2:X1000" si="12">IFERROR((W2*$AB$47)/$AB$48,0)</f>
        <v>6.532266667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3" t="s">
        <v>132</v>
      </c>
      <c r="C3" s="10">
        <v>5.0</v>
      </c>
      <c r="D3" s="10">
        <v>4.0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144</v>
      </c>
      <c r="N3" s="13">
        <f t="shared" si="2"/>
        <v>20</v>
      </c>
      <c r="O3" s="13">
        <f t="shared" si="3"/>
        <v>18</v>
      </c>
      <c r="P3" s="14">
        <f t="shared" si="4"/>
        <v>172.8</v>
      </c>
      <c r="Q3" s="15">
        <f t="shared" si="5"/>
        <v>60.48</v>
      </c>
      <c r="R3" s="14">
        <f t="shared" si="6"/>
        <v>24</v>
      </c>
      <c r="S3" s="14">
        <f t="shared" si="7"/>
        <v>0</v>
      </c>
      <c r="T3" s="14">
        <f t="shared" si="8"/>
        <v>0</v>
      </c>
      <c r="U3" s="14">
        <f t="shared" si="9"/>
        <v>36</v>
      </c>
      <c r="V3" s="14">
        <f t="shared" si="10"/>
        <v>0</v>
      </c>
      <c r="W3" s="14">
        <f t="shared" si="11"/>
        <v>232.8</v>
      </c>
      <c r="X3" s="19">
        <f t="shared" si="12"/>
        <v>2.4832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3" t="s">
        <v>112</v>
      </c>
      <c r="C4" s="10">
        <v>18.0</v>
      </c>
      <c r="D4" s="10">
        <v>11.0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464</v>
      </c>
      <c r="N4" s="13">
        <f t="shared" si="2"/>
        <v>198</v>
      </c>
      <c r="O4" s="13">
        <f t="shared" si="3"/>
        <v>58</v>
      </c>
      <c r="P4" s="14">
        <f t="shared" si="4"/>
        <v>556.8</v>
      </c>
      <c r="Q4" s="15">
        <f t="shared" si="5"/>
        <v>194.88</v>
      </c>
      <c r="R4" s="14">
        <f t="shared" si="6"/>
        <v>237.6</v>
      </c>
      <c r="S4" s="14">
        <f t="shared" si="7"/>
        <v>0</v>
      </c>
      <c r="T4" s="14">
        <f t="shared" si="8"/>
        <v>0</v>
      </c>
      <c r="U4" s="14">
        <f t="shared" si="9"/>
        <v>116</v>
      </c>
      <c r="V4" s="14">
        <f t="shared" si="10"/>
        <v>0</v>
      </c>
      <c r="W4" s="14">
        <f t="shared" si="11"/>
        <v>910.4</v>
      </c>
      <c r="X4" s="19">
        <f t="shared" si="12"/>
        <v>9.710933333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3" t="s">
        <v>113</v>
      </c>
      <c r="C5" s="10">
        <v>10.0</v>
      </c>
      <c r="D5" s="10">
        <v>9.0</v>
      </c>
      <c r="E5" s="10">
        <v>8.0</v>
      </c>
      <c r="F5" s="21"/>
      <c r="G5" s="11" t="b">
        <v>1</v>
      </c>
      <c r="H5" s="12" t="b">
        <v>1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304</v>
      </c>
      <c r="N5" s="13">
        <f t="shared" si="2"/>
        <v>90</v>
      </c>
      <c r="O5" s="13">
        <f t="shared" si="3"/>
        <v>38</v>
      </c>
      <c r="P5" s="14">
        <f t="shared" si="4"/>
        <v>364.8</v>
      </c>
      <c r="Q5" s="15">
        <f t="shared" si="5"/>
        <v>127.68</v>
      </c>
      <c r="R5" s="14">
        <f t="shared" si="6"/>
        <v>108</v>
      </c>
      <c r="S5" s="14">
        <f t="shared" si="7"/>
        <v>0</v>
      </c>
      <c r="T5" s="14">
        <f t="shared" si="8"/>
        <v>0</v>
      </c>
      <c r="U5" s="14">
        <f t="shared" si="9"/>
        <v>76</v>
      </c>
      <c r="V5" s="14">
        <f t="shared" si="10"/>
        <v>0</v>
      </c>
      <c r="W5" s="14">
        <f t="shared" si="11"/>
        <v>548.8</v>
      </c>
      <c r="X5" s="19">
        <f t="shared" si="12"/>
        <v>5.853866667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3" t="s">
        <v>108</v>
      </c>
      <c r="C6" s="10">
        <v>9.0</v>
      </c>
      <c r="D6" s="10">
        <v>15.0</v>
      </c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48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3" t="s">
        <v>126</v>
      </c>
      <c r="C7" s="11">
        <v>3.0</v>
      </c>
      <c r="D7" s="11">
        <v>8.0</v>
      </c>
      <c r="E7" s="11">
        <v>10.0</v>
      </c>
      <c r="F7" s="21"/>
      <c r="G7" s="11" t="b">
        <v>1</v>
      </c>
      <c r="H7" s="12" t="b">
        <v>1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220</v>
      </c>
      <c r="N7" s="13">
        <f t="shared" si="2"/>
        <v>24</v>
      </c>
      <c r="O7" s="13">
        <f t="shared" si="3"/>
        <v>22</v>
      </c>
      <c r="P7" s="14">
        <f t="shared" si="4"/>
        <v>264</v>
      </c>
      <c r="Q7" s="15">
        <f t="shared" si="5"/>
        <v>92.4</v>
      </c>
      <c r="R7" s="14">
        <f t="shared" si="6"/>
        <v>28.8</v>
      </c>
      <c r="S7" s="14">
        <f t="shared" si="7"/>
        <v>0</v>
      </c>
      <c r="T7" s="14">
        <f t="shared" si="8"/>
        <v>0</v>
      </c>
      <c r="U7" s="14">
        <f t="shared" si="9"/>
        <v>44</v>
      </c>
      <c r="V7" s="14">
        <f t="shared" si="10"/>
        <v>0</v>
      </c>
      <c r="W7" s="14">
        <f t="shared" si="11"/>
        <v>336.8</v>
      </c>
      <c r="X7" s="19">
        <f t="shared" si="12"/>
        <v>3.592533333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3" t="s">
        <v>140</v>
      </c>
      <c r="C8" s="11">
        <v>18.0</v>
      </c>
      <c r="D8" s="11">
        <v>12.0</v>
      </c>
      <c r="E8" s="3">
        <v>8.0</v>
      </c>
      <c r="F8" s="21"/>
      <c r="G8" s="11" t="b">
        <v>1</v>
      </c>
      <c r="H8" s="12" t="b">
        <v>1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480</v>
      </c>
      <c r="N8" s="13">
        <f t="shared" si="2"/>
        <v>216</v>
      </c>
      <c r="O8" s="13">
        <f t="shared" si="3"/>
        <v>60</v>
      </c>
      <c r="P8" s="14">
        <f t="shared" si="4"/>
        <v>576</v>
      </c>
      <c r="Q8" s="15">
        <f t="shared" si="5"/>
        <v>201.6</v>
      </c>
      <c r="R8" s="14">
        <f t="shared" si="6"/>
        <v>259.2</v>
      </c>
      <c r="S8" s="14">
        <f t="shared" si="7"/>
        <v>0</v>
      </c>
      <c r="T8" s="14">
        <f t="shared" si="8"/>
        <v>0</v>
      </c>
      <c r="U8" s="14">
        <f t="shared" si="9"/>
        <v>120</v>
      </c>
      <c r="V8" s="14">
        <f t="shared" si="10"/>
        <v>0</v>
      </c>
      <c r="W8" s="14">
        <f t="shared" si="11"/>
        <v>955.2</v>
      </c>
      <c r="X8" s="19">
        <f t="shared" si="12"/>
        <v>10.1888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3" t="s">
        <v>131</v>
      </c>
      <c r="C9" s="11">
        <v>8.0</v>
      </c>
      <c r="D9" s="11">
        <v>6.0</v>
      </c>
      <c r="E9" s="11">
        <v>14.0</v>
      </c>
      <c r="F9" s="21"/>
      <c r="G9" s="11" t="b">
        <v>1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392</v>
      </c>
      <c r="N9" s="13">
        <f t="shared" si="2"/>
        <v>48</v>
      </c>
      <c r="O9" s="13">
        <f t="shared" si="3"/>
        <v>28</v>
      </c>
      <c r="P9" s="14">
        <f t="shared" si="4"/>
        <v>470.4</v>
      </c>
      <c r="Q9" s="15">
        <f t="shared" si="5"/>
        <v>164.64</v>
      </c>
      <c r="R9" s="14">
        <f t="shared" si="6"/>
        <v>57.6</v>
      </c>
      <c r="S9" s="14">
        <f t="shared" si="7"/>
        <v>0</v>
      </c>
      <c r="T9" s="14">
        <f t="shared" si="8"/>
        <v>0</v>
      </c>
      <c r="U9" s="14">
        <f t="shared" si="9"/>
        <v>56</v>
      </c>
      <c r="V9" s="14">
        <f t="shared" si="10"/>
        <v>0</v>
      </c>
      <c r="W9" s="14">
        <f t="shared" si="11"/>
        <v>584</v>
      </c>
      <c r="X9" s="19">
        <f t="shared" si="12"/>
        <v>6.229333333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3" t="s">
        <v>128</v>
      </c>
      <c r="C10" s="11">
        <v>10.0</v>
      </c>
      <c r="D10" s="11">
        <v>3.0</v>
      </c>
      <c r="E10" s="11">
        <v>8.0</v>
      </c>
      <c r="F10" s="21"/>
      <c r="G10" s="11" t="b">
        <v>1</v>
      </c>
      <c r="H10" s="12" t="b">
        <v>1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208</v>
      </c>
      <c r="N10" s="13">
        <f t="shared" si="2"/>
        <v>30</v>
      </c>
      <c r="O10" s="13">
        <f t="shared" si="3"/>
        <v>26</v>
      </c>
      <c r="P10" s="14">
        <f t="shared" si="4"/>
        <v>249.6</v>
      </c>
      <c r="Q10" s="15">
        <f t="shared" si="5"/>
        <v>87.36</v>
      </c>
      <c r="R10" s="14">
        <f t="shared" si="6"/>
        <v>36</v>
      </c>
      <c r="S10" s="14">
        <f t="shared" si="7"/>
        <v>0</v>
      </c>
      <c r="T10" s="14">
        <f t="shared" si="8"/>
        <v>0</v>
      </c>
      <c r="U10" s="14">
        <f t="shared" si="9"/>
        <v>52</v>
      </c>
      <c r="V10" s="14">
        <f t="shared" si="10"/>
        <v>0</v>
      </c>
      <c r="W10" s="14">
        <f t="shared" si="11"/>
        <v>337.6</v>
      </c>
      <c r="X10" s="19">
        <f t="shared" si="12"/>
        <v>3.601066667</v>
      </c>
      <c r="AA10" s="8" t="s">
        <v>42</v>
      </c>
      <c r="AB10" s="8">
        <v>2.0</v>
      </c>
    </row>
    <row r="11" ht="15.75" customHeight="1">
      <c r="A11" s="21">
        <v>10.0</v>
      </c>
      <c r="B11" s="3" t="s">
        <v>88</v>
      </c>
      <c r="C11" s="11">
        <v>12.0</v>
      </c>
      <c r="D11" s="11">
        <v>15.0</v>
      </c>
      <c r="E11" s="11">
        <v>8.0</v>
      </c>
      <c r="F11" s="21"/>
      <c r="G11" s="11" t="b">
        <v>1</v>
      </c>
      <c r="H11" s="12" t="b">
        <v>1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432</v>
      </c>
      <c r="N11" s="13">
        <f t="shared" si="2"/>
        <v>180</v>
      </c>
      <c r="O11" s="13">
        <f t="shared" si="3"/>
        <v>54</v>
      </c>
      <c r="P11" s="14">
        <f t="shared" si="4"/>
        <v>518.4</v>
      </c>
      <c r="Q11" s="15">
        <f t="shared" si="5"/>
        <v>181.44</v>
      </c>
      <c r="R11" s="14">
        <f t="shared" si="6"/>
        <v>216</v>
      </c>
      <c r="S11" s="14">
        <f t="shared" si="7"/>
        <v>0</v>
      </c>
      <c r="T11" s="14">
        <f t="shared" si="8"/>
        <v>0</v>
      </c>
      <c r="U11" s="14">
        <f t="shared" si="9"/>
        <v>108</v>
      </c>
      <c r="V11" s="14">
        <f t="shared" si="10"/>
        <v>0</v>
      </c>
      <c r="W11" s="14">
        <f t="shared" si="11"/>
        <v>842.4</v>
      </c>
      <c r="X11" s="19">
        <f t="shared" si="12"/>
        <v>8.9856</v>
      </c>
      <c r="AA11" s="8" t="s">
        <v>44</v>
      </c>
      <c r="AB11" s="3">
        <v>1.1</v>
      </c>
    </row>
    <row r="12" ht="15.75" customHeight="1">
      <c r="A12" s="21">
        <v>11.0</v>
      </c>
      <c r="B12" s="3" t="s">
        <v>141</v>
      </c>
      <c r="C12" s="11">
        <v>11.0</v>
      </c>
      <c r="D12" s="11">
        <v>5.0</v>
      </c>
      <c r="E12" s="11">
        <v>8.0</v>
      </c>
      <c r="F12" s="21"/>
      <c r="G12" s="11" t="b">
        <v>1</v>
      </c>
      <c r="H12" s="12" t="b">
        <v>1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256</v>
      </c>
      <c r="N12" s="13">
        <f t="shared" si="2"/>
        <v>55</v>
      </c>
      <c r="O12" s="13">
        <f t="shared" si="3"/>
        <v>32</v>
      </c>
      <c r="P12" s="14">
        <f t="shared" si="4"/>
        <v>307.2</v>
      </c>
      <c r="Q12" s="15">
        <f t="shared" si="5"/>
        <v>107.52</v>
      </c>
      <c r="R12" s="14">
        <f t="shared" si="6"/>
        <v>66</v>
      </c>
      <c r="S12" s="14">
        <f t="shared" si="7"/>
        <v>0</v>
      </c>
      <c r="T12" s="14">
        <f t="shared" si="8"/>
        <v>0</v>
      </c>
      <c r="U12" s="14">
        <f t="shared" si="9"/>
        <v>64</v>
      </c>
      <c r="V12" s="14">
        <f t="shared" si="10"/>
        <v>0</v>
      </c>
      <c r="W12" s="14">
        <f t="shared" si="11"/>
        <v>437.2</v>
      </c>
      <c r="X12" s="19">
        <f t="shared" si="12"/>
        <v>4.663466667</v>
      </c>
      <c r="AA12" s="8" t="s">
        <v>46</v>
      </c>
      <c r="AB12" s="3">
        <v>8.0</v>
      </c>
    </row>
    <row r="13" ht="21.0" customHeight="1">
      <c r="A13" s="21">
        <v>12.0</v>
      </c>
      <c r="B13" s="3" t="s">
        <v>105</v>
      </c>
      <c r="C13" s="11">
        <v>9.0</v>
      </c>
      <c r="D13" s="11">
        <v>4.0</v>
      </c>
      <c r="E13" s="11">
        <v>8.0</v>
      </c>
      <c r="F13" s="21"/>
      <c r="G13" s="11" t="b">
        <v>1</v>
      </c>
      <c r="H13" s="12" t="b">
        <v>1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208</v>
      </c>
      <c r="N13" s="13">
        <f t="shared" si="2"/>
        <v>36</v>
      </c>
      <c r="O13" s="13">
        <f t="shared" si="3"/>
        <v>26</v>
      </c>
      <c r="P13" s="14">
        <f t="shared" si="4"/>
        <v>249.6</v>
      </c>
      <c r="Q13" s="15">
        <f t="shared" si="5"/>
        <v>87.36</v>
      </c>
      <c r="R13" s="14">
        <f t="shared" si="6"/>
        <v>43.2</v>
      </c>
      <c r="S13" s="14">
        <f t="shared" si="7"/>
        <v>0</v>
      </c>
      <c r="T13" s="14">
        <f t="shared" si="8"/>
        <v>0</v>
      </c>
      <c r="U13" s="14">
        <f t="shared" si="9"/>
        <v>52</v>
      </c>
      <c r="V13" s="14">
        <f t="shared" si="10"/>
        <v>0</v>
      </c>
      <c r="W13" s="14">
        <f t="shared" si="11"/>
        <v>344.8</v>
      </c>
      <c r="X13" s="19">
        <f t="shared" si="12"/>
        <v>3.677866667</v>
      </c>
      <c r="AA13" s="3" t="s">
        <v>48</v>
      </c>
      <c r="AB13" s="3">
        <v>185.0</v>
      </c>
    </row>
    <row r="14" ht="15.75" customHeight="1">
      <c r="A14" s="21">
        <v>13.0</v>
      </c>
      <c r="B14" s="3" t="s">
        <v>129</v>
      </c>
      <c r="C14" s="11">
        <v>9.0</v>
      </c>
      <c r="D14" s="11">
        <v>14.0</v>
      </c>
      <c r="E14" s="11">
        <v>8.0</v>
      </c>
      <c r="F14" s="21"/>
      <c r="G14" s="11" t="b">
        <v>1</v>
      </c>
      <c r="H14" s="12" t="b">
        <v>1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368</v>
      </c>
      <c r="N14" s="13">
        <f t="shared" si="2"/>
        <v>126</v>
      </c>
      <c r="O14" s="13">
        <f t="shared" si="3"/>
        <v>46</v>
      </c>
      <c r="P14" s="14">
        <f t="shared" si="4"/>
        <v>441.6</v>
      </c>
      <c r="Q14" s="15">
        <f t="shared" si="5"/>
        <v>154.56</v>
      </c>
      <c r="R14" s="14">
        <f t="shared" si="6"/>
        <v>151.2</v>
      </c>
      <c r="S14" s="14">
        <f t="shared" si="7"/>
        <v>0</v>
      </c>
      <c r="T14" s="14">
        <f t="shared" si="8"/>
        <v>0</v>
      </c>
      <c r="U14" s="14">
        <f t="shared" si="9"/>
        <v>92</v>
      </c>
      <c r="V14" s="14">
        <f t="shared" si="10"/>
        <v>0</v>
      </c>
      <c r="W14" s="14">
        <f t="shared" si="11"/>
        <v>684.8</v>
      </c>
      <c r="X14" s="19">
        <f t="shared" si="12"/>
        <v>7.304533333</v>
      </c>
    </row>
    <row r="15" ht="15.75" customHeight="1">
      <c r="A15" s="21">
        <v>14.0</v>
      </c>
      <c r="B15" s="3" t="s">
        <v>130</v>
      </c>
      <c r="C15" s="11">
        <v>12.0</v>
      </c>
      <c r="D15" s="11">
        <v>9.0</v>
      </c>
      <c r="E15" s="11">
        <v>8.0</v>
      </c>
      <c r="F15" s="21"/>
      <c r="G15" s="11" t="b">
        <v>1</v>
      </c>
      <c r="H15" s="12" t="b">
        <v>1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336</v>
      </c>
      <c r="N15" s="13">
        <f t="shared" si="2"/>
        <v>108</v>
      </c>
      <c r="O15" s="13">
        <f t="shared" si="3"/>
        <v>42</v>
      </c>
      <c r="P15" s="14">
        <f t="shared" si="4"/>
        <v>403.2</v>
      </c>
      <c r="Q15" s="15">
        <f t="shared" si="5"/>
        <v>141.12</v>
      </c>
      <c r="R15" s="14">
        <f t="shared" si="6"/>
        <v>129.6</v>
      </c>
      <c r="S15" s="14">
        <f t="shared" si="7"/>
        <v>0</v>
      </c>
      <c r="T15" s="14">
        <f t="shared" si="8"/>
        <v>0</v>
      </c>
      <c r="U15" s="14">
        <f t="shared" si="9"/>
        <v>84</v>
      </c>
      <c r="V15" s="14">
        <f t="shared" si="10"/>
        <v>0</v>
      </c>
      <c r="W15" s="14">
        <f t="shared" si="11"/>
        <v>616.8</v>
      </c>
      <c r="X15" s="19">
        <f t="shared" si="12"/>
        <v>6.5792</v>
      </c>
      <c r="AA15" s="25" t="s">
        <v>51</v>
      </c>
      <c r="AB15" s="26"/>
    </row>
    <row r="16" ht="15.75" customHeight="1">
      <c r="A16" s="21">
        <v>15.0</v>
      </c>
      <c r="B16" s="9" t="s">
        <v>89</v>
      </c>
      <c r="C16" s="11">
        <v>6.0</v>
      </c>
      <c r="D16" s="11">
        <v>5.0</v>
      </c>
      <c r="E16" s="11">
        <v>8.0</v>
      </c>
      <c r="F16" s="21"/>
      <c r="G16" s="11" t="b">
        <v>1</v>
      </c>
      <c r="H16" s="12" t="b">
        <v>1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176</v>
      </c>
      <c r="N16" s="13">
        <f t="shared" si="2"/>
        <v>30</v>
      </c>
      <c r="O16" s="13">
        <f t="shared" si="3"/>
        <v>22</v>
      </c>
      <c r="P16" s="14">
        <f t="shared" si="4"/>
        <v>211.2</v>
      </c>
      <c r="Q16" s="15">
        <f t="shared" si="5"/>
        <v>73.92</v>
      </c>
      <c r="R16" s="14">
        <f t="shared" si="6"/>
        <v>36</v>
      </c>
      <c r="S16" s="14">
        <f t="shared" si="7"/>
        <v>0</v>
      </c>
      <c r="T16" s="14">
        <f t="shared" si="8"/>
        <v>0</v>
      </c>
      <c r="U16" s="14">
        <f t="shared" si="9"/>
        <v>44</v>
      </c>
      <c r="V16" s="14">
        <f t="shared" si="10"/>
        <v>0</v>
      </c>
      <c r="W16" s="14">
        <f t="shared" si="11"/>
        <v>291.2</v>
      </c>
      <c r="X16" s="19">
        <f t="shared" si="12"/>
        <v>3.106133333</v>
      </c>
      <c r="AA16" s="28" t="s">
        <v>52</v>
      </c>
      <c r="AB16" s="29">
        <f>SUM(M2:M1000)</f>
        <v>4340</v>
      </c>
    </row>
    <row r="17" ht="15.75" customHeight="1">
      <c r="A17" s="21">
        <v>16.0</v>
      </c>
      <c r="B17" s="11" t="s">
        <v>47</v>
      </c>
      <c r="C17" s="21"/>
      <c r="D17" s="21"/>
      <c r="E17" s="21"/>
      <c r="F17" s="21"/>
      <c r="G17" s="11" t="b">
        <v>0</v>
      </c>
      <c r="H17" s="12" t="b">
        <v>1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1246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1</v>
      </c>
      <c r="H19" s="12" t="b">
        <v>1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516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1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3.56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7.06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15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5208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1495.2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1032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1822.8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55.552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15.9488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11.008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3" t="s">
        <v>142</v>
      </c>
      <c r="C2" s="10">
        <v>11.0</v>
      </c>
      <c r="D2" s="10">
        <v>11.0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352</v>
      </c>
      <c r="N2" s="13">
        <f t="shared" ref="N2:N49" si="2">IF(H2,C2*D2,0)</f>
        <v>0</v>
      </c>
      <c r="O2" s="13">
        <f t="shared" ref="O2:O49" si="3">(C2+D2)*2</f>
        <v>44</v>
      </c>
      <c r="P2" s="14">
        <f t="shared" ref="P2:P49" si="4">M2*$AB$7</f>
        <v>422.4</v>
      </c>
      <c r="Q2" s="15">
        <f t="shared" ref="Q2:Q1000" si="5">IFERROR(P2*0.35,0)</f>
        <v>147.84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88</v>
      </c>
      <c r="V2" s="14">
        <f t="shared" ref="V2:V49" si="10">IF(J2,O2*$AB$11,0)</f>
        <v>0</v>
      </c>
      <c r="W2" s="14">
        <f t="shared" ref="W2:W1000" si="11">SUM(P2,R2:V2)</f>
        <v>510.4</v>
      </c>
      <c r="X2" s="16">
        <f t="shared" ref="X2:X1000" si="12">IFERROR((W2*$AB$47)/$AB$48,0)</f>
        <v>5.444266667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3" t="s">
        <v>143</v>
      </c>
      <c r="C3" s="10">
        <v>5.0</v>
      </c>
      <c r="D3" s="10">
        <v>6.0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176</v>
      </c>
      <c r="N3" s="13">
        <f t="shared" si="2"/>
        <v>0</v>
      </c>
      <c r="O3" s="13">
        <f t="shared" si="3"/>
        <v>22</v>
      </c>
      <c r="P3" s="14">
        <f t="shared" si="4"/>
        <v>211.2</v>
      </c>
      <c r="Q3" s="15">
        <f t="shared" si="5"/>
        <v>73.92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44</v>
      </c>
      <c r="V3" s="14">
        <f t="shared" si="10"/>
        <v>0</v>
      </c>
      <c r="W3" s="14">
        <f t="shared" si="11"/>
        <v>255.2</v>
      </c>
      <c r="X3" s="19">
        <f t="shared" si="12"/>
        <v>2.722133333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3" t="s">
        <v>144</v>
      </c>
      <c r="C4" s="10">
        <v>17.0</v>
      </c>
      <c r="D4" s="10">
        <v>3.0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40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80</v>
      </c>
      <c r="V4" s="14">
        <f t="shared" si="10"/>
        <v>0</v>
      </c>
      <c r="W4" s="14">
        <f t="shared" si="11"/>
        <v>80</v>
      </c>
      <c r="X4" s="19">
        <f t="shared" si="12"/>
        <v>0.8533333333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3" t="s">
        <v>129</v>
      </c>
      <c r="C5" s="10">
        <v>12.0</v>
      </c>
      <c r="D5" s="10">
        <v>11.0</v>
      </c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46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92</v>
      </c>
      <c r="V5" s="14">
        <f t="shared" si="10"/>
        <v>0</v>
      </c>
      <c r="W5" s="14">
        <f t="shared" si="11"/>
        <v>92</v>
      </c>
      <c r="X5" s="19">
        <f t="shared" si="12"/>
        <v>0.9813333333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3" t="s">
        <v>145</v>
      </c>
      <c r="C6" s="10">
        <v>5.0</v>
      </c>
      <c r="D6" s="10">
        <v>5.0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160</v>
      </c>
      <c r="N6" s="13">
        <f t="shared" si="2"/>
        <v>0</v>
      </c>
      <c r="O6" s="13">
        <f t="shared" si="3"/>
        <v>20</v>
      </c>
      <c r="P6" s="14">
        <f t="shared" si="4"/>
        <v>192</v>
      </c>
      <c r="Q6" s="15">
        <f t="shared" si="5"/>
        <v>67.2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40</v>
      </c>
      <c r="V6" s="14">
        <f t="shared" si="10"/>
        <v>0</v>
      </c>
      <c r="W6" s="14">
        <f t="shared" si="11"/>
        <v>232</v>
      </c>
      <c r="X6" s="19">
        <f t="shared" si="12"/>
        <v>2.474666667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3" t="s">
        <v>126</v>
      </c>
      <c r="C7" s="11">
        <v>14.0</v>
      </c>
      <c r="D7" s="11">
        <v>3.0</v>
      </c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34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68</v>
      </c>
      <c r="V7" s="14">
        <f t="shared" si="10"/>
        <v>0</v>
      </c>
      <c r="W7" s="14">
        <f t="shared" si="11"/>
        <v>68</v>
      </c>
      <c r="X7" s="19">
        <f t="shared" si="12"/>
        <v>0.7253333333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3" t="s">
        <v>102</v>
      </c>
      <c r="C8" s="11">
        <v>22.0</v>
      </c>
      <c r="D8" s="11">
        <v>11.0</v>
      </c>
      <c r="E8" s="3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66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132</v>
      </c>
      <c r="V8" s="14">
        <f t="shared" si="10"/>
        <v>0</v>
      </c>
      <c r="W8" s="14">
        <f t="shared" si="11"/>
        <v>132</v>
      </c>
      <c r="X8" s="19">
        <f t="shared" si="12"/>
        <v>1.408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9" t="s">
        <v>98</v>
      </c>
      <c r="C9" s="11">
        <v>5.0</v>
      </c>
      <c r="D9" s="11">
        <v>4.0</v>
      </c>
      <c r="E9" s="11">
        <v>8.0</v>
      </c>
      <c r="F9" s="21"/>
      <c r="G9" s="11" t="b">
        <v>0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0</v>
      </c>
      <c r="N9" s="13">
        <f t="shared" si="2"/>
        <v>20</v>
      </c>
      <c r="O9" s="13">
        <f t="shared" si="3"/>
        <v>18</v>
      </c>
      <c r="P9" s="14">
        <f t="shared" si="4"/>
        <v>0</v>
      </c>
      <c r="Q9" s="15">
        <f t="shared" si="5"/>
        <v>0</v>
      </c>
      <c r="R9" s="14">
        <f t="shared" si="6"/>
        <v>24</v>
      </c>
      <c r="S9" s="14">
        <f t="shared" si="7"/>
        <v>0</v>
      </c>
      <c r="T9" s="14">
        <f t="shared" si="8"/>
        <v>0</v>
      </c>
      <c r="U9" s="14">
        <f t="shared" si="9"/>
        <v>36</v>
      </c>
      <c r="V9" s="14">
        <f t="shared" si="10"/>
        <v>0</v>
      </c>
      <c r="W9" s="14">
        <f t="shared" si="11"/>
        <v>60</v>
      </c>
      <c r="X9" s="19">
        <f t="shared" si="12"/>
        <v>0.64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3" t="s">
        <v>146</v>
      </c>
      <c r="C10" s="11">
        <v>14.0</v>
      </c>
      <c r="D10" s="11">
        <v>10.0</v>
      </c>
      <c r="E10" s="11">
        <v>8.0</v>
      </c>
      <c r="F10" s="21"/>
      <c r="G10" s="11" t="b">
        <v>0</v>
      </c>
      <c r="H10" s="12" t="b">
        <v>1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0</v>
      </c>
      <c r="N10" s="13">
        <f t="shared" si="2"/>
        <v>140</v>
      </c>
      <c r="O10" s="13">
        <f t="shared" si="3"/>
        <v>48</v>
      </c>
      <c r="P10" s="14">
        <f t="shared" si="4"/>
        <v>0</v>
      </c>
      <c r="Q10" s="15">
        <f t="shared" si="5"/>
        <v>0</v>
      </c>
      <c r="R10" s="14">
        <f t="shared" si="6"/>
        <v>168</v>
      </c>
      <c r="S10" s="14">
        <f t="shared" si="7"/>
        <v>0</v>
      </c>
      <c r="T10" s="14">
        <f t="shared" si="8"/>
        <v>0</v>
      </c>
      <c r="U10" s="14">
        <f t="shared" si="9"/>
        <v>96</v>
      </c>
      <c r="V10" s="14">
        <f t="shared" si="10"/>
        <v>0</v>
      </c>
      <c r="W10" s="14">
        <f t="shared" si="11"/>
        <v>264</v>
      </c>
      <c r="X10" s="19">
        <f t="shared" si="12"/>
        <v>2.816</v>
      </c>
      <c r="AA10" s="8" t="s">
        <v>42</v>
      </c>
      <c r="AB10" s="8">
        <v>2.0</v>
      </c>
    </row>
    <row r="11" ht="15.75" customHeight="1">
      <c r="A11" s="21">
        <v>10.0</v>
      </c>
      <c r="C11" s="11"/>
      <c r="D11" s="11"/>
      <c r="E11" s="11"/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C12" s="11"/>
      <c r="D12" s="11"/>
      <c r="E12" s="11"/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C13" s="11"/>
      <c r="D13" s="11"/>
      <c r="E13" s="11"/>
      <c r="F13" s="21"/>
      <c r="G13" s="11" t="b">
        <v>1</v>
      </c>
      <c r="H13" s="12" t="b">
        <v>1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C14" s="11"/>
      <c r="D14" s="11"/>
      <c r="E14" s="11"/>
      <c r="F14" s="21"/>
      <c r="G14" s="11" t="b">
        <v>1</v>
      </c>
      <c r="H14" s="12" t="b">
        <v>1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C15" s="11"/>
      <c r="D15" s="11"/>
      <c r="E15" s="11">
        <v>8.0</v>
      </c>
      <c r="F15" s="21"/>
      <c r="G15" s="11" t="b">
        <v>1</v>
      </c>
      <c r="H15" s="12" t="b">
        <v>1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9"/>
      <c r="C16" s="11"/>
      <c r="D16" s="11"/>
      <c r="E16" s="11">
        <v>8.0</v>
      </c>
      <c r="F16" s="21"/>
      <c r="G16" s="11" t="b">
        <v>1</v>
      </c>
      <c r="H16" s="12" t="b">
        <v>1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688</v>
      </c>
    </row>
    <row r="17" ht="15.75" customHeight="1">
      <c r="A17" s="21">
        <v>16.0</v>
      </c>
      <c r="B17" s="11"/>
      <c r="C17" s="21"/>
      <c r="D17" s="21"/>
      <c r="E17" s="21"/>
      <c r="F17" s="21"/>
      <c r="G17" s="11" t="b">
        <v>0</v>
      </c>
      <c r="H17" s="12" t="b">
        <v>1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160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1</v>
      </c>
      <c r="H19" s="12" t="b">
        <v>1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338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1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0.4571428571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3.957142857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825.6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192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676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/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288.96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8.8064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2.048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7.210666667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147</v>
      </c>
      <c r="C2" s="10">
        <v>15.0</v>
      </c>
      <c r="D2" s="10">
        <v>13.0</v>
      </c>
      <c r="E2" s="10">
        <v>8.0</v>
      </c>
      <c r="F2" s="11"/>
      <c r="G2" s="11" t="b">
        <v>0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0</v>
      </c>
      <c r="N2" s="13">
        <f t="shared" ref="N2:N49" si="2">IF(H2,C2*D2,0)</f>
        <v>0</v>
      </c>
      <c r="O2" s="13">
        <f t="shared" ref="O2:O49" si="3">(C2+D2)*2</f>
        <v>56</v>
      </c>
      <c r="P2" s="14">
        <f t="shared" ref="P2:P49" si="4">M2*$AB$7</f>
        <v>0</v>
      </c>
      <c r="Q2" s="15">
        <f t="shared" ref="Q2:Q1000" si="5">IFERROR(P2*0.35,0)</f>
        <v>0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0</v>
      </c>
      <c r="X2" s="16">
        <f t="shared" ref="X2:X1000" si="12">IFERROR((W2*$AB$47)/$AB$48,0)</f>
        <v>0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87</v>
      </c>
      <c r="C3" s="10">
        <v>12.0</v>
      </c>
      <c r="D3" s="10">
        <v>16.0</v>
      </c>
      <c r="E3" s="10">
        <v>8.0</v>
      </c>
      <c r="F3" s="11"/>
      <c r="G3" s="11" t="b">
        <v>0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0</v>
      </c>
      <c r="N3" s="13">
        <f t="shared" si="2"/>
        <v>0</v>
      </c>
      <c r="O3" s="13">
        <f t="shared" si="3"/>
        <v>56</v>
      </c>
      <c r="P3" s="14">
        <f t="shared" si="4"/>
        <v>0</v>
      </c>
      <c r="Q3" s="15">
        <f t="shared" si="5"/>
        <v>0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0</v>
      </c>
      <c r="X3" s="19">
        <f t="shared" si="12"/>
        <v>0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148</v>
      </c>
      <c r="C4" s="10">
        <v>11.0</v>
      </c>
      <c r="D4" s="10">
        <v>11.0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44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149</v>
      </c>
      <c r="C5" s="10">
        <v>10.0</v>
      </c>
      <c r="D5" s="10">
        <v>19.0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464</v>
      </c>
      <c r="N5" s="13">
        <f t="shared" si="2"/>
        <v>0</v>
      </c>
      <c r="O5" s="13">
        <f t="shared" si="3"/>
        <v>58</v>
      </c>
      <c r="P5" s="14">
        <f t="shared" si="4"/>
        <v>556.8</v>
      </c>
      <c r="Q5" s="15">
        <f t="shared" si="5"/>
        <v>194.88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556.8</v>
      </c>
      <c r="X5" s="19">
        <f t="shared" si="12"/>
        <v>5.9392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/>
      <c r="C8" s="11"/>
      <c r="D8" s="11"/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/>
      <c r="C9" s="11"/>
      <c r="D9" s="11"/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/>
      <c r="C10" s="11"/>
      <c r="D10" s="11"/>
      <c r="E10" s="11">
        <v>8.0</v>
      </c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464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4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556.8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556.8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194.88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5.9392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5.9392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150</v>
      </c>
      <c r="C2" s="10">
        <v>13.0</v>
      </c>
      <c r="D2" s="10">
        <v>16.0</v>
      </c>
      <c r="E2" s="10">
        <v>8.0</v>
      </c>
      <c r="F2" s="11"/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464</v>
      </c>
      <c r="N2" s="13">
        <f t="shared" ref="N2:N49" si="2">IF(H2,C2*D2,0)</f>
        <v>208</v>
      </c>
      <c r="O2" s="13">
        <f t="shared" ref="O2:O49" si="3">(C2+D2)*2</f>
        <v>58</v>
      </c>
      <c r="P2" s="14">
        <f t="shared" ref="P2:P49" si="4">M2*$AB$7</f>
        <v>556.8</v>
      </c>
      <c r="Q2" s="15">
        <f t="shared" ref="Q2:Q1000" si="5">IFERROR(P2*0.35,0)</f>
        <v>194.88</v>
      </c>
      <c r="R2" s="14">
        <f t="shared" ref="R2:R49" si="6">N2*$AB$8</f>
        <v>249.6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116</v>
      </c>
      <c r="V2" s="14">
        <f t="shared" ref="V2:V49" si="10">IF(J2,O2*$AB$11,0)</f>
        <v>0</v>
      </c>
      <c r="W2" s="14">
        <f t="shared" ref="W2:W1000" si="11">SUM(P2,R2:V2)</f>
        <v>922.4</v>
      </c>
      <c r="X2" s="16">
        <f t="shared" ref="X2:X1000" si="12">IFERROR((W2*$AB$47)/$AB$48,0)</f>
        <v>9.838933333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151</v>
      </c>
      <c r="C3" s="10">
        <v>14.0</v>
      </c>
      <c r="D3" s="10">
        <v>22.0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576</v>
      </c>
      <c r="N3" s="13">
        <f t="shared" si="2"/>
        <v>308</v>
      </c>
      <c r="O3" s="13">
        <f t="shared" si="3"/>
        <v>72</v>
      </c>
      <c r="P3" s="14">
        <f t="shared" si="4"/>
        <v>691.2</v>
      </c>
      <c r="Q3" s="15">
        <f t="shared" si="5"/>
        <v>241.92</v>
      </c>
      <c r="R3" s="14">
        <f t="shared" si="6"/>
        <v>369.6</v>
      </c>
      <c r="S3" s="14">
        <f t="shared" si="7"/>
        <v>0</v>
      </c>
      <c r="T3" s="14">
        <f t="shared" si="8"/>
        <v>0</v>
      </c>
      <c r="U3" s="14">
        <f t="shared" si="9"/>
        <v>144</v>
      </c>
      <c r="V3" s="14">
        <f t="shared" si="10"/>
        <v>0</v>
      </c>
      <c r="W3" s="14">
        <f t="shared" si="11"/>
        <v>1204.8</v>
      </c>
      <c r="X3" s="19">
        <f t="shared" si="12"/>
        <v>12.8512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47</v>
      </c>
      <c r="C4" s="10">
        <v>14.0</v>
      </c>
      <c r="D4" s="10">
        <v>11.0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400</v>
      </c>
      <c r="N4" s="13">
        <f t="shared" si="2"/>
        <v>154</v>
      </c>
      <c r="O4" s="13">
        <f t="shared" si="3"/>
        <v>50</v>
      </c>
      <c r="P4" s="14">
        <f t="shared" si="4"/>
        <v>480</v>
      </c>
      <c r="Q4" s="15">
        <f t="shared" si="5"/>
        <v>168</v>
      </c>
      <c r="R4" s="14">
        <f t="shared" si="6"/>
        <v>184.8</v>
      </c>
      <c r="S4" s="14">
        <f t="shared" si="7"/>
        <v>0</v>
      </c>
      <c r="T4" s="14">
        <f t="shared" si="8"/>
        <v>0</v>
      </c>
      <c r="U4" s="14">
        <f t="shared" si="9"/>
        <v>100</v>
      </c>
      <c r="V4" s="14">
        <f t="shared" si="10"/>
        <v>0</v>
      </c>
      <c r="W4" s="14">
        <f t="shared" si="11"/>
        <v>764.8</v>
      </c>
      <c r="X4" s="19">
        <f t="shared" si="12"/>
        <v>8.157866667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33</v>
      </c>
      <c r="C5" s="10">
        <v>12.0</v>
      </c>
      <c r="D5" s="10">
        <v>16.0</v>
      </c>
      <c r="E5" s="10">
        <v>8.0</v>
      </c>
      <c r="F5" s="21"/>
      <c r="G5" s="11" t="b">
        <v>1</v>
      </c>
      <c r="H5" s="12" t="b">
        <v>1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448</v>
      </c>
      <c r="N5" s="13">
        <f t="shared" si="2"/>
        <v>192</v>
      </c>
      <c r="O5" s="13">
        <f t="shared" si="3"/>
        <v>56</v>
      </c>
      <c r="P5" s="14">
        <f t="shared" si="4"/>
        <v>537.6</v>
      </c>
      <c r="Q5" s="15">
        <f t="shared" si="5"/>
        <v>188.16</v>
      </c>
      <c r="R5" s="14">
        <f t="shared" si="6"/>
        <v>230.4</v>
      </c>
      <c r="S5" s="14">
        <f t="shared" si="7"/>
        <v>0</v>
      </c>
      <c r="T5" s="14">
        <f t="shared" si="8"/>
        <v>0</v>
      </c>
      <c r="U5" s="14">
        <f t="shared" si="9"/>
        <v>112</v>
      </c>
      <c r="V5" s="14">
        <f t="shared" si="10"/>
        <v>0</v>
      </c>
      <c r="W5" s="14">
        <f t="shared" si="11"/>
        <v>880</v>
      </c>
      <c r="X5" s="19">
        <f t="shared" si="12"/>
        <v>9.386666667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87</v>
      </c>
      <c r="C6" s="10">
        <v>9.0</v>
      </c>
      <c r="D6" s="10">
        <v>11.0</v>
      </c>
      <c r="E6" s="10">
        <v>8.0</v>
      </c>
      <c r="F6" s="21"/>
      <c r="G6" s="11" t="b">
        <v>1</v>
      </c>
      <c r="H6" s="12" t="b">
        <v>1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320</v>
      </c>
      <c r="N6" s="13">
        <f t="shared" si="2"/>
        <v>99</v>
      </c>
      <c r="O6" s="13">
        <f t="shared" si="3"/>
        <v>40</v>
      </c>
      <c r="P6" s="14">
        <f t="shared" si="4"/>
        <v>384</v>
      </c>
      <c r="Q6" s="15">
        <f t="shared" si="5"/>
        <v>134.4</v>
      </c>
      <c r="R6" s="14">
        <f t="shared" si="6"/>
        <v>118.8</v>
      </c>
      <c r="S6" s="14">
        <f t="shared" si="7"/>
        <v>0</v>
      </c>
      <c r="T6" s="14">
        <f t="shared" si="8"/>
        <v>0</v>
      </c>
      <c r="U6" s="14">
        <f t="shared" si="9"/>
        <v>80</v>
      </c>
      <c r="V6" s="14">
        <f t="shared" si="10"/>
        <v>0</v>
      </c>
      <c r="W6" s="14">
        <f t="shared" si="11"/>
        <v>582.8</v>
      </c>
      <c r="X6" s="19">
        <f t="shared" si="12"/>
        <v>6.216533333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 t="s">
        <v>91</v>
      </c>
      <c r="C7" s="11">
        <v>10.0</v>
      </c>
      <c r="D7" s="11">
        <v>11.0</v>
      </c>
      <c r="E7" s="11">
        <v>8.0</v>
      </c>
      <c r="F7" s="21"/>
      <c r="G7" s="11" t="b">
        <v>1</v>
      </c>
      <c r="H7" s="12" t="b">
        <v>1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336</v>
      </c>
      <c r="N7" s="13">
        <f t="shared" si="2"/>
        <v>110</v>
      </c>
      <c r="O7" s="13">
        <f t="shared" si="3"/>
        <v>42</v>
      </c>
      <c r="P7" s="14">
        <f t="shared" si="4"/>
        <v>403.2</v>
      </c>
      <c r="Q7" s="15">
        <f t="shared" si="5"/>
        <v>141.12</v>
      </c>
      <c r="R7" s="14">
        <f t="shared" si="6"/>
        <v>132</v>
      </c>
      <c r="S7" s="14">
        <f t="shared" si="7"/>
        <v>0</v>
      </c>
      <c r="T7" s="14">
        <f t="shared" si="8"/>
        <v>0</v>
      </c>
      <c r="U7" s="14">
        <f t="shared" si="9"/>
        <v>84</v>
      </c>
      <c r="V7" s="14">
        <f t="shared" si="10"/>
        <v>0</v>
      </c>
      <c r="W7" s="14">
        <f t="shared" si="11"/>
        <v>619.2</v>
      </c>
      <c r="X7" s="19">
        <f t="shared" si="12"/>
        <v>6.6048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/>
      <c r="C8" s="11"/>
      <c r="D8" s="11"/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/>
      <c r="C9" s="11"/>
      <c r="D9" s="11"/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/>
      <c r="C10" s="11"/>
      <c r="D10" s="11"/>
      <c r="E10" s="11">
        <v>8.0</v>
      </c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2544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1071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318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3.06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6.56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6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3052.8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1285.2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636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4974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1068.48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32.5632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13.7088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6.784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53.056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147</v>
      </c>
      <c r="C2" s="10">
        <v>17.0</v>
      </c>
      <c r="D2" s="10">
        <v>13.0</v>
      </c>
      <c r="E2" s="10">
        <v>8.0</v>
      </c>
      <c r="F2" s="11">
        <v>5.0</v>
      </c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480</v>
      </c>
      <c r="N2" s="13">
        <f t="shared" ref="N2:N49" si="2">IF(H2,C2*D2,0)</f>
        <v>221</v>
      </c>
      <c r="O2" s="13">
        <f t="shared" ref="O2:O49" si="3">(C2+D2)*2</f>
        <v>60</v>
      </c>
      <c r="P2" s="14">
        <f t="shared" ref="P2:P49" si="4">M2*$AB$7</f>
        <v>576</v>
      </c>
      <c r="Q2" s="15">
        <f t="shared" ref="Q2:Q1000" si="5">IFERROR(P2*0.35,0)</f>
        <v>201.6</v>
      </c>
      <c r="R2" s="14">
        <f t="shared" ref="R2:R49" si="6">N2*$AB$8</f>
        <v>265.2</v>
      </c>
      <c r="S2" s="14">
        <f t="shared" ref="S2:S49" si="7">IF(I2,C2*D2*$AB$12,0)</f>
        <v>0</v>
      </c>
      <c r="T2" s="14">
        <f t="shared" ref="T2:T49" si="8">F2*$AB$9</f>
        <v>450</v>
      </c>
      <c r="U2" s="14">
        <f t="shared" ref="U2:U49" si="9">IF(K2,IF(L2&gt;0,O2*$AB$10*L2,0),0)</f>
        <v>120</v>
      </c>
      <c r="V2" s="14">
        <f t="shared" ref="V2:V49" si="10">IF(J2,O2*$AB$11,0)</f>
        <v>0</v>
      </c>
      <c r="W2" s="14">
        <f t="shared" ref="W2:W1000" si="11">SUM(P2,R2:V2)</f>
        <v>1411.2</v>
      </c>
      <c r="X2" s="16">
        <f t="shared" ref="X2:X1000" si="12">IFERROR((W2*$AB$47)/$AB$48,0)</f>
        <v>15.0528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152</v>
      </c>
      <c r="C3" s="10">
        <v>14.0</v>
      </c>
      <c r="D3" s="10">
        <v>4.0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288</v>
      </c>
      <c r="N3" s="13">
        <f t="shared" si="2"/>
        <v>56</v>
      </c>
      <c r="O3" s="13">
        <f t="shared" si="3"/>
        <v>36</v>
      </c>
      <c r="P3" s="14">
        <f t="shared" si="4"/>
        <v>345.6</v>
      </c>
      <c r="Q3" s="15">
        <f t="shared" si="5"/>
        <v>120.96</v>
      </c>
      <c r="R3" s="14">
        <f t="shared" si="6"/>
        <v>67.2</v>
      </c>
      <c r="S3" s="14">
        <f t="shared" si="7"/>
        <v>0</v>
      </c>
      <c r="T3" s="14">
        <f t="shared" si="8"/>
        <v>0</v>
      </c>
      <c r="U3" s="14">
        <f t="shared" si="9"/>
        <v>72</v>
      </c>
      <c r="V3" s="14">
        <f t="shared" si="10"/>
        <v>0</v>
      </c>
      <c r="W3" s="14">
        <f t="shared" si="11"/>
        <v>484.8</v>
      </c>
      <c r="X3" s="19">
        <f t="shared" si="12"/>
        <v>5.1712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131</v>
      </c>
      <c r="C4" s="10">
        <v>10.0</v>
      </c>
      <c r="D4" s="10">
        <v>6.0</v>
      </c>
      <c r="E4" s="10">
        <v>14.0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448</v>
      </c>
      <c r="N4" s="13">
        <f t="shared" si="2"/>
        <v>60</v>
      </c>
      <c r="O4" s="13">
        <f t="shared" si="3"/>
        <v>32</v>
      </c>
      <c r="P4" s="14">
        <f t="shared" si="4"/>
        <v>537.6</v>
      </c>
      <c r="Q4" s="15">
        <f t="shared" si="5"/>
        <v>188.16</v>
      </c>
      <c r="R4" s="14">
        <f t="shared" si="6"/>
        <v>72</v>
      </c>
      <c r="S4" s="14">
        <f t="shared" si="7"/>
        <v>0</v>
      </c>
      <c r="T4" s="14">
        <f t="shared" si="8"/>
        <v>0</v>
      </c>
      <c r="U4" s="14">
        <f t="shared" si="9"/>
        <v>64</v>
      </c>
      <c r="V4" s="14">
        <f t="shared" si="10"/>
        <v>0</v>
      </c>
      <c r="W4" s="14">
        <f t="shared" si="11"/>
        <v>673.6</v>
      </c>
      <c r="X4" s="19">
        <f t="shared" si="12"/>
        <v>7.185066667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47</v>
      </c>
      <c r="C5" s="10">
        <v>8.0</v>
      </c>
      <c r="D5" s="10">
        <v>12.0</v>
      </c>
      <c r="E5" s="10">
        <v>8.0</v>
      </c>
      <c r="F5" s="21"/>
      <c r="G5" s="11" t="b">
        <v>1</v>
      </c>
      <c r="H5" s="12" t="b">
        <v>1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320</v>
      </c>
      <c r="N5" s="13">
        <f t="shared" si="2"/>
        <v>96</v>
      </c>
      <c r="O5" s="13">
        <f t="shared" si="3"/>
        <v>40</v>
      </c>
      <c r="P5" s="14">
        <f t="shared" si="4"/>
        <v>384</v>
      </c>
      <c r="Q5" s="15">
        <f t="shared" si="5"/>
        <v>134.4</v>
      </c>
      <c r="R5" s="14">
        <f t="shared" si="6"/>
        <v>115.2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499.2</v>
      </c>
      <c r="X5" s="19">
        <f t="shared" si="12"/>
        <v>5.3248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/>
      <c r="C8" s="11"/>
      <c r="D8" s="11"/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/>
      <c r="C9" s="11"/>
      <c r="D9" s="11"/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/>
      <c r="C10" s="11"/>
      <c r="D10" s="11"/>
      <c r="E10" s="11">
        <v>8.0</v>
      </c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1536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433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5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128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1.237142857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0.5714285714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5.308571429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4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1843.2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519.6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450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256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3068.8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645.12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19.6608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5.5424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4.8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2.730666667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32.73386667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147</v>
      </c>
      <c r="C2" s="10">
        <v>13.0</v>
      </c>
      <c r="D2" s="10">
        <v>9.0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352</v>
      </c>
      <c r="N2" s="13">
        <f t="shared" ref="N2:N49" si="2">IF(H2,C2*D2,0)</f>
        <v>0</v>
      </c>
      <c r="O2" s="13">
        <f t="shared" ref="O2:O49" si="3">(C2+D2)*2</f>
        <v>44</v>
      </c>
      <c r="P2" s="14">
        <f t="shared" ref="P2:P49" si="4">M2*$AB$7</f>
        <v>422.4</v>
      </c>
      <c r="Q2" s="15">
        <f t="shared" ref="Q2:Q1000" si="5">IFERROR(P2*0.35,0)</f>
        <v>147.84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88</v>
      </c>
      <c r="V2" s="14">
        <f t="shared" ref="V2:V49" si="10">IF(J2,O2*$AB$11,0)</f>
        <v>0</v>
      </c>
      <c r="W2" s="14">
        <f t="shared" ref="W2:W1000" si="11">SUM(P2,R2:V2)</f>
        <v>510.4</v>
      </c>
      <c r="X2" s="16">
        <f t="shared" ref="X2:X1000" si="12">IFERROR((W2*$AB$47)/$AB$48,0)</f>
        <v>5.444266667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136</v>
      </c>
      <c r="C3" s="10">
        <v>11.0</v>
      </c>
      <c r="D3" s="10">
        <v>5.0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256</v>
      </c>
      <c r="N3" s="13">
        <f t="shared" si="2"/>
        <v>0</v>
      </c>
      <c r="O3" s="13">
        <f t="shared" si="3"/>
        <v>32</v>
      </c>
      <c r="P3" s="14">
        <f t="shared" si="4"/>
        <v>307.2</v>
      </c>
      <c r="Q3" s="15">
        <f t="shared" si="5"/>
        <v>107.52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64</v>
      </c>
      <c r="V3" s="14">
        <f t="shared" si="10"/>
        <v>0</v>
      </c>
      <c r="W3" s="14">
        <f t="shared" si="11"/>
        <v>371.2</v>
      </c>
      <c r="X3" s="19">
        <f t="shared" si="12"/>
        <v>3.959466667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86</v>
      </c>
      <c r="C4" s="10">
        <v>19.0</v>
      </c>
      <c r="D4" s="10">
        <v>10.0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464</v>
      </c>
      <c r="N4" s="13">
        <f t="shared" si="2"/>
        <v>0</v>
      </c>
      <c r="O4" s="13">
        <f t="shared" si="3"/>
        <v>58</v>
      </c>
      <c r="P4" s="14">
        <f t="shared" si="4"/>
        <v>556.8</v>
      </c>
      <c r="Q4" s="15">
        <f t="shared" si="5"/>
        <v>194.88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116</v>
      </c>
      <c r="V4" s="14">
        <f t="shared" si="10"/>
        <v>0</v>
      </c>
      <c r="W4" s="14">
        <f t="shared" si="11"/>
        <v>672.8</v>
      </c>
      <c r="X4" s="19">
        <f t="shared" si="12"/>
        <v>7.176533333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153</v>
      </c>
      <c r="C5" s="10">
        <v>23.0</v>
      </c>
      <c r="D5" s="10">
        <v>3.0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416</v>
      </c>
      <c r="N5" s="13">
        <f t="shared" si="2"/>
        <v>0</v>
      </c>
      <c r="O5" s="13">
        <f t="shared" si="3"/>
        <v>52</v>
      </c>
      <c r="P5" s="14">
        <f t="shared" si="4"/>
        <v>499.2</v>
      </c>
      <c r="Q5" s="15">
        <f t="shared" si="5"/>
        <v>174.72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104</v>
      </c>
      <c r="V5" s="14">
        <f t="shared" si="10"/>
        <v>0</v>
      </c>
      <c r="W5" s="14">
        <f t="shared" si="11"/>
        <v>603.2</v>
      </c>
      <c r="X5" s="19">
        <f t="shared" si="12"/>
        <v>6.434133333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154</v>
      </c>
      <c r="C6" s="10">
        <v>5.0</v>
      </c>
      <c r="D6" s="10">
        <v>7.0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192</v>
      </c>
      <c r="N6" s="13">
        <f t="shared" si="2"/>
        <v>0</v>
      </c>
      <c r="O6" s="13">
        <f t="shared" si="3"/>
        <v>24</v>
      </c>
      <c r="P6" s="14">
        <f t="shared" si="4"/>
        <v>230.4</v>
      </c>
      <c r="Q6" s="15">
        <f t="shared" si="5"/>
        <v>80.64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48</v>
      </c>
      <c r="V6" s="14">
        <f t="shared" si="10"/>
        <v>0</v>
      </c>
      <c r="W6" s="14">
        <f t="shared" si="11"/>
        <v>278.4</v>
      </c>
      <c r="X6" s="19">
        <f t="shared" si="12"/>
        <v>2.9696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 t="s">
        <v>87</v>
      </c>
      <c r="C7" s="11">
        <v>10.0</v>
      </c>
      <c r="D7" s="11">
        <v>8.0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288</v>
      </c>
      <c r="N7" s="13">
        <f t="shared" si="2"/>
        <v>0</v>
      </c>
      <c r="O7" s="13">
        <f t="shared" si="3"/>
        <v>36</v>
      </c>
      <c r="P7" s="14">
        <f t="shared" si="4"/>
        <v>345.6</v>
      </c>
      <c r="Q7" s="15">
        <f t="shared" si="5"/>
        <v>120.96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72</v>
      </c>
      <c r="V7" s="14">
        <f t="shared" si="10"/>
        <v>0</v>
      </c>
      <c r="W7" s="14">
        <f t="shared" si="11"/>
        <v>417.6</v>
      </c>
      <c r="X7" s="19">
        <f t="shared" si="12"/>
        <v>4.4544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 t="s">
        <v>155</v>
      </c>
      <c r="C8" s="11">
        <v>9.0</v>
      </c>
      <c r="D8" s="11">
        <v>9.0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288</v>
      </c>
      <c r="N8" s="13">
        <f t="shared" si="2"/>
        <v>0</v>
      </c>
      <c r="O8" s="13">
        <f t="shared" si="3"/>
        <v>36</v>
      </c>
      <c r="P8" s="14">
        <f t="shared" si="4"/>
        <v>345.6</v>
      </c>
      <c r="Q8" s="15">
        <f t="shared" si="5"/>
        <v>120.96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72</v>
      </c>
      <c r="V8" s="14">
        <f t="shared" si="10"/>
        <v>0</v>
      </c>
      <c r="W8" s="14">
        <f t="shared" si="11"/>
        <v>417.6</v>
      </c>
      <c r="X8" s="19">
        <f t="shared" si="12"/>
        <v>4.4544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156</v>
      </c>
      <c r="C9" s="11">
        <v>3.0</v>
      </c>
      <c r="D9" s="11">
        <v>4.0</v>
      </c>
      <c r="E9" s="11">
        <v>14.0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196</v>
      </c>
      <c r="N9" s="13">
        <f t="shared" si="2"/>
        <v>0</v>
      </c>
      <c r="O9" s="13">
        <f t="shared" si="3"/>
        <v>14</v>
      </c>
      <c r="P9" s="14">
        <f t="shared" si="4"/>
        <v>235.2</v>
      </c>
      <c r="Q9" s="15">
        <f t="shared" si="5"/>
        <v>82.32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28</v>
      </c>
      <c r="V9" s="14">
        <f t="shared" si="10"/>
        <v>0</v>
      </c>
      <c r="W9" s="14">
        <f t="shared" si="11"/>
        <v>263.2</v>
      </c>
      <c r="X9" s="19">
        <f t="shared" si="12"/>
        <v>2.807466667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157</v>
      </c>
      <c r="C10" s="11">
        <v>9.0</v>
      </c>
      <c r="D10" s="11">
        <v>10.0</v>
      </c>
      <c r="E10" s="11">
        <v>8.0</v>
      </c>
      <c r="F10" s="21"/>
      <c r="G10" s="1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304</v>
      </c>
      <c r="N10" s="13">
        <f t="shared" si="2"/>
        <v>0</v>
      </c>
      <c r="O10" s="13">
        <f t="shared" si="3"/>
        <v>38</v>
      </c>
      <c r="P10" s="14">
        <f t="shared" si="4"/>
        <v>364.8</v>
      </c>
      <c r="Q10" s="15">
        <f t="shared" si="5"/>
        <v>127.68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76</v>
      </c>
      <c r="V10" s="14">
        <f t="shared" si="10"/>
        <v>0</v>
      </c>
      <c r="W10" s="14">
        <f t="shared" si="11"/>
        <v>440.8</v>
      </c>
      <c r="X10" s="19">
        <f t="shared" si="12"/>
        <v>4.701866667</v>
      </c>
      <c r="AA10" s="8" t="s">
        <v>42</v>
      </c>
      <c r="AB10" s="8">
        <v>2.0</v>
      </c>
    </row>
    <row r="11" ht="15.75" customHeight="1">
      <c r="A11" s="21">
        <v>10.0</v>
      </c>
      <c r="B11" s="9" t="s">
        <v>97</v>
      </c>
      <c r="C11" s="11">
        <v>12.0</v>
      </c>
      <c r="D11" s="11">
        <v>6.0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288</v>
      </c>
      <c r="N11" s="13">
        <f t="shared" si="2"/>
        <v>0</v>
      </c>
      <c r="O11" s="13">
        <f t="shared" si="3"/>
        <v>36</v>
      </c>
      <c r="P11" s="14">
        <f t="shared" si="4"/>
        <v>345.6</v>
      </c>
      <c r="Q11" s="15">
        <f t="shared" si="5"/>
        <v>120.96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72</v>
      </c>
      <c r="V11" s="14">
        <f t="shared" si="10"/>
        <v>0</v>
      </c>
      <c r="W11" s="14">
        <f t="shared" si="11"/>
        <v>417.6</v>
      </c>
      <c r="X11" s="19">
        <f t="shared" si="12"/>
        <v>4.4544</v>
      </c>
      <c r="AA11" s="8" t="s">
        <v>44</v>
      </c>
      <c r="AB11" s="3">
        <v>1.1</v>
      </c>
    </row>
    <row r="12" ht="15.75" customHeight="1">
      <c r="A12" s="21">
        <v>11.0</v>
      </c>
      <c r="B12" s="9" t="s">
        <v>27</v>
      </c>
      <c r="C12" s="11">
        <v>15.0</v>
      </c>
      <c r="D12" s="11">
        <v>9.0</v>
      </c>
      <c r="E12" s="11">
        <v>8.0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384</v>
      </c>
      <c r="N12" s="13">
        <f t="shared" si="2"/>
        <v>0</v>
      </c>
      <c r="O12" s="13">
        <f t="shared" si="3"/>
        <v>48</v>
      </c>
      <c r="P12" s="14">
        <f t="shared" si="4"/>
        <v>460.8</v>
      </c>
      <c r="Q12" s="15">
        <f t="shared" si="5"/>
        <v>161.28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96</v>
      </c>
      <c r="V12" s="14">
        <f t="shared" si="10"/>
        <v>0</v>
      </c>
      <c r="W12" s="14">
        <f t="shared" si="11"/>
        <v>556.8</v>
      </c>
      <c r="X12" s="19">
        <f t="shared" si="12"/>
        <v>5.9392</v>
      </c>
      <c r="AA12" s="8" t="s">
        <v>46</v>
      </c>
      <c r="AB12" s="3">
        <v>8.0</v>
      </c>
    </row>
    <row r="13" ht="21.0" customHeight="1">
      <c r="A13" s="21">
        <v>12.0</v>
      </c>
      <c r="B13" s="9" t="s">
        <v>158</v>
      </c>
      <c r="C13" s="11">
        <v>11.0</v>
      </c>
      <c r="D13" s="11">
        <v>8.0</v>
      </c>
      <c r="E13" s="11">
        <v>8.0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304</v>
      </c>
      <c r="N13" s="13">
        <f t="shared" si="2"/>
        <v>0</v>
      </c>
      <c r="O13" s="13">
        <f t="shared" si="3"/>
        <v>38</v>
      </c>
      <c r="P13" s="14">
        <f t="shared" si="4"/>
        <v>364.8</v>
      </c>
      <c r="Q13" s="15">
        <f t="shared" si="5"/>
        <v>127.68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76</v>
      </c>
      <c r="V13" s="14">
        <f t="shared" si="10"/>
        <v>0</v>
      </c>
      <c r="W13" s="14">
        <f t="shared" si="11"/>
        <v>440.8</v>
      </c>
      <c r="X13" s="19">
        <f t="shared" si="12"/>
        <v>4.701866667</v>
      </c>
      <c r="AA13" s="3" t="s">
        <v>48</v>
      </c>
      <c r="AB13" s="3">
        <v>185.0</v>
      </c>
    </row>
    <row r="14" ht="15.75" customHeight="1">
      <c r="A14" s="21">
        <v>13.0</v>
      </c>
      <c r="B14" s="9" t="s">
        <v>47</v>
      </c>
      <c r="C14" s="11">
        <v>17.0</v>
      </c>
      <c r="D14" s="11">
        <v>9.0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416</v>
      </c>
      <c r="N14" s="13">
        <f t="shared" si="2"/>
        <v>0</v>
      </c>
      <c r="O14" s="13">
        <f t="shared" si="3"/>
        <v>52</v>
      </c>
      <c r="P14" s="14">
        <f t="shared" si="4"/>
        <v>499.2</v>
      </c>
      <c r="Q14" s="15">
        <f t="shared" si="5"/>
        <v>174.72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104</v>
      </c>
      <c r="V14" s="14">
        <f t="shared" si="10"/>
        <v>0</v>
      </c>
      <c r="W14" s="14">
        <f t="shared" si="11"/>
        <v>603.2</v>
      </c>
      <c r="X14" s="19">
        <f t="shared" si="12"/>
        <v>6.434133333</v>
      </c>
    </row>
    <row r="15" ht="15.75" customHeight="1">
      <c r="A15" s="21">
        <v>14.0</v>
      </c>
      <c r="B15" s="9" t="s">
        <v>159</v>
      </c>
      <c r="C15" s="11">
        <v>4.0</v>
      </c>
      <c r="D15" s="11">
        <v>4.0</v>
      </c>
      <c r="E15" s="11">
        <v>8.0</v>
      </c>
      <c r="F15" s="21"/>
      <c r="G15" s="11" t="b">
        <v>1</v>
      </c>
      <c r="H15" s="12" t="b">
        <v>0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128</v>
      </c>
      <c r="N15" s="13">
        <f t="shared" si="2"/>
        <v>0</v>
      </c>
      <c r="O15" s="13">
        <f t="shared" si="3"/>
        <v>16</v>
      </c>
      <c r="P15" s="14">
        <f t="shared" si="4"/>
        <v>153.6</v>
      </c>
      <c r="Q15" s="15">
        <f t="shared" si="5"/>
        <v>53.76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32</v>
      </c>
      <c r="V15" s="14">
        <f t="shared" si="10"/>
        <v>0</v>
      </c>
      <c r="W15" s="14">
        <f t="shared" si="11"/>
        <v>185.6</v>
      </c>
      <c r="X15" s="19">
        <f t="shared" si="12"/>
        <v>1.979733333</v>
      </c>
      <c r="AA15" s="25" t="s">
        <v>51</v>
      </c>
      <c r="AB15" s="26"/>
    </row>
    <row r="16" ht="15.75" customHeight="1">
      <c r="A16" s="21">
        <v>15.0</v>
      </c>
      <c r="B16" s="9" t="s">
        <v>160</v>
      </c>
      <c r="C16" s="11">
        <v>14.0</v>
      </c>
      <c r="D16" s="11">
        <v>3.0</v>
      </c>
      <c r="E16" s="11">
        <v>8.0</v>
      </c>
      <c r="F16" s="21"/>
      <c r="G16" s="11" t="b">
        <v>1</v>
      </c>
      <c r="H16" s="12" t="b">
        <v>0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272</v>
      </c>
      <c r="N16" s="13">
        <f t="shared" si="2"/>
        <v>0</v>
      </c>
      <c r="O16" s="13">
        <f t="shared" si="3"/>
        <v>34</v>
      </c>
      <c r="P16" s="14">
        <f t="shared" si="4"/>
        <v>326.4</v>
      </c>
      <c r="Q16" s="15">
        <f t="shared" si="5"/>
        <v>114.24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68</v>
      </c>
      <c r="V16" s="14">
        <f t="shared" si="10"/>
        <v>0</v>
      </c>
      <c r="W16" s="14">
        <f t="shared" si="11"/>
        <v>394.4</v>
      </c>
      <c r="X16" s="19">
        <f t="shared" si="12"/>
        <v>4.206933333</v>
      </c>
      <c r="AA16" s="28" t="s">
        <v>52</v>
      </c>
      <c r="AB16" s="29">
        <f>SUM(M2:M1000)</f>
        <v>5524</v>
      </c>
    </row>
    <row r="17" ht="15.75" customHeight="1">
      <c r="A17" s="21">
        <v>16.0</v>
      </c>
      <c r="B17" s="11" t="s">
        <v>161</v>
      </c>
      <c r="C17" s="11">
        <v>17.0</v>
      </c>
      <c r="D17" s="11">
        <v>5.0</v>
      </c>
      <c r="E17" s="11">
        <v>8.0</v>
      </c>
      <c r="F17" s="21"/>
      <c r="G17" s="11" t="b">
        <v>1</v>
      </c>
      <c r="H17" s="12" t="b">
        <v>0</v>
      </c>
      <c r="I17" s="3" t="b">
        <v>0</v>
      </c>
      <c r="J17" s="3" t="b">
        <v>0</v>
      </c>
      <c r="K17" s="3" t="b">
        <v>1</v>
      </c>
      <c r="L17" s="8">
        <v>1.0</v>
      </c>
      <c r="M17" s="13">
        <f t="shared" si="1"/>
        <v>352</v>
      </c>
      <c r="N17" s="13">
        <f t="shared" si="2"/>
        <v>0</v>
      </c>
      <c r="O17" s="13">
        <f t="shared" si="3"/>
        <v>44</v>
      </c>
      <c r="P17" s="14">
        <f t="shared" si="4"/>
        <v>422.4</v>
      </c>
      <c r="Q17" s="15">
        <f t="shared" si="5"/>
        <v>147.84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88</v>
      </c>
      <c r="V17" s="14">
        <f t="shared" si="10"/>
        <v>0</v>
      </c>
      <c r="W17" s="14">
        <f t="shared" si="11"/>
        <v>510.4</v>
      </c>
      <c r="X17" s="19">
        <f t="shared" si="12"/>
        <v>5.444266667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11" t="s">
        <v>162</v>
      </c>
      <c r="C18" s="11">
        <v>13.0</v>
      </c>
      <c r="D18" s="11">
        <v>8.0</v>
      </c>
      <c r="E18" s="11">
        <v>8.0</v>
      </c>
      <c r="F18" s="21"/>
      <c r="G18" s="11" t="b">
        <v>1</v>
      </c>
      <c r="H18" s="12" t="b">
        <v>0</v>
      </c>
      <c r="I18" s="3" t="b">
        <v>0</v>
      </c>
      <c r="J18" s="3" t="b">
        <v>0</v>
      </c>
      <c r="K18" s="3" t="b">
        <v>1</v>
      </c>
      <c r="L18" s="8">
        <v>1.0</v>
      </c>
      <c r="M18" s="13">
        <f t="shared" si="1"/>
        <v>336</v>
      </c>
      <c r="N18" s="13">
        <f t="shared" si="2"/>
        <v>0</v>
      </c>
      <c r="O18" s="13">
        <f t="shared" si="3"/>
        <v>42</v>
      </c>
      <c r="P18" s="14">
        <f t="shared" si="4"/>
        <v>403.2</v>
      </c>
      <c r="Q18" s="15">
        <f t="shared" si="5"/>
        <v>141.12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84</v>
      </c>
      <c r="V18" s="14">
        <f t="shared" si="10"/>
        <v>0</v>
      </c>
      <c r="W18" s="14">
        <f t="shared" si="11"/>
        <v>487.2</v>
      </c>
      <c r="X18" s="19">
        <f t="shared" si="12"/>
        <v>5.1968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11" t="s">
        <v>163</v>
      </c>
      <c r="C19" s="11">
        <v>10.0</v>
      </c>
      <c r="D19" s="11">
        <v>8.0</v>
      </c>
      <c r="E19" s="11">
        <v>8.0</v>
      </c>
      <c r="F19" s="21"/>
      <c r="G19" s="11" t="b">
        <v>1</v>
      </c>
      <c r="H19" s="12" t="b">
        <v>0</v>
      </c>
      <c r="I19" s="3" t="b">
        <v>0</v>
      </c>
      <c r="J19" s="3" t="b">
        <v>0</v>
      </c>
      <c r="K19" s="3" t="b">
        <v>1</v>
      </c>
      <c r="L19" s="8">
        <v>1.0</v>
      </c>
      <c r="M19" s="13">
        <f t="shared" si="1"/>
        <v>288</v>
      </c>
      <c r="N19" s="13">
        <f t="shared" si="2"/>
        <v>0</v>
      </c>
      <c r="O19" s="13">
        <f t="shared" si="3"/>
        <v>36</v>
      </c>
      <c r="P19" s="14">
        <f t="shared" si="4"/>
        <v>345.6</v>
      </c>
      <c r="Q19" s="15">
        <f t="shared" si="5"/>
        <v>120.96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72</v>
      </c>
      <c r="V19" s="14">
        <f t="shared" si="10"/>
        <v>0</v>
      </c>
      <c r="W19" s="14">
        <f t="shared" si="11"/>
        <v>417.6</v>
      </c>
      <c r="X19" s="19">
        <f t="shared" si="12"/>
        <v>4.4544</v>
      </c>
      <c r="AA19" s="28" t="s">
        <v>58</v>
      </c>
      <c r="AB19" s="30">
        <f>SUMPRODUCT((K2:K1000=TRUE)*(L2:L1000&gt;0)*O2:O1000)</f>
        <v>680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18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6628.8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1360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7988.8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2320.08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70.7072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14.50666667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85.21386667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164</v>
      </c>
      <c r="C2" s="10">
        <v>18.0</v>
      </c>
      <c r="D2" s="10">
        <v>11.0</v>
      </c>
      <c r="E2" s="10">
        <v>8.0</v>
      </c>
      <c r="F2" s="11">
        <v>5.0</v>
      </c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464</v>
      </c>
      <c r="N2" s="13">
        <f t="shared" ref="N2:N49" si="2">IF(H2,C2*D2,0)</f>
        <v>198</v>
      </c>
      <c r="O2" s="13">
        <f t="shared" ref="O2:O49" si="3">(C2+D2)*2</f>
        <v>58</v>
      </c>
      <c r="P2" s="14">
        <f t="shared" ref="P2:P49" si="4">M2*$AB$7</f>
        <v>556.8</v>
      </c>
      <c r="Q2" s="15">
        <f t="shared" ref="Q2:Q1000" si="5">IFERROR(P2*0.35,0)</f>
        <v>194.88</v>
      </c>
      <c r="R2" s="14">
        <f t="shared" ref="R2:R49" si="6">N2*$AB$8</f>
        <v>237.6</v>
      </c>
      <c r="S2" s="14">
        <f t="shared" ref="S2:S49" si="7">IF(I2,C2*D2*$AB$12,0)</f>
        <v>0</v>
      </c>
      <c r="T2" s="14">
        <f t="shared" ref="T2:T49" si="8">F2*$AB$9</f>
        <v>450</v>
      </c>
      <c r="U2" s="14">
        <f t="shared" ref="U2:U49" si="9">IF(K2,IF(L2&gt;0,O2*$AB$10*L2,0),0)</f>
        <v>116</v>
      </c>
      <c r="V2" s="14">
        <f t="shared" ref="V2:V49" si="10">IF(J2,O2*$AB$11,0)</f>
        <v>0</v>
      </c>
      <c r="W2" s="14">
        <f t="shared" ref="W2:W1000" si="11">SUM(P2,R2:V2)</f>
        <v>1360.4</v>
      </c>
      <c r="X2" s="16">
        <f t="shared" ref="X2:X1000" si="12">IFERROR((W2*$AB$47)/$AB$48,0)</f>
        <v>14.51093333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165</v>
      </c>
      <c r="C3" s="10">
        <v>9.0</v>
      </c>
      <c r="D3" s="10">
        <v>11.0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320</v>
      </c>
      <c r="N3" s="13">
        <f t="shared" si="2"/>
        <v>99</v>
      </c>
      <c r="O3" s="13">
        <f t="shared" si="3"/>
        <v>40</v>
      </c>
      <c r="P3" s="14">
        <f t="shared" si="4"/>
        <v>384</v>
      </c>
      <c r="Q3" s="15">
        <f t="shared" si="5"/>
        <v>134.4</v>
      </c>
      <c r="R3" s="14">
        <f t="shared" si="6"/>
        <v>118.8</v>
      </c>
      <c r="S3" s="14">
        <f t="shared" si="7"/>
        <v>0</v>
      </c>
      <c r="T3" s="14">
        <f t="shared" si="8"/>
        <v>0</v>
      </c>
      <c r="U3" s="14">
        <f t="shared" si="9"/>
        <v>80</v>
      </c>
      <c r="V3" s="14">
        <f t="shared" si="10"/>
        <v>0</v>
      </c>
      <c r="W3" s="14">
        <f t="shared" si="11"/>
        <v>582.8</v>
      </c>
      <c r="X3" s="19">
        <f t="shared" si="12"/>
        <v>6.216533333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97</v>
      </c>
      <c r="C4" s="10">
        <v>3.0</v>
      </c>
      <c r="D4" s="10">
        <v>6.0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144</v>
      </c>
      <c r="N4" s="13">
        <f t="shared" si="2"/>
        <v>18</v>
      </c>
      <c r="O4" s="13">
        <f t="shared" si="3"/>
        <v>18</v>
      </c>
      <c r="P4" s="14">
        <f t="shared" si="4"/>
        <v>172.8</v>
      </c>
      <c r="Q4" s="15">
        <f t="shared" si="5"/>
        <v>60.48</v>
      </c>
      <c r="R4" s="14">
        <f t="shared" si="6"/>
        <v>21.6</v>
      </c>
      <c r="S4" s="14">
        <f t="shared" si="7"/>
        <v>0</v>
      </c>
      <c r="T4" s="14">
        <f t="shared" si="8"/>
        <v>0</v>
      </c>
      <c r="U4" s="14">
        <f t="shared" si="9"/>
        <v>36</v>
      </c>
      <c r="V4" s="14">
        <f t="shared" si="10"/>
        <v>0</v>
      </c>
      <c r="W4" s="14">
        <f t="shared" si="11"/>
        <v>230.4</v>
      </c>
      <c r="X4" s="19">
        <f t="shared" si="12"/>
        <v>2.4576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49</v>
      </c>
      <c r="C5" s="10">
        <v>9.0</v>
      </c>
      <c r="D5" s="10">
        <v>9.0</v>
      </c>
      <c r="E5" s="10">
        <v>8.0</v>
      </c>
      <c r="F5" s="21"/>
      <c r="G5" s="11" t="b">
        <v>1</v>
      </c>
      <c r="H5" s="12" t="b">
        <v>1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288</v>
      </c>
      <c r="N5" s="13">
        <f t="shared" si="2"/>
        <v>81</v>
      </c>
      <c r="O5" s="13">
        <f t="shared" si="3"/>
        <v>36</v>
      </c>
      <c r="P5" s="14">
        <f t="shared" si="4"/>
        <v>345.6</v>
      </c>
      <c r="Q5" s="15">
        <f t="shared" si="5"/>
        <v>120.96</v>
      </c>
      <c r="R5" s="14">
        <f t="shared" si="6"/>
        <v>97.2</v>
      </c>
      <c r="S5" s="14">
        <f t="shared" si="7"/>
        <v>0</v>
      </c>
      <c r="T5" s="14">
        <f t="shared" si="8"/>
        <v>0</v>
      </c>
      <c r="U5" s="14">
        <f t="shared" si="9"/>
        <v>72</v>
      </c>
      <c r="V5" s="14">
        <f t="shared" si="10"/>
        <v>0</v>
      </c>
      <c r="W5" s="14">
        <f t="shared" si="11"/>
        <v>514.8</v>
      </c>
      <c r="X5" s="19">
        <f t="shared" si="12"/>
        <v>5.4912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99</v>
      </c>
      <c r="C6" s="10">
        <v>8.0</v>
      </c>
      <c r="D6" s="10">
        <v>3.0</v>
      </c>
      <c r="E6" s="10">
        <v>8.0</v>
      </c>
      <c r="F6" s="21"/>
      <c r="G6" s="11" t="b">
        <v>1</v>
      </c>
      <c r="H6" s="12" t="b">
        <v>1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176</v>
      </c>
      <c r="N6" s="13">
        <f t="shared" si="2"/>
        <v>24</v>
      </c>
      <c r="O6" s="13">
        <f t="shared" si="3"/>
        <v>22</v>
      </c>
      <c r="P6" s="14">
        <f t="shared" si="4"/>
        <v>211.2</v>
      </c>
      <c r="Q6" s="15">
        <f t="shared" si="5"/>
        <v>73.92</v>
      </c>
      <c r="R6" s="14">
        <f t="shared" si="6"/>
        <v>28.8</v>
      </c>
      <c r="S6" s="14">
        <f t="shared" si="7"/>
        <v>0</v>
      </c>
      <c r="T6" s="14">
        <f t="shared" si="8"/>
        <v>0</v>
      </c>
      <c r="U6" s="14">
        <f t="shared" si="9"/>
        <v>44</v>
      </c>
      <c r="V6" s="14">
        <f t="shared" si="10"/>
        <v>0</v>
      </c>
      <c r="W6" s="14">
        <f t="shared" si="11"/>
        <v>284</v>
      </c>
      <c r="X6" s="19">
        <f t="shared" si="12"/>
        <v>3.029333333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 t="s">
        <v>146</v>
      </c>
      <c r="C7" s="11">
        <v>11.0</v>
      </c>
      <c r="D7" s="11">
        <v>18.0</v>
      </c>
      <c r="E7" s="11">
        <v>8.0</v>
      </c>
      <c r="F7" s="21"/>
      <c r="G7" s="11" t="b">
        <v>1</v>
      </c>
      <c r="H7" s="12" t="b">
        <v>1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464</v>
      </c>
      <c r="N7" s="13">
        <f t="shared" si="2"/>
        <v>198</v>
      </c>
      <c r="O7" s="13">
        <f t="shared" si="3"/>
        <v>58</v>
      </c>
      <c r="P7" s="14">
        <f t="shared" si="4"/>
        <v>556.8</v>
      </c>
      <c r="Q7" s="15">
        <f t="shared" si="5"/>
        <v>194.88</v>
      </c>
      <c r="R7" s="14">
        <f t="shared" si="6"/>
        <v>237.6</v>
      </c>
      <c r="S7" s="14">
        <f t="shared" si="7"/>
        <v>0</v>
      </c>
      <c r="T7" s="14">
        <f t="shared" si="8"/>
        <v>0</v>
      </c>
      <c r="U7" s="14">
        <f t="shared" si="9"/>
        <v>116</v>
      </c>
      <c r="V7" s="14">
        <f t="shared" si="10"/>
        <v>0</v>
      </c>
      <c r="W7" s="14">
        <f t="shared" si="11"/>
        <v>910.4</v>
      </c>
      <c r="X7" s="19">
        <f t="shared" si="12"/>
        <v>9.710933333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 t="s">
        <v>166</v>
      </c>
      <c r="C8" s="11">
        <v>7.0</v>
      </c>
      <c r="D8" s="11">
        <v>5.0</v>
      </c>
      <c r="E8" s="11">
        <v>8.0</v>
      </c>
      <c r="F8" s="21"/>
      <c r="G8" s="11" t="b">
        <v>1</v>
      </c>
      <c r="H8" s="12" t="b">
        <v>1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192</v>
      </c>
      <c r="N8" s="13">
        <f t="shared" si="2"/>
        <v>35</v>
      </c>
      <c r="O8" s="13">
        <f t="shared" si="3"/>
        <v>24</v>
      </c>
      <c r="P8" s="14">
        <f t="shared" si="4"/>
        <v>230.4</v>
      </c>
      <c r="Q8" s="15">
        <f t="shared" si="5"/>
        <v>80.64</v>
      </c>
      <c r="R8" s="14">
        <f t="shared" si="6"/>
        <v>42</v>
      </c>
      <c r="S8" s="14">
        <f t="shared" si="7"/>
        <v>0</v>
      </c>
      <c r="T8" s="14">
        <f t="shared" si="8"/>
        <v>0</v>
      </c>
      <c r="U8" s="14">
        <f t="shared" si="9"/>
        <v>48</v>
      </c>
      <c r="V8" s="14">
        <f t="shared" si="10"/>
        <v>0</v>
      </c>
      <c r="W8" s="14">
        <f t="shared" si="11"/>
        <v>320.4</v>
      </c>
      <c r="X8" s="19">
        <f t="shared" si="12"/>
        <v>3.4176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29</v>
      </c>
      <c r="C9" s="11">
        <v>6.0</v>
      </c>
      <c r="D9" s="11">
        <v>3.0</v>
      </c>
      <c r="E9" s="11">
        <v>8.0</v>
      </c>
      <c r="F9" s="21"/>
      <c r="G9" s="11" t="b">
        <v>1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144</v>
      </c>
      <c r="N9" s="13">
        <f t="shared" si="2"/>
        <v>18</v>
      </c>
      <c r="O9" s="13">
        <f t="shared" si="3"/>
        <v>18</v>
      </c>
      <c r="P9" s="14">
        <f t="shared" si="4"/>
        <v>172.8</v>
      </c>
      <c r="Q9" s="15">
        <f t="shared" si="5"/>
        <v>60.48</v>
      </c>
      <c r="R9" s="14">
        <f t="shared" si="6"/>
        <v>21.6</v>
      </c>
      <c r="S9" s="14">
        <f t="shared" si="7"/>
        <v>0</v>
      </c>
      <c r="T9" s="14">
        <f t="shared" si="8"/>
        <v>0</v>
      </c>
      <c r="U9" s="14">
        <f t="shared" si="9"/>
        <v>36</v>
      </c>
      <c r="V9" s="14">
        <f t="shared" si="10"/>
        <v>0</v>
      </c>
      <c r="W9" s="14">
        <f t="shared" si="11"/>
        <v>230.4</v>
      </c>
      <c r="X9" s="19">
        <f t="shared" si="12"/>
        <v>2.4576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27</v>
      </c>
      <c r="C10" s="11">
        <v>12.0</v>
      </c>
      <c r="D10" s="11">
        <v>19.0</v>
      </c>
      <c r="E10" s="11">
        <v>8.0</v>
      </c>
      <c r="F10" s="21"/>
      <c r="G10" s="11" t="b">
        <v>1</v>
      </c>
      <c r="H10" s="12" t="b">
        <v>1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496</v>
      </c>
      <c r="N10" s="13">
        <f t="shared" si="2"/>
        <v>228</v>
      </c>
      <c r="O10" s="13">
        <f t="shared" si="3"/>
        <v>62</v>
      </c>
      <c r="P10" s="14">
        <f t="shared" si="4"/>
        <v>595.2</v>
      </c>
      <c r="Q10" s="15">
        <f t="shared" si="5"/>
        <v>208.32</v>
      </c>
      <c r="R10" s="14">
        <f t="shared" si="6"/>
        <v>273.6</v>
      </c>
      <c r="S10" s="14">
        <f t="shared" si="7"/>
        <v>0</v>
      </c>
      <c r="T10" s="14">
        <f t="shared" si="8"/>
        <v>0</v>
      </c>
      <c r="U10" s="14">
        <f t="shared" si="9"/>
        <v>124</v>
      </c>
      <c r="V10" s="14">
        <f t="shared" si="10"/>
        <v>0</v>
      </c>
      <c r="W10" s="14">
        <f t="shared" si="11"/>
        <v>992.8</v>
      </c>
      <c r="X10" s="19">
        <f t="shared" si="12"/>
        <v>10.58986667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2688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899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5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336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2.568571429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0.5714285714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6.64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3225.6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1078.8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450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672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5426.4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1128.96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34.4064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11.5072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4.8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7.168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57.8816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86</v>
      </c>
      <c r="C2" s="10">
        <v>10.0</v>
      </c>
      <c r="D2" s="10">
        <v>8.0</v>
      </c>
      <c r="E2" s="10">
        <v>8.0</v>
      </c>
      <c r="F2" s="11">
        <v>5.0</v>
      </c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288</v>
      </c>
      <c r="N2" s="13">
        <f t="shared" ref="N2:N49" si="2">IF(H2,C2*D2,0)</f>
        <v>80</v>
      </c>
      <c r="O2" s="13">
        <f t="shared" ref="O2:O49" si="3">(C2+D2)*2</f>
        <v>36</v>
      </c>
      <c r="P2" s="14">
        <f t="shared" ref="P2:P49" si="4">M2*$AB$7</f>
        <v>345.6</v>
      </c>
      <c r="Q2" s="15">
        <f t="shared" ref="Q2:Q1000" si="5">IFERROR(P2*0.35,0)</f>
        <v>120.96</v>
      </c>
      <c r="R2" s="14">
        <f t="shared" ref="R2:R49" si="6">N2*$AB$8</f>
        <v>96</v>
      </c>
      <c r="S2" s="14">
        <f t="shared" ref="S2:S49" si="7">IF(I2,C2*D2*$AB$12,0)</f>
        <v>0</v>
      </c>
      <c r="T2" s="14">
        <f t="shared" ref="T2:T49" si="8">F2*$AB$9</f>
        <v>450</v>
      </c>
      <c r="U2" s="14">
        <f t="shared" ref="U2:U49" si="9">IF(K2,IF(L2&gt;0,O2*$AB$10*L2,0),0)</f>
        <v>72</v>
      </c>
      <c r="V2" s="14">
        <f t="shared" ref="V2:V49" si="10">IF(J2,O2*$AB$11,0)</f>
        <v>0</v>
      </c>
      <c r="W2" s="14">
        <f t="shared" ref="W2:W1000" si="11">SUM(P2,R2:V2)</f>
        <v>963.6</v>
      </c>
      <c r="X2" s="16">
        <f t="shared" ref="X2:X1000" si="12">IFERROR((W2*$AB$47)/$AB$48,0)</f>
        <v>10.2784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92</v>
      </c>
      <c r="C3" s="10">
        <v>13.0</v>
      </c>
      <c r="D3" s="10">
        <v>3.0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256</v>
      </c>
      <c r="N3" s="13">
        <f t="shared" si="2"/>
        <v>39</v>
      </c>
      <c r="O3" s="13">
        <f t="shared" si="3"/>
        <v>32</v>
      </c>
      <c r="P3" s="14">
        <f t="shared" si="4"/>
        <v>307.2</v>
      </c>
      <c r="Q3" s="15">
        <f t="shared" si="5"/>
        <v>107.52</v>
      </c>
      <c r="R3" s="14">
        <f t="shared" si="6"/>
        <v>46.8</v>
      </c>
      <c r="S3" s="14">
        <f t="shared" si="7"/>
        <v>0</v>
      </c>
      <c r="T3" s="14">
        <f t="shared" si="8"/>
        <v>0</v>
      </c>
      <c r="U3" s="14">
        <f t="shared" si="9"/>
        <v>64</v>
      </c>
      <c r="V3" s="14">
        <f t="shared" si="10"/>
        <v>0</v>
      </c>
      <c r="W3" s="14">
        <f t="shared" si="11"/>
        <v>418</v>
      </c>
      <c r="X3" s="19">
        <f t="shared" si="12"/>
        <v>4.458666667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167</v>
      </c>
      <c r="C4" s="10">
        <v>11.0</v>
      </c>
      <c r="D4" s="10">
        <v>3.0</v>
      </c>
      <c r="E4" s="10">
        <v>12.0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336</v>
      </c>
      <c r="N4" s="13">
        <f t="shared" si="2"/>
        <v>33</v>
      </c>
      <c r="O4" s="13">
        <f t="shared" si="3"/>
        <v>28</v>
      </c>
      <c r="P4" s="14">
        <f t="shared" si="4"/>
        <v>403.2</v>
      </c>
      <c r="Q4" s="15">
        <f t="shared" si="5"/>
        <v>141.12</v>
      </c>
      <c r="R4" s="14">
        <f t="shared" si="6"/>
        <v>39.6</v>
      </c>
      <c r="S4" s="14">
        <f t="shared" si="7"/>
        <v>0</v>
      </c>
      <c r="T4" s="14">
        <f t="shared" si="8"/>
        <v>0</v>
      </c>
      <c r="U4" s="14">
        <f t="shared" si="9"/>
        <v>56</v>
      </c>
      <c r="V4" s="14">
        <f t="shared" si="10"/>
        <v>0</v>
      </c>
      <c r="W4" s="14">
        <f t="shared" si="11"/>
        <v>498.8</v>
      </c>
      <c r="X4" s="19">
        <f t="shared" si="12"/>
        <v>5.320533333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168</v>
      </c>
      <c r="C5" s="10">
        <v>7.0</v>
      </c>
      <c r="D5" s="10">
        <v>7.0</v>
      </c>
      <c r="E5" s="10">
        <v>8.0</v>
      </c>
      <c r="F5" s="21"/>
      <c r="G5" s="11" t="b">
        <v>1</v>
      </c>
      <c r="H5" s="12" t="b">
        <v>1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224</v>
      </c>
      <c r="N5" s="13">
        <f t="shared" si="2"/>
        <v>49</v>
      </c>
      <c r="O5" s="13">
        <f t="shared" si="3"/>
        <v>28</v>
      </c>
      <c r="P5" s="14">
        <f t="shared" si="4"/>
        <v>268.8</v>
      </c>
      <c r="Q5" s="15">
        <f t="shared" si="5"/>
        <v>94.08</v>
      </c>
      <c r="R5" s="14">
        <f t="shared" si="6"/>
        <v>58.8</v>
      </c>
      <c r="S5" s="14">
        <f t="shared" si="7"/>
        <v>0</v>
      </c>
      <c r="T5" s="14">
        <f t="shared" si="8"/>
        <v>0</v>
      </c>
      <c r="U5" s="14">
        <f t="shared" si="9"/>
        <v>56</v>
      </c>
      <c r="V5" s="14">
        <f t="shared" si="10"/>
        <v>0</v>
      </c>
      <c r="W5" s="14">
        <f t="shared" si="11"/>
        <v>383.6</v>
      </c>
      <c r="X5" s="19">
        <f t="shared" si="12"/>
        <v>4.091733333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169</v>
      </c>
      <c r="C6" s="10">
        <v>11.0</v>
      </c>
      <c r="D6" s="10">
        <v>12.0</v>
      </c>
      <c r="E6" s="10">
        <v>8.0</v>
      </c>
      <c r="F6" s="21"/>
      <c r="G6" s="11" t="b">
        <v>1</v>
      </c>
      <c r="H6" s="12" t="b">
        <v>1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368</v>
      </c>
      <c r="N6" s="13">
        <f t="shared" si="2"/>
        <v>132</v>
      </c>
      <c r="O6" s="13">
        <f t="shared" si="3"/>
        <v>46</v>
      </c>
      <c r="P6" s="14">
        <f t="shared" si="4"/>
        <v>441.6</v>
      </c>
      <c r="Q6" s="15">
        <f t="shared" si="5"/>
        <v>154.56</v>
      </c>
      <c r="R6" s="14">
        <f t="shared" si="6"/>
        <v>158.4</v>
      </c>
      <c r="S6" s="14">
        <f t="shared" si="7"/>
        <v>0</v>
      </c>
      <c r="T6" s="14">
        <f t="shared" si="8"/>
        <v>0</v>
      </c>
      <c r="U6" s="14">
        <f t="shared" si="9"/>
        <v>92</v>
      </c>
      <c r="V6" s="14">
        <f t="shared" si="10"/>
        <v>0</v>
      </c>
      <c r="W6" s="14">
        <f t="shared" si="11"/>
        <v>692</v>
      </c>
      <c r="X6" s="19">
        <f t="shared" si="12"/>
        <v>7.381333333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 t="s">
        <v>27</v>
      </c>
      <c r="C7" s="11">
        <v>16.0</v>
      </c>
      <c r="D7" s="11">
        <v>12.0</v>
      </c>
      <c r="E7" s="11">
        <v>8.0</v>
      </c>
      <c r="F7" s="21"/>
      <c r="G7" s="11" t="b">
        <v>1</v>
      </c>
      <c r="H7" s="12" t="b">
        <v>1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448</v>
      </c>
      <c r="N7" s="13">
        <f t="shared" si="2"/>
        <v>192</v>
      </c>
      <c r="O7" s="13">
        <f t="shared" si="3"/>
        <v>56</v>
      </c>
      <c r="P7" s="14">
        <f t="shared" si="4"/>
        <v>537.6</v>
      </c>
      <c r="Q7" s="15">
        <f t="shared" si="5"/>
        <v>188.16</v>
      </c>
      <c r="R7" s="14">
        <f t="shared" si="6"/>
        <v>230.4</v>
      </c>
      <c r="S7" s="14">
        <f t="shared" si="7"/>
        <v>0</v>
      </c>
      <c r="T7" s="14">
        <f t="shared" si="8"/>
        <v>0</v>
      </c>
      <c r="U7" s="14">
        <f t="shared" si="9"/>
        <v>112</v>
      </c>
      <c r="V7" s="14">
        <f t="shared" si="10"/>
        <v>0</v>
      </c>
      <c r="W7" s="14">
        <f t="shared" si="11"/>
        <v>880</v>
      </c>
      <c r="X7" s="19">
        <f t="shared" si="12"/>
        <v>9.386666667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 t="s">
        <v>146</v>
      </c>
      <c r="C8" s="11">
        <v>13.0</v>
      </c>
      <c r="D8" s="11">
        <v>8.0</v>
      </c>
      <c r="E8" s="11">
        <v>8.0</v>
      </c>
      <c r="F8" s="21"/>
      <c r="G8" s="11" t="b">
        <v>1</v>
      </c>
      <c r="H8" s="12" t="b">
        <v>1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336</v>
      </c>
      <c r="N8" s="13">
        <f t="shared" si="2"/>
        <v>104</v>
      </c>
      <c r="O8" s="13">
        <f t="shared" si="3"/>
        <v>42</v>
      </c>
      <c r="P8" s="14">
        <f t="shared" si="4"/>
        <v>403.2</v>
      </c>
      <c r="Q8" s="15">
        <f t="shared" si="5"/>
        <v>141.12</v>
      </c>
      <c r="R8" s="14">
        <f t="shared" si="6"/>
        <v>124.8</v>
      </c>
      <c r="S8" s="14">
        <f t="shared" si="7"/>
        <v>0</v>
      </c>
      <c r="T8" s="14">
        <f t="shared" si="8"/>
        <v>0</v>
      </c>
      <c r="U8" s="14">
        <f t="shared" si="9"/>
        <v>84</v>
      </c>
      <c r="V8" s="14">
        <f t="shared" si="10"/>
        <v>0</v>
      </c>
      <c r="W8" s="14">
        <f t="shared" si="11"/>
        <v>612</v>
      </c>
      <c r="X8" s="19">
        <f t="shared" si="12"/>
        <v>6.528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170</v>
      </c>
      <c r="C9" s="11">
        <v>13.0</v>
      </c>
      <c r="D9" s="11">
        <v>8.0</v>
      </c>
      <c r="E9" s="11">
        <v>8.0</v>
      </c>
      <c r="F9" s="21"/>
      <c r="G9" s="11" t="b">
        <v>1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336</v>
      </c>
      <c r="N9" s="13">
        <f t="shared" si="2"/>
        <v>104</v>
      </c>
      <c r="O9" s="13">
        <f t="shared" si="3"/>
        <v>42</v>
      </c>
      <c r="P9" s="14">
        <f t="shared" si="4"/>
        <v>403.2</v>
      </c>
      <c r="Q9" s="15">
        <f t="shared" si="5"/>
        <v>141.12</v>
      </c>
      <c r="R9" s="14">
        <f t="shared" si="6"/>
        <v>124.8</v>
      </c>
      <c r="S9" s="14">
        <f t="shared" si="7"/>
        <v>0</v>
      </c>
      <c r="T9" s="14">
        <f t="shared" si="8"/>
        <v>0</v>
      </c>
      <c r="U9" s="14">
        <f t="shared" si="9"/>
        <v>84</v>
      </c>
      <c r="V9" s="14">
        <f t="shared" si="10"/>
        <v>0</v>
      </c>
      <c r="W9" s="14">
        <f t="shared" si="11"/>
        <v>612</v>
      </c>
      <c r="X9" s="19">
        <f t="shared" si="12"/>
        <v>6.528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171</v>
      </c>
      <c r="C10" s="11">
        <v>4.0</v>
      </c>
      <c r="D10" s="11">
        <v>3.0</v>
      </c>
      <c r="E10" s="11">
        <v>8.0</v>
      </c>
      <c r="F10" s="21"/>
      <c r="G10" s="11" t="b">
        <v>1</v>
      </c>
      <c r="H10" s="12" t="b">
        <v>1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112</v>
      </c>
      <c r="N10" s="13">
        <f t="shared" si="2"/>
        <v>12</v>
      </c>
      <c r="O10" s="13">
        <f t="shared" si="3"/>
        <v>14</v>
      </c>
      <c r="P10" s="14">
        <f t="shared" si="4"/>
        <v>134.4</v>
      </c>
      <c r="Q10" s="15">
        <f t="shared" si="5"/>
        <v>47.04</v>
      </c>
      <c r="R10" s="14">
        <f t="shared" si="6"/>
        <v>14.4</v>
      </c>
      <c r="S10" s="14">
        <f t="shared" si="7"/>
        <v>0</v>
      </c>
      <c r="T10" s="14">
        <f t="shared" si="8"/>
        <v>0</v>
      </c>
      <c r="U10" s="14">
        <f t="shared" si="9"/>
        <v>28</v>
      </c>
      <c r="V10" s="14">
        <f t="shared" si="10"/>
        <v>0</v>
      </c>
      <c r="W10" s="14">
        <f t="shared" si="11"/>
        <v>176.8</v>
      </c>
      <c r="X10" s="19">
        <f t="shared" si="12"/>
        <v>1.885866667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2704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745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5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324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2.128571429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0.5714285714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6.2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3244.8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894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450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648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5236.8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1135.68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34.6112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9.536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4.8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6.912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55.8592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172</v>
      </c>
      <c r="C2" s="10">
        <v>4.0</v>
      </c>
      <c r="D2" s="10">
        <v>4.0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128</v>
      </c>
      <c r="N2" s="13">
        <f t="shared" ref="N2:N49" si="2">IF(H2,C2*D2,0)</f>
        <v>0</v>
      </c>
      <c r="O2" s="13">
        <f t="shared" ref="O2:O49" si="3">(C2+D2)*2</f>
        <v>16</v>
      </c>
      <c r="P2" s="14">
        <f t="shared" ref="P2:P49" si="4">M2*$AB$7</f>
        <v>140.8</v>
      </c>
      <c r="Q2" s="15">
        <f t="shared" ref="Q2:Q1000" si="5">IFERROR(P2*0.35,0)</f>
        <v>49.28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140.8</v>
      </c>
      <c r="X2" s="16">
        <f t="shared" ref="X2:X1000" si="12">IFERROR((W2*$AB$47)/$AB$48,0)</f>
        <v>1.501866667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173</v>
      </c>
      <c r="C3" s="10">
        <v>10.0</v>
      </c>
      <c r="D3" s="10">
        <v>10.0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320</v>
      </c>
      <c r="N3" s="13">
        <f t="shared" si="2"/>
        <v>100</v>
      </c>
      <c r="O3" s="13">
        <f t="shared" si="3"/>
        <v>40</v>
      </c>
      <c r="P3" s="14">
        <f t="shared" si="4"/>
        <v>352</v>
      </c>
      <c r="Q3" s="15">
        <f t="shared" si="5"/>
        <v>123.2</v>
      </c>
      <c r="R3" s="14">
        <f t="shared" si="6"/>
        <v>120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472</v>
      </c>
      <c r="X3" s="19">
        <f t="shared" si="12"/>
        <v>5.034666667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129</v>
      </c>
      <c r="C4" s="10">
        <v>15.0</v>
      </c>
      <c r="D4" s="10">
        <v>15.0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480</v>
      </c>
      <c r="N4" s="13">
        <f t="shared" si="2"/>
        <v>0</v>
      </c>
      <c r="O4" s="13">
        <f t="shared" si="3"/>
        <v>60</v>
      </c>
      <c r="P4" s="14">
        <f t="shared" si="4"/>
        <v>528</v>
      </c>
      <c r="Q4" s="15">
        <f t="shared" si="5"/>
        <v>184.8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528</v>
      </c>
      <c r="X4" s="19">
        <f t="shared" si="12"/>
        <v>5.632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130</v>
      </c>
      <c r="C5" s="10">
        <v>12.0</v>
      </c>
      <c r="D5" s="10">
        <v>10.0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352</v>
      </c>
      <c r="N5" s="13">
        <f t="shared" si="2"/>
        <v>0</v>
      </c>
      <c r="O5" s="13">
        <f t="shared" si="3"/>
        <v>44</v>
      </c>
      <c r="P5" s="14">
        <f t="shared" si="4"/>
        <v>387.2</v>
      </c>
      <c r="Q5" s="15">
        <f t="shared" si="5"/>
        <v>135.52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387.2</v>
      </c>
      <c r="X5" s="19">
        <f t="shared" si="12"/>
        <v>4.130133333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174</v>
      </c>
      <c r="C6" s="10">
        <v>12.0</v>
      </c>
      <c r="D6" s="10">
        <v>12.0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384</v>
      </c>
      <c r="N6" s="13">
        <f t="shared" si="2"/>
        <v>0</v>
      </c>
      <c r="O6" s="13">
        <f t="shared" si="3"/>
        <v>48</v>
      </c>
      <c r="P6" s="14">
        <f t="shared" si="4"/>
        <v>422.4</v>
      </c>
      <c r="Q6" s="15">
        <f t="shared" si="5"/>
        <v>147.84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422.4</v>
      </c>
      <c r="X6" s="19">
        <f t="shared" si="12"/>
        <v>4.5056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/>
      <c r="C8" s="11"/>
      <c r="D8" s="11"/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/>
      <c r="C9" s="11"/>
      <c r="D9" s="11"/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/>
      <c r="C10" s="11"/>
      <c r="D10" s="11"/>
      <c r="E10" s="11">
        <v>8.0</v>
      </c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1664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100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0.2857142857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3.785714286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5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1830.4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120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1950.4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640.64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19.52426667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1.28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20.80426667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108</v>
      </c>
      <c r="C2" s="10">
        <v>12.0</v>
      </c>
      <c r="D2" s="10">
        <v>10.0</v>
      </c>
      <c r="E2" s="10">
        <v>8.0</v>
      </c>
      <c r="F2" s="11"/>
      <c r="G2" s="11" t="b">
        <v>0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0</v>
      </c>
      <c r="N2" s="13">
        <f t="shared" ref="N2:N49" si="2">IF(H2,C2*D2,0)</f>
        <v>120</v>
      </c>
      <c r="O2" s="13">
        <f t="shared" ref="O2:O49" si="3">(C2+D2)*2</f>
        <v>44</v>
      </c>
      <c r="P2" s="14">
        <f t="shared" ref="P2:P49" si="4">M2*$AB$7</f>
        <v>0</v>
      </c>
      <c r="Q2" s="15">
        <f t="shared" ref="Q2:Q1000" si="5">IFERROR(P2*0.35,0)</f>
        <v>0</v>
      </c>
      <c r="R2" s="14">
        <f t="shared" ref="R2:R49" si="6">N2*$AB$8</f>
        <v>144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88</v>
      </c>
      <c r="V2" s="14">
        <f t="shared" ref="V2:V49" si="10">IF(J2,O2*$AB$11,0)</f>
        <v>0</v>
      </c>
      <c r="W2" s="14">
        <f t="shared" ref="W2:W1000" si="11">SUM(P2,R2:V2)</f>
        <v>232</v>
      </c>
      <c r="X2" s="16">
        <f t="shared" ref="X2:X1000" si="12">IFERROR((W2*$AB$47)/$AB$48,0)</f>
        <v>2.474666667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175</v>
      </c>
      <c r="C3" s="10">
        <v>11.0</v>
      </c>
      <c r="D3" s="10">
        <v>10.0</v>
      </c>
      <c r="E3" s="10">
        <v>8.0</v>
      </c>
      <c r="F3" s="11"/>
      <c r="G3" s="11" t="b">
        <v>0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0</v>
      </c>
      <c r="N3" s="13">
        <f t="shared" si="2"/>
        <v>110</v>
      </c>
      <c r="O3" s="13">
        <f t="shared" si="3"/>
        <v>42</v>
      </c>
      <c r="P3" s="14">
        <f t="shared" si="4"/>
        <v>0</v>
      </c>
      <c r="Q3" s="15">
        <f t="shared" si="5"/>
        <v>0</v>
      </c>
      <c r="R3" s="14">
        <f t="shared" si="6"/>
        <v>132</v>
      </c>
      <c r="S3" s="14">
        <f t="shared" si="7"/>
        <v>0</v>
      </c>
      <c r="T3" s="14">
        <f t="shared" si="8"/>
        <v>0</v>
      </c>
      <c r="U3" s="14">
        <f t="shared" si="9"/>
        <v>84</v>
      </c>
      <c r="V3" s="14">
        <f t="shared" si="10"/>
        <v>0</v>
      </c>
      <c r="W3" s="14">
        <f t="shared" si="11"/>
        <v>216</v>
      </c>
      <c r="X3" s="19">
        <f t="shared" si="12"/>
        <v>2.304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176</v>
      </c>
      <c r="C4" s="10">
        <v>7.0</v>
      </c>
      <c r="D4" s="10">
        <v>5.0</v>
      </c>
      <c r="E4" s="10">
        <v>8.0</v>
      </c>
      <c r="F4" s="11"/>
      <c r="G4" s="11" t="b">
        <v>0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0</v>
      </c>
      <c r="N4" s="13">
        <f t="shared" si="2"/>
        <v>35</v>
      </c>
      <c r="O4" s="13">
        <f t="shared" si="3"/>
        <v>24</v>
      </c>
      <c r="P4" s="14">
        <f t="shared" si="4"/>
        <v>0</v>
      </c>
      <c r="Q4" s="15">
        <f t="shared" si="5"/>
        <v>0</v>
      </c>
      <c r="R4" s="14">
        <f t="shared" si="6"/>
        <v>42</v>
      </c>
      <c r="S4" s="14">
        <f t="shared" si="7"/>
        <v>0</v>
      </c>
      <c r="T4" s="14">
        <f t="shared" si="8"/>
        <v>0</v>
      </c>
      <c r="U4" s="14">
        <f t="shared" si="9"/>
        <v>48</v>
      </c>
      <c r="V4" s="14">
        <f t="shared" si="10"/>
        <v>0</v>
      </c>
      <c r="W4" s="14">
        <f t="shared" si="11"/>
        <v>90</v>
      </c>
      <c r="X4" s="19">
        <f t="shared" si="12"/>
        <v>0.96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177</v>
      </c>
      <c r="C5" s="10">
        <v>11.0</v>
      </c>
      <c r="D5" s="10">
        <v>4.0</v>
      </c>
      <c r="E5" s="10">
        <v>8.0</v>
      </c>
      <c r="F5" s="21"/>
      <c r="G5" s="11" t="b">
        <v>0</v>
      </c>
      <c r="H5" s="12" t="b">
        <v>1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44</v>
      </c>
      <c r="O5" s="13">
        <f t="shared" si="3"/>
        <v>30</v>
      </c>
      <c r="P5" s="14">
        <f t="shared" si="4"/>
        <v>0</v>
      </c>
      <c r="Q5" s="15">
        <f t="shared" si="5"/>
        <v>0</v>
      </c>
      <c r="R5" s="14">
        <f t="shared" si="6"/>
        <v>52.8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52.8</v>
      </c>
      <c r="X5" s="19">
        <f t="shared" si="12"/>
        <v>0.5632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178</v>
      </c>
      <c r="C6" s="10">
        <v>11.0</v>
      </c>
      <c r="D6" s="10">
        <v>11.0</v>
      </c>
      <c r="E6" s="10">
        <v>8.0</v>
      </c>
      <c r="F6" s="21"/>
      <c r="G6" s="11" t="b">
        <v>0</v>
      </c>
      <c r="H6" s="12" t="b">
        <v>1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121</v>
      </c>
      <c r="O6" s="13">
        <f t="shared" si="3"/>
        <v>44</v>
      </c>
      <c r="P6" s="14">
        <f t="shared" si="4"/>
        <v>0</v>
      </c>
      <c r="Q6" s="15">
        <f t="shared" si="5"/>
        <v>0</v>
      </c>
      <c r="R6" s="14">
        <f t="shared" si="6"/>
        <v>145.2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145.2</v>
      </c>
      <c r="X6" s="19">
        <f t="shared" si="12"/>
        <v>1.5488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 t="s">
        <v>179</v>
      </c>
      <c r="C7" s="11">
        <v>24.0</v>
      </c>
      <c r="D7" s="11">
        <v>12.0</v>
      </c>
      <c r="E7" s="11">
        <v>8.0</v>
      </c>
      <c r="F7" s="21"/>
      <c r="G7" s="11" t="b">
        <v>0</v>
      </c>
      <c r="H7" s="12" t="b">
        <v>1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288</v>
      </c>
      <c r="O7" s="13">
        <f t="shared" si="3"/>
        <v>72</v>
      </c>
      <c r="P7" s="14">
        <f t="shared" si="4"/>
        <v>0</v>
      </c>
      <c r="Q7" s="15">
        <f t="shared" si="5"/>
        <v>0</v>
      </c>
      <c r="R7" s="14">
        <f t="shared" si="6"/>
        <v>345.6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345.6</v>
      </c>
      <c r="X7" s="19">
        <f t="shared" si="12"/>
        <v>3.6864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 t="s">
        <v>180</v>
      </c>
      <c r="C8" s="11">
        <v>11.0</v>
      </c>
      <c r="D8" s="11">
        <v>10.0</v>
      </c>
      <c r="E8" s="11">
        <v>8.0</v>
      </c>
      <c r="F8" s="21"/>
      <c r="G8" s="11" t="b">
        <v>0</v>
      </c>
      <c r="H8" s="12" t="b">
        <v>1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110</v>
      </c>
      <c r="O8" s="13">
        <f t="shared" si="3"/>
        <v>42</v>
      </c>
      <c r="P8" s="14">
        <f t="shared" si="4"/>
        <v>0</v>
      </c>
      <c r="Q8" s="15">
        <f t="shared" si="5"/>
        <v>0</v>
      </c>
      <c r="R8" s="14">
        <f t="shared" si="6"/>
        <v>132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132</v>
      </c>
      <c r="X8" s="19">
        <f t="shared" si="12"/>
        <v>1.408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181</v>
      </c>
      <c r="C9" s="11">
        <v>10.0</v>
      </c>
      <c r="D9" s="11">
        <v>6.0</v>
      </c>
      <c r="E9" s="11">
        <v>8.0</v>
      </c>
      <c r="F9" s="21"/>
      <c r="G9" s="11" t="b">
        <v>0</v>
      </c>
      <c r="H9" s="12" t="b">
        <v>1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60</v>
      </c>
      <c r="O9" s="13">
        <f t="shared" si="3"/>
        <v>32</v>
      </c>
      <c r="P9" s="14">
        <f t="shared" si="4"/>
        <v>0</v>
      </c>
      <c r="Q9" s="15">
        <f t="shared" si="5"/>
        <v>0</v>
      </c>
      <c r="R9" s="14">
        <f t="shared" si="6"/>
        <v>72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72</v>
      </c>
      <c r="X9" s="19">
        <f t="shared" si="12"/>
        <v>0.768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160</v>
      </c>
      <c r="C10" s="11">
        <v>13.0</v>
      </c>
      <c r="D10" s="11">
        <v>3.0</v>
      </c>
      <c r="E10" s="11">
        <v>8.0</v>
      </c>
      <c r="F10" s="21"/>
      <c r="G10" s="11" t="b">
        <v>0</v>
      </c>
      <c r="H10" s="12" t="b">
        <v>1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39</v>
      </c>
      <c r="O10" s="13">
        <f t="shared" si="3"/>
        <v>32</v>
      </c>
      <c r="P10" s="14">
        <f t="shared" si="4"/>
        <v>0</v>
      </c>
      <c r="Q10" s="15">
        <f t="shared" si="5"/>
        <v>0</v>
      </c>
      <c r="R10" s="14">
        <f t="shared" si="6"/>
        <v>46.8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46.8</v>
      </c>
      <c r="X10" s="19">
        <f t="shared" si="12"/>
        <v>0.4992</v>
      </c>
      <c r="AA10" s="8" t="s">
        <v>42</v>
      </c>
      <c r="AB10" s="8">
        <v>2.0</v>
      </c>
    </row>
    <row r="11" ht="15.75" customHeight="1">
      <c r="A11" s="21">
        <v>10.0</v>
      </c>
      <c r="B11" s="9" t="s">
        <v>97</v>
      </c>
      <c r="C11" s="11">
        <v>13.0</v>
      </c>
      <c r="D11" s="11">
        <v>4.0</v>
      </c>
      <c r="E11" s="11">
        <v>8.0</v>
      </c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34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9" t="s">
        <v>156</v>
      </c>
      <c r="C12" s="11">
        <v>13.0</v>
      </c>
      <c r="D12" s="11">
        <v>3.0</v>
      </c>
      <c r="E12" s="11">
        <v>15.0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480</v>
      </c>
      <c r="N12" s="13">
        <f t="shared" si="2"/>
        <v>0</v>
      </c>
      <c r="O12" s="13">
        <f t="shared" si="3"/>
        <v>32</v>
      </c>
      <c r="P12" s="14">
        <f t="shared" si="4"/>
        <v>528</v>
      </c>
      <c r="Q12" s="15">
        <f t="shared" si="5"/>
        <v>184.8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528</v>
      </c>
      <c r="X12" s="19">
        <f t="shared" si="12"/>
        <v>5.632</v>
      </c>
      <c r="AA12" s="8" t="s">
        <v>46</v>
      </c>
      <c r="AB12" s="3">
        <v>8.0</v>
      </c>
    </row>
    <row r="13" ht="21.0" customHeight="1">
      <c r="A13" s="21">
        <v>12.0</v>
      </c>
      <c r="B13" s="9" t="s">
        <v>182</v>
      </c>
      <c r="C13" s="11">
        <v>13.0</v>
      </c>
      <c r="D13" s="11">
        <v>3.0</v>
      </c>
      <c r="E13" s="11">
        <v>8.0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256</v>
      </c>
      <c r="N13" s="13">
        <f t="shared" si="2"/>
        <v>0</v>
      </c>
      <c r="O13" s="13">
        <f t="shared" si="3"/>
        <v>32</v>
      </c>
      <c r="P13" s="14">
        <f t="shared" si="4"/>
        <v>281.6</v>
      </c>
      <c r="Q13" s="15">
        <f t="shared" si="5"/>
        <v>98.56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281.6</v>
      </c>
      <c r="X13" s="19">
        <f t="shared" si="12"/>
        <v>3.003733333</v>
      </c>
      <c r="AA13" s="3" t="s">
        <v>48</v>
      </c>
      <c r="AB13" s="3">
        <v>185.0</v>
      </c>
    </row>
    <row r="14" ht="15.75" customHeight="1">
      <c r="A14" s="21">
        <v>13.0</v>
      </c>
      <c r="B14" s="9" t="s">
        <v>183</v>
      </c>
      <c r="C14" s="11">
        <v>17.0</v>
      </c>
      <c r="D14" s="11">
        <v>13.0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480</v>
      </c>
      <c r="N14" s="13">
        <f t="shared" si="2"/>
        <v>0</v>
      </c>
      <c r="O14" s="13">
        <f t="shared" si="3"/>
        <v>60</v>
      </c>
      <c r="P14" s="14">
        <f t="shared" si="4"/>
        <v>528</v>
      </c>
      <c r="Q14" s="15">
        <f t="shared" si="5"/>
        <v>184.8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528</v>
      </c>
      <c r="X14" s="19">
        <f t="shared" si="12"/>
        <v>5.632</v>
      </c>
    </row>
    <row r="15" ht="15.75" customHeight="1">
      <c r="A15" s="21">
        <v>14.0</v>
      </c>
      <c r="B15" s="9" t="s">
        <v>184</v>
      </c>
      <c r="C15" s="11">
        <v>10.0</v>
      </c>
      <c r="D15" s="11">
        <v>12.0</v>
      </c>
      <c r="E15" s="11">
        <v>8.0</v>
      </c>
      <c r="F15" s="21"/>
      <c r="G15" s="11" t="b">
        <v>1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352</v>
      </c>
      <c r="N15" s="13">
        <f t="shared" si="2"/>
        <v>0</v>
      </c>
      <c r="O15" s="13">
        <f t="shared" si="3"/>
        <v>44</v>
      </c>
      <c r="P15" s="14">
        <f t="shared" si="4"/>
        <v>387.2</v>
      </c>
      <c r="Q15" s="15">
        <f t="shared" si="5"/>
        <v>135.52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387.2</v>
      </c>
      <c r="X15" s="19">
        <f t="shared" si="12"/>
        <v>4.130133333</v>
      </c>
      <c r="AA15" s="25" t="s">
        <v>51</v>
      </c>
      <c r="AB15" s="26"/>
    </row>
    <row r="16" ht="15.75" customHeight="1">
      <c r="A16" s="21">
        <v>15.0</v>
      </c>
      <c r="B16" s="9" t="s">
        <v>163</v>
      </c>
      <c r="C16" s="11">
        <v>6.0</v>
      </c>
      <c r="D16" s="11">
        <v>6.0</v>
      </c>
      <c r="E16" s="11">
        <v>8.0</v>
      </c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24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1568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927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110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2.648571429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6.148571429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15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1724.8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1112.4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220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3057.2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603.68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18.39786667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11.8656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2.346666667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32.61013333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114</v>
      </c>
      <c r="C2" s="10">
        <v>16.0</v>
      </c>
      <c r="D2" s="10">
        <v>5.0</v>
      </c>
      <c r="E2" s="10">
        <v>8.0</v>
      </c>
      <c r="F2" s="11">
        <v>1.0</v>
      </c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336</v>
      </c>
      <c r="N2" s="13">
        <f t="shared" ref="N2:N49" si="2">IF(H2,C2*D2,0)</f>
        <v>80</v>
      </c>
      <c r="O2" s="13">
        <f t="shared" ref="O2:O49" si="3">(C2+D2)*2</f>
        <v>42</v>
      </c>
      <c r="P2" s="14">
        <f t="shared" ref="P2:P49" si="4">M2*$AB$7</f>
        <v>369.6</v>
      </c>
      <c r="Q2" s="15">
        <f t="shared" ref="Q2:Q1000" si="5">IFERROR(P2*0.35,0)</f>
        <v>129.36</v>
      </c>
      <c r="R2" s="14">
        <f t="shared" ref="R2:R49" si="6">N2*$AB$8</f>
        <v>96</v>
      </c>
      <c r="S2" s="14">
        <f t="shared" ref="S2:S49" si="7">IF(I2,C2*D2*$AB$12,0)</f>
        <v>0</v>
      </c>
      <c r="T2" s="14">
        <f t="shared" ref="T2:T49" si="8">F2*$AB$9</f>
        <v>90</v>
      </c>
      <c r="U2" s="14">
        <f t="shared" ref="U2:U49" si="9">IF(K2,IF(L2&gt;0,O2*$AB$10*L2,0),0)</f>
        <v>84</v>
      </c>
      <c r="V2" s="14">
        <f t="shared" ref="V2:V49" si="10">IF(J2,O2*$AB$11,0)</f>
        <v>0</v>
      </c>
      <c r="W2" s="14">
        <f t="shared" ref="W2:W1000" si="11">SUM(P2,R2:V2)</f>
        <v>639.6</v>
      </c>
      <c r="X2" s="16">
        <f t="shared" ref="X2:X1000" si="12">IFERROR((W2*$AB$47)/$AB$48,0)</f>
        <v>6.8224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185</v>
      </c>
      <c r="C3" s="10">
        <v>15.0</v>
      </c>
      <c r="D3" s="10">
        <v>16.0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496</v>
      </c>
      <c r="N3" s="13">
        <f t="shared" si="2"/>
        <v>240</v>
      </c>
      <c r="O3" s="13">
        <f t="shared" si="3"/>
        <v>62</v>
      </c>
      <c r="P3" s="14">
        <f t="shared" si="4"/>
        <v>545.6</v>
      </c>
      <c r="Q3" s="15">
        <f t="shared" si="5"/>
        <v>190.96</v>
      </c>
      <c r="R3" s="14">
        <f t="shared" si="6"/>
        <v>288</v>
      </c>
      <c r="S3" s="14">
        <f t="shared" si="7"/>
        <v>0</v>
      </c>
      <c r="T3" s="14">
        <f t="shared" si="8"/>
        <v>0</v>
      </c>
      <c r="U3" s="14">
        <f t="shared" si="9"/>
        <v>124</v>
      </c>
      <c r="V3" s="14">
        <f t="shared" si="10"/>
        <v>0</v>
      </c>
      <c r="W3" s="14">
        <f t="shared" si="11"/>
        <v>957.6</v>
      </c>
      <c r="X3" s="19">
        <f t="shared" si="12"/>
        <v>10.2144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49</v>
      </c>
      <c r="C4" s="10">
        <v>10.0</v>
      </c>
      <c r="D4" s="10">
        <v>6.0</v>
      </c>
      <c r="E4" s="10">
        <v>8.0</v>
      </c>
      <c r="F4" s="11">
        <v>1.0</v>
      </c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256</v>
      </c>
      <c r="N4" s="13">
        <f t="shared" si="2"/>
        <v>60</v>
      </c>
      <c r="O4" s="13">
        <f t="shared" si="3"/>
        <v>32</v>
      </c>
      <c r="P4" s="14">
        <f t="shared" si="4"/>
        <v>281.6</v>
      </c>
      <c r="Q4" s="15">
        <f t="shared" si="5"/>
        <v>98.56</v>
      </c>
      <c r="R4" s="14">
        <f t="shared" si="6"/>
        <v>72</v>
      </c>
      <c r="S4" s="14">
        <f t="shared" si="7"/>
        <v>0</v>
      </c>
      <c r="T4" s="14">
        <f t="shared" si="8"/>
        <v>90</v>
      </c>
      <c r="U4" s="14">
        <f t="shared" si="9"/>
        <v>64</v>
      </c>
      <c r="V4" s="14">
        <f t="shared" si="10"/>
        <v>0</v>
      </c>
      <c r="W4" s="14">
        <f t="shared" si="11"/>
        <v>507.6</v>
      </c>
      <c r="X4" s="19">
        <f t="shared" si="12"/>
        <v>5.4144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/>
      <c r="C5" s="10"/>
      <c r="D5" s="10"/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0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/>
      <c r="C8" s="11"/>
      <c r="D8" s="11"/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/>
      <c r="C9" s="11"/>
      <c r="D9" s="11"/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/>
      <c r="C10" s="11"/>
      <c r="D10" s="11"/>
      <c r="E10" s="11">
        <v>8.0</v>
      </c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1088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380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2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136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1.085714286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0.2285714286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4.814285714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3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1196.8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456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180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272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2104.8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418.88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12.76586667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4.864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1.92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2.901333333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22.4512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101</v>
      </c>
      <c r="C2" s="10">
        <v>19.0</v>
      </c>
      <c r="D2" s="10">
        <v>7.0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416</v>
      </c>
      <c r="N2" s="13">
        <f t="shared" ref="N2:N49" si="2">IF(H2,C2*D2,0)</f>
        <v>0</v>
      </c>
      <c r="O2" s="13">
        <f t="shared" ref="O2:O49" si="3">(C2+D2)*2</f>
        <v>52</v>
      </c>
      <c r="P2" s="14">
        <f t="shared" ref="P2:P49" si="4">M2*$AB$7</f>
        <v>457.6</v>
      </c>
      <c r="Q2" s="15">
        <f t="shared" ref="Q2:Q1000" si="5">IFERROR(P2*0.35,0)</f>
        <v>160.16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104</v>
      </c>
      <c r="V2" s="14">
        <f t="shared" ref="V2:V49" si="10">IF(J2,O2*$AB$11,0)</f>
        <v>0</v>
      </c>
      <c r="W2" s="14">
        <f t="shared" ref="W2:W1000" si="11">SUM(P2,R2:V2)</f>
        <v>561.6</v>
      </c>
      <c r="X2" s="16">
        <f t="shared" ref="X2:X1000" si="12">IFERROR((W2*$AB$47)/$AB$48,0)</f>
        <v>5.9904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186</v>
      </c>
      <c r="C3" s="10">
        <v>7.0</v>
      </c>
      <c r="D3" s="10">
        <v>3.0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160</v>
      </c>
      <c r="N3" s="13">
        <f t="shared" si="2"/>
        <v>0</v>
      </c>
      <c r="O3" s="13">
        <f t="shared" si="3"/>
        <v>20</v>
      </c>
      <c r="P3" s="14">
        <f t="shared" si="4"/>
        <v>176</v>
      </c>
      <c r="Q3" s="15">
        <f t="shared" si="5"/>
        <v>61.6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40</v>
      </c>
      <c r="V3" s="14">
        <f t="shared" si="10"/>
        <v>0</v>
      </c>
      <c r="W3" s="14">
        <f t="shared" si="11"/>
        <v>216</v>
      </c>
      <c r="X3" s="19">
        <f t="shared" si="12"/>
        <v>2.304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187</v>
      </c>
      <c r="C4" s="10">
        <v>9.0</v>
      </c>
      <c r="D4" s="10">
        <v>3.0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192</v>
      </c>
      <c r="N4" s="13">
        <f t="shared" si="2"/>
        <v>0</v>
      </c>
      <c r="O4" s="13">
        <f t="shared" si="3"/>
        <v>24</v>
      </c>
      <c r="P4" s="14">
        <f t="shared" si="4"/>
        <v>211.2</v>
      </c>
      <c r="Q4" s="15">
        <f t="shared" si="5"/>
        <v>73.92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48</v>
      </c>
      <c r="V4" s="14">
        <f t="shared" si="10"/>
        <v>0</v>
      </c>
      <c r="W4" s="14">
        <f t="shared" si="11"/>
        <v>259.2</v>
      </c>
      <c r="X4" s="19">
        <f t="shared" si="12"/>
        <v>2.7648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188</v>
      </c>
      <c r="C5" s="10">
        <v>10.0</v>
      </c>
      <c r="D5" s="10">
        <v>10.0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320</v>
      </c>
      <c r="N5" s="13">
        <f t="shared" si="2"/>
        <v>0</v>
      </c>
      <c r="O5" s="13">
        <f t="shared" si="3"/>
        <v>40</v>
      </c>
      <c r="P5" s="14">
        <f t="shared" si="4"/>
        <v>352</v>
      </c>
      <c r="Q5" s="15">
        <f t="shared" si="5"/>
        <v>123.2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80</v>
      </c>
      <c r="V5" s="14">
        <f t="shared" si="10"/>
        <v>0</v>
      </c>
      <c r="W5" s="14">
        <f t="shared" si="11"/>
        <v>432</v>
      </c>
      <c r="X5" s="19">
        <f t="shared" si="12"/>
        <v>4.608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47</v>
      </c>
      <c r="C6" s="10">
        <v>8.0</v>
      </c>
      <c r="D6" s="10">
        <v>10.0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288</v>
      </c>
      <c r="N6" s="13">
        <f t="shared" si="2"/>
        <v>0</v>
      </c>
      <c r="O6" s="13">
        <f t="shared" si="3"/>
        <v>36</v>
      </c>
      <c r="P6" s="14">
        <f t="shared" si="4"/>
        <v>316.8</v>
      </c>
      <c r="Q6" s="15">
        <f t="shared" si="5"/>
        <v>110.88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72</v>
      </c>
      <c r="V6" s="14">
        <f t="shared" si="10"/>
        <v>0</v>
      </c>
      <c r="W6" s="14">
        <f t="shared" si="11"/>
        <v>388.8</v>
      </c>
      <c r="X6" s="19">
        <f t="shared" si="12"/>
        <v>4.1472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 t="s">
        <v>189</v>
      </c>
      <c r="C7" s="11">
        <v>18.0</v>
      </c>
      <c r="D7" s="11">
        <v>12.0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480</v>
      </c>
      <c r="N7" s="13">
        <f t="shared" si="2"/>
        <v>0</v>
      </c>
      <c r="O7" s="13">
        <f t="shared" si="3"/>
        <v>60</v>
      </c>
      <c r="P7" s="14">
        <f t="shared" si="4"/>
        <v>528</v>
      </c>
      <c r="Q7" s="15">
        <f t="shared" si="5"/>
        <v>184.8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120</v>
      </c>
      <c r="V7" s="14">
        <f t="shared" si="10"/>
        <v>0</v>
      </c>
      <c r="W7" s="14">
        <f t="shared" si="11"/>
        <v>648</v>
      </c>
      <c r="X7" s="19">
        <f t="shared" si="12"/>
        <v>6.912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/>
      <c r="C8" s="11"/>
      <c r="D8" s="11"/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/>
      <c r="C9" s="11"/>
      <c r="D9" s="11"/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/>
      <c r="C10" s="11"/>
      <c r="D10" s="11"/>
      <c r="E10" s="11">
        <v>8.0</v>
      </c>
      <c r="F10" s="21"/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1856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232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6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2041.6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464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2505.6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714.56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21.77706667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4.949333333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26.7264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23" t="s">
        <v>190</v>
      </c>
      <c r="C2" s="10">
        <v>17.0</v>
      </c>
      <c r="D2" s="10">
        <v>4.0</v>
      </c>
      <c r="E2" s="10">
        <v>8.0</v>
      </c>
      <c r="F2" s="11"/>
      <c r="G2" s="11" t="b">
        <v>0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" si="1">IF(G2,(C2*E2*2)+(D2*E2*2),0)</f>
        <v>0</v>
      </c>
      <c r="N2" s="13">
        <f t="shared" ref="N2:N4" si="2">IF(H2,C2*D2,0)</f>
        <v>0</v>
      </c>
      <c r="O2" s="13">
        <f t="shared" ref="O2:O4" si="3">(C2+D2)*2</f>
        <v>42</v>
      </c>
      <c r="P2" s="14">
        <f t="shared" ref="P2:P4" si="4">M2*$AB$8</f>
        <v>0</v>
      </c>
      <c r="Q2" s="15">
        <f t="shared" ref="Q2:Q4" si="5">IFERROR(P2*0.35,0)</f>
        <v>0</v>
      </c>
      <c r="R2" s="14">
        <f t="shared" ref="R2:R4" si="6">N2*$AB$9</f>
        <v>0</v>
      </c>
      <c r="S2" s="14">
        <f t="shared" ref="S2:S4" si="7">IF(I2,C2*D2*$AB$13,0)</f>
        <v>0</v>
      </c>
      <c r="T2" s="14">
        <f t="shared" ref="T2:T4" si="8">F2*$AB$10</f>
        <v>0</v>
      </c>
      <c r="U2" s="14">
        <f t="shared" ref="U2:U4" si="9">IF(K2,IF(L2&gt;0,O2*$AB$11*L2,0),0)</f>
        <v>0</v>
      </c>
      <c r="V2" s="14">
        <f t="shared" ref="V2:V4" si="10">IF(J2,O2*$AB$12,0)</f>
        <v>0</v>
      </c>
      <c r="W2" s="14">
        <f t="shared" ref="W2:W4" si="11">SUM(P2,R2:V2)</f>
        <v>0</v>
      </c>
      <c r="X2" s="16">
        <f t="shared" ref="X2:X4" si="12">IFERROR((W2*$AB$48)/$AB$49,0)</f>
        <v>0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23" t="s">
        <v>131</v>
      </c>
      <c r="C3" s="10">
        <v>10.0</v>
      </c>
      <c r="D3" s="10">
        <v>6.0</v>
      </c>
      <c r="E3" s="10">
        <v>15.0</v>
      </c>
      <c r="F3" s="11"/>
      <c r="G3" s="11" t="b">
        <v>0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0</v>
      </c>
      <c r="N3" s="13">
        <f t="shared" si="2"/>
        <v>0</v>
      </c>
      <c r="O3" s="13">
        <f t="shared" si="3"/>
        <v>32</v>
      </c>
      <c r="P3" s="14">
        <f t="shared" si="4"/>
        <v>0</v>
      </c>
      <c r="Q3" s="15">
        <f t="shared" si="5"/>
        <v>0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0</v>
      </c>
      <c r="X3" s="19">
        <f t="shared" si="12"/>
        <v>0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23" t="s">
        <v>126</v>
      </c>
      <c r="C4" s="10">
        <v>10.0</v>
      </c>
      <c r="D4" s="10">
        <v>6.0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32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11">
        <v>4.0</v>
      </c>
      <c r="B5" s="9" t="s">
        <v>191</v>
      </c>
      <c r="C5" s="10">
        <v>4.0</v>
      </c>
      <c r="D5" s="10">
        <v>7.0</v>
      </c>
      <c r="E5" s="10">
        <v>8.0</v>
      </c>
      <c r="F5" s="1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/>
      <c r="M5" s="13"/>
      <c r="N5" s="13"/>
      <c r="O5" s="13"/>
      <c r="P5" s="14"/>
      <c r="Q5" s="15"/>
      <c r="R5" s="14"/>
      <c r="S5" s="14"/>
      <c r="T5" s="14"/>
      <c r="U5" s="14"/>
      <c r="V5" s="14"/>
      <c r="W5" s="14"/>
      <c r="X5" s="19"/>
      <c r="AA5" s="8"/>
      <c r="AB5" s="3"/>
      <c r="AC5" s="20"/>
    </row>
    <row r="6" ht="15.75" customHeight="1">
      <c r="A6" s="21">
        <v>4.0</v>
      </c>
      <c r="B6" s="23" t="s">
        <v>101</v>
      </c>
      <c r="C6" s="10">
        <v>8.0</v>
      </c>
      <c r="D6" s="10">
        <v>6.0</v>
      </c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ref="M6:M50" si="13">IF(G6,(C6*E6*2)+(D6*E6*2),0)</f>
        <v>0</v>
      </c>
      <c r="N6" s="13">
        <f t="shared" ref="N6:N50" si="14">IF(H6,C6*D6,0)</f>
        <v>0</v>
      </c>
      <c r="O6" s="13">
        <f t="shared" ref="O6:O50" si="15">(C6+D6)*2</f>
        <v>28</v>
      </c>
      <c r="P6" s="14">
        <f t="shared" ref="P6:P50" si="16">M6*$AB$8</f>
        <v>0</v>
      </c>
      <c r="Q6" s="15">
        <f t="shared" ref="Q6:Q1001" si="17">IFERROR(P6*0.35,0)</f>
        <v>0</v>
      </c>
      <c r="R6" s="14">
        <f t="shared" ref="R6:R50" si="18">N6*$AB$9</f>
        <v>0</v>
      </c>
      <c r="S6" s="14">
        <f t="shared" ref="S6:S50" si="19">IF(I6,C6*D6*$AB$13,0)</f>
        <v>0</v>
      </c>
      <c r="T6" s="14">
        <f t="shared" ref="T6:T50" si="20">F6*$AB$10</f>
        <v>0</v>
      </c>
      <c r="U6" s="14">
        <f t="shared" ref="U6:U50" si="21">IF(K6,IF(L6&gt;0,O6*$AB$11*L6,0),0)</f>
        <v>0</v>
      </c>
      <c r="V6" s="14">
        <f t="shared" ref="V6:V50" si="22">IF(J6,O6*$AB$12,0)</f>
        <v>0</v>
      </c>
      <c r="W6" s="14">
        <f t="shared" ref="W6:W1001" si="23">SUM(P6,R6:V6)</f>
        <v>0</v>
      </c>
      <c r="X6" s="19">
        <f t="shared" ref="X6:X1001" si="24">IFERROR((W6*$AB$48)/$AB$49,0)</f>
        <v>0</v>
      </c>
      <c r="AA6" s="8" t="s">
        <v>26</v>
      </c>
      <c r="AB6" s="8" t="s">
        <v>26</v>
      </c>
      <c r="AC6" s="20" t="s">
        <v>26</v>
      </c>
    </row>
    <row r="7" ht="15.75" customHeight="1">
      <c r="A7" s="21">
        <v>5.0</v>
      </c>
      <c r="B7" s="23" t="s">
        <v>134</v>
      </c>
      <c r="C7" s="10">
        <v>17.0</v>
      </c>
      <c r="D7" s="10">
        <v>7.0</v>
      </c>
      <c r="E7" s="10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3"/>
        <v>0</v>
      </c>
      <c r="N7" s="13">
        <f t="shared" si="14"/>
        <v>0</v>
      </c>
      <c r="O7" s="13">
        <f t="shared" si="15"/>
        <v>48</v>
      </c>
      <c r="P7" s="14">
        <f t="shared" si="16"/>
        <v>0</v>
      </c>
      <c r="Q7" s="15">
        <f t="shared" si="17"/>
        <v>0</v>
      </c>
      <c r="R7" s="14">
        <f t="shared" si="18"/>
        <v>0</v>
      </c>
      <c r="S7" s="14">
        <f t="shared" si="19"/>
        <v>0</v>
      </c>
      <c r="T7" s="14">
        <f t="shared" si="20"/>
        <v>0</v>
      </c>
      <c r="U7" s="14">
        <f t="shared" si="21"/>
        <v>0</v>
      </c>
      <c r="V7" s="14">
        <f t="shared" si="22"/>
        <v>0</v>
      </c>
      <c r="W7" s="14">
        <f t="shared" si="23"/>
        <v>0</v>
      </c>
      <c r="X7" s="19">
        <f t="shared" si="24"/>
        <v>0</v>
      </c>
      <c r="AA7" s="8" t="s">
        <v>34</v>
      </c>
      <c r="AB7" s="3" t="s">
        <v>31</v>
      </c>
      <c r="AC7" s="20" t="s">
        <v>26</v>
      </c>
    </row>
    <row r="8" ht="15.75" customHeight="1">
      <c r="A8" s="21">
        <v>6.0</v>
      </c>
      <c r="B8" s="23" t="s">
        <v>108</v>
      </c>
      <c r="C8" s="11">
        <v>10.0</v>
      </c>
      <c r="D8" s="11">
        <v>22.0</v>
      </c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3"/>
        <v>0</v>
      </c>
      <c r="N8" s="13">
        <f t="shared" si="14"/>
        <v>0</v>
      </c>
      <c r="O8" s="13">
        <f t="shared" si="15"/>
        <v>64</v>
      </c>
      <c r="P8" s="14">
        <f t="shared" si="16"/>
        <v>0</v>
      </c>
      <c r="Q8" s="15">
        <f t="shared" si="17"/>
        <v>0</v>
      </c>
      <c r="R8" s="14">
        <f t="shared" si="18"/>
        <v>0</v>
      </c>
      <c r="S8" s="14">
        <f t="shared" si="19"/>
        <v>0</v>
      </c>
      <c r="T8" s="14">
        <f t="shared" si="20"/>
        <v>0</v>
      </c>
      <c r="U8" s="14">
        <f t="shared" si="21"/>
        <v>0</v>
      </c>
      <c r="V8" s="14">
        <f t="shared" si="22"/>
        <v>0</v>
      </c>
      <c r="W8" s="14">
        <f t="shared" si="23"/>
        <v>0</v>
      </c>
      <c r="X8" s="19">
        <f t="shared" si="24"/>
        <v>0</v>
      </c>
      <c r="AA8" s="8" t="s">
        <v>36</v>
      </c>
      <c r="AB8" s="22">
        <f>IFERROR(VLOOKUP(AB7,AA2:AB4,2,FALSE),0)</f>
        <v>1.2</v>
      </c>
      <c r="AC8" s="20" t="s">
        <v>26</v>
      </c>
    </row>
    <row r="9" ht="15.75" customHeight="1">
      <c r="A9" s="21">
        <v>7.0</v>
      </c>
      <c r="B9" s="23" t="s">
        <v>102</v>
      </c>
      <c r="C9" s="11">
        <v>12.0</v>
      </c>
      <c r="D9" s="11">
        <v>15.0</v>
      </c>
      <c r="E9" s="11">
        <v>8.0</v>
      </c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3"/>
        <v>0</v>
      </c>
      <c r="N9" s="13">
        <f t="shared" si="14"/>
        <v>0</v>
      </c>
      <c r="O9" s="13">
        <f t="shared" si="15"/>
        <v>54</v>
      </c>
      <c r="P9" s="14">
        <f t="shared" si="16"/>
        <v>0</v>
      </c>
      <c r="Q9" s="15">
        <f t="shared" si="17"/>
        <v>0</v>
      </c>
      <c r="R9" s="14">
        <f t="shared" si="18"/>
        <v>0</v>
      </c>
      <c r="S9" s="14">
        <f t="shared" si="19"/>
        <v>0</v>
      </c>
      <c r="T9" s="14">
        <f t="shared" si="20"/>
        <v>0</v>
      </c>
      <c r="U9" s="14">
        <f t="shared" si="21"/>
        <v>0</v>
      </c>
      <c r="V9" s="14">
        <f t="shared" si="22"/>
        <v>0</v>
      </c>
      <c r="W9" s="14">
        <f t="shared" si="23"/>
        <v>0</v>
      </c>
      <c r="X9" s="19">
        <f t="shared" si="24"/>
        <v>0</v>
      </c>
      <c r="AA9" s="8" t="s">
        <v>38</v>
      </c>
      <c r="AB9" s="3">
        <v>1.2</v>
      </c>
      <c r="AC9" s="20" t="s">
        <v>26</v>
      </c>
    </row>
    <row r="10" ht="15.75" customHeight="1">
      <c r="A10" s="21">
        <v>8.0</v>
      </c>
      <c r="B10" s="59" t="s">
        <v>192</v>
      </c>
      <c r="C10" s="11">
        <v>5.0</v>
      </c>
      <c r="D10" s="11">
        <v>6.0</v>
      </c>
      <c r="E10" s="11">
        <v>8.0</v>
      </c>
      <c r="F10" s="21"/>
      <c r="G10" s="11" t="b">
        <v>1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3"/>
        <v>176</v>
      </c>
      <c r="N10" s="13">
        <f t="shared" si="14"/>
        <v>0</v>
      </c>
      <c r="O10" s="13">
        <f t="shared" si="15"/>
        <v>22</v>
      </c>
      <c r="P10" s="14">
        <f t="shared" si="16"/>
        <v>211.2</v>
      </c>
      <c r="Q10" s="15">
        <f t="shared" si="17"/>
        <v>73.92</v>
      </c>
      <c r="R10" s="14">
        <f t="shared" si="18"/>
        <v>0</v>
      </c>
      <c r="S10" s="14">
        <f t="shared" si="19"/>
        <v>0</v>
      </c>
      <c r="T10" s="14">
        <f t="shared" si="20"/>
        <v>0</v>
      </c>
      <c r="U10" s="14">
        <f t="shared" si="21"/>
        <v>0</v>
      </c>
      <c r="V10" s="14">
        <f t="shared" si="22"/>
        <v>0</v>
      </c>
      <c r="W10" s="14">
        <f t="shared" si="23"/>
        <v>211.2</v>
      </c>
      <c r="X10" s="19">
        <f t="shared" si="24"/>
        <v>2.2528</v>
      </c>
      <c r="AA10" s="8" t="s">
        <v>40</v>
      </c>
      <c r="AB10" s="3">
        <v>90.0</v>
      </c>
      <c r="AC10" s="24" t="s">
        <v>26</v>
      </c>
    </row>
    <row r="11" ht="15.75" customHeight="1">
      <c r="A11" s="21">
        <v>9.0</v>
      </c>
      <c r="B11" s="59" t="s">
        <v>193</v>
      </c>
      <c r="C11" s="11">
        <v>4.0</v>
      </c>
      <c r="D11" s="11">
        <v>7.0</v>
      </c>
      <c r="E11" s="11">
        <v>8.0</v>
      </c>
      <c r="F11" s="21"/>
      <c r="G11" s="11" t="b">
        <v>1</v>
      </c>
      <c r="H11" s="12" t="b">
        <v>0</v>
      </c>
      <c r="I11" s="3" t="b">
        <v>0</v>
      </c>
      <c r="J11" s="3" t="b">
        <v>0</v>
      </c>
      <c r="K11" s="3" t="b">
        <v>0</v>
      </c>
      <c r="L11" s="8">
        <v>1.0</v>
      </c>
      <c r="M11" s="13">
        <f t="shared" si="13"/>
        <v>176</v>
      </c>
      <c r="N11" s="13">
        <f t="shared" si="14"/>
        <v>0</v>
      </c>
      <c r="O11" s="13">
        <f t="shared" si="15"/>
        <v>22</v>
      </c>
      <c r="P11" s="14">
        <f t="shared" si="16"/>
        <v>211.2</v>
      </c>
      <c r="Q11" s="15">
        <f t="shared" si="17"/>
        <v>73.92</v>
      </c>
      <c r="R11" s="14">
        <f t="shared" si="18"/>
        <v>0</v>
      </c>
      <c r="S11" s="14">
        <f t="shared" si="19"/>
        <v>0</v>
      </c>
      <c r="T11" s="14">
        <f t="shared" si="20"/>
        <v>0</v>
      </c>
      <c r="U11" s="14">
        <f t="shared" si="21"/>
        <v>0</v>
      </c>
      <c r="V11" s="14">
        <f t="shared" si="22"/>
        <v>0</v>
      </c>
      <c r="W11" s="14">
        <f t="shared" si="23"/>
        <v>211.2</v>
      </c>
      <c r="X11" s="19">
        <f t="shared" si="24"/>
        <v>2.2528</v>
      </c>
      <c r="AA11" s="8" t="s">
        <v>42</v>
      </c>
      <c r="AB11" s="8">
        <v>2.0</v>
      </c>
    </row>
    <row r="12" ht="15.75" customHeight="1">
      <c r="A12" s="21">
        <v>10.0</v>
      </c>
      <c r="B12" s="9" t="s">
        <v>194</v>
      </c>
      <c r="C12" s="11">
        <v>7.0</v>
      </c>
      <c r="D12" s="11">
        <v>4.0</v>
      </c>
      <c r="E12" s="11">
        <v>8.0</v>
      </c>
      <c r="F12" s="21"/>
      <c r="G12" s="11" t="b">
        <v>1</v>
      </c>
      <c r="H12" s="12" t="b">
        <v>0</v>
      </c>
      <c r="I12" s="8" t="b">
        <v>0</v>
      </c>
      <c r="J12" s="3" t="b">
        <v>0</v>
      </c>
      <c r="K12" s="3" t="b">
        <v>0</v>
      </c>
      <c r="L12" s="8">
        <v>1.0</v>
      </c>
      <c r="M12" s="13">
        <f t="shared" si="13"/>
        <v>176</v>
      </c>
      <c r="N12" s="13">
        <f t="shared" si="14"/>
        <v>0</v>
      </c>
      <c r="O12" s="13">
        <f t="shared" si="15"/>
        <v>22</v>
      </c>
      <c r="P12" s="14">
        <f t="shared" si="16"/>
        <v>211.2</v>
      </c>
      <c r="Q12" s="15">
        <f t="shared" si="17"/>
        <v>73.92</v>
      </c>
      <c r="R12" s="14">
        <f t="shared" si="18"/>
        <v>0</v>
      </c>
      <c r="S12" s="14">
        <f t="shared" si="19"/>
        <v>0</v>
      </c>
      <c r="T12" s="14">
        <f t="shared" si="20"/>
        <v>0</v>
      </c>
      <c r="U12" s="14">
        <f t="shared" si="21"/>
        <v>0</v>
      </c>
      <c r="V12" s="14">
        <f t="shared" si="22"/>
        <v>0</v>
      </c>
      <c r="W12" s="14">
        <f t="shared" si="23"/>
        <v>211.2</v>
      </c>
      <c r="X12" s="19">
        <f t="shared" si="24"/>
        <v>2.2528</v>
      </c>
      <c r="AA12" s="8" t="s">
        <v>44</v>
      </c>
      <c r="AB12" s="3">
        <v>1.1</v>
      </c>
    </row>
    <row r="13" ht="15.75" customHeight="1">
      <c r="A13" s="21">
        <v>11.0</v>
      </c>
      <c r="B13" s="9" t="s">
        <v>195</v>
      </c>
      <c r="C13" s="11">
        <v>13.0</v>
      </c>
      <c r="D13" s="11">
        <v>10.0</v>
      </c>
      <c r="E13" s="11">
        <v>8.0</v>
      </c>
      <c r="F13" s="21"/>
      <c r="G13" s="11" t="b">
        <v>1</v>
      </c>
      <c r="H13" s="12" t="b">
        <v>0</v>
      </c>
      <c r="I13" s="3" t="b">
        <v>0</v>
      </c>
      <c r="J13" s="3" t="b">
        <v>0</v>
      </c>
      <c r="K13" s="3" t="b">
        <v>0</v>
      </c>
      <c r="L13" s="8">
        <v>1.0</v>
      </c>
      <c r="M13" s="13">
        <f t="shared" si="13"/>
        <v>368</v>
      </c>
      <c r="N13" s="13">
        <f t="shared" si="14"/>
        <v>0</v>
      </c>
      <c r="O13" s="13">
        <f t="shared" si="15"/>
        <v>46</v>
      </c>
      <c r="P13" s="14">
        <f t="shared" si="16"/>
        <v>441.6</v>
      </c>
      <c r="Q13" s="15">
        <f t="shared" si="17"/>
        <v>154.56</v>
      </c>
      <c r="R13" s="14">
        <f t="shared" si="18"/>
        <v>0</v>
      </c>
      <c r="S13" s="14">
        <f t="shared" si="19"/>
        <v>0</v>
      </c>
      <c r="T13" s="14">
        <f t="shared" si="20"/>
        <v>0</v>
      </c>
      <c r="U13" s="14">
        <f t="shared" si="21"/>
        <v>0</v>
      </c>
      <c r="V13" s="14">
        <f t="shared" si="22"/>
        <v>0</v>
      </c>
      <c r="W13" s="14">
        <f t="shared" si="23"/>
        <v>441.6</v>
      </c>
      <c r="X13" s="19">
        <f t="shared" si="24"/>
        <v>4.7104</v>
      </c>
      <c r="AA13" s="8" t="s">
        <v>46</v>
      </c>
      <c r="AB13" s="3">
        <v>8.0</v>
      </c>
    </row>
    <row r="14" ht="21.0" customHeight="1">
      <c r="A14" s="21">
        <v>12.0</v>
      </c>
      <c r="B14" s="9" t="s">
        <v>37</v>
      </c>
      <c r="C14" s="11">
        <v>9.0</v>
      </c>
      <c r="D14" s="11">
        <v>5.0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3"/>
        <v>224</v>
      </c>
      <c r="N14" s="13">
        <f t="shared" si="14"/>
        <v>0</v>
      </c>
      <c r="O14" s="13">
        <f t="shared" si="15"/>
        <v>28</v>
      </c>
      <c r="P14" s="14">
        <f t="shared" si="16"/>
        <v>268.8</v>
      </c>
      <c r="Q14" s="15">
        <f t="shared" si="17"/>
        <v>94.08</v>
      </c>
      <c r="R14" s="14">
        <f t="shared" si="18"/>
        <v>0</v>
      </c>
      <c r="S14" s="14">
        <f t="shared" si="19"/>
        <v>0</v>
      </c>
      <c r="T14" s="14">
        <f t="shared" si="20"/>
        <v>0</v>
      </c>
      <c r="U14" s="14">
        <f t="shared" si="21"/>
        <v>0</v>
      </c>
      <c r="V14" s="14">
        <f t="shared" si="22"/>
        <v>0</v>
      </c>
      <c r="W14" s="14">
        <f t="shared" si="23"/>
        <v>268.8</v>
      </c>
      <c r="X14" s="19">
        <f t="shared" si="24"/>
        <v>2.8672</v>
      </c>
      <c r="AA14" s="3" t="s">
        <v>48</v>
      </c>
      <c r="AB14" s="3">
        <v>185.0</v>
      </c>
    </row>
    <row r="15" ht="15.75" customHeight="1">
      <c r="A15" s="21">
        <v>13.0</v>
      </c>
      <c r="B15" s="6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3"/>
        <v>0</v>
      </c>
      <c r="N15" s="13">
        <f t="shared" si="14"/>
        <v>0</v>
      </c>
      <c r="O15" s="13">
        <f t="shared" si="15"/>
        <v>0</v>
      </c>
      <c r="P15" s="14">
        <f t="shared" si="16"/>
        <v>0</v>
      </c>
      <c r="Q15" s="15">
        <f t="shared" si="17"/>
        <v>0</v>
      </c>
      <c r="R15" s="14">
        <f t="shared" si="18"/>
        <v>0</v>
      </c>
      <c r="S15" s="14">
        <f t="shared" si="19"/>
        <v>0</v>
      </c>
      <c r="T15" s="14">
        <f t="shared" si="20"/>
        <v>0</v>
      </c>
      <c r="U15" s="14">
        <f t="shared" si="21"/>
        <v>0</v>
      </c>
      <c r="V15" s="14">
        <f t="shared" si="22"/>
        <v>0</v>
      </c>
      <c r="W15" s="14">
        <f t="shared" si="23"/>
        <v>0</v>
      </c>
      <c r="X15" s="19">
        <f t="shared" si="24"/>
        <v>0</v>
      </c>
    </row>
    <row r="16" ht="15.75" customHeight="1">
      <c r="A16" s="21">
        <v>14.0</v>
      </c>
      <c r="B16" s="60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3"/>
        <v>0</v>
      </c>
      <c r="N16" s="13">
        <f t="shared" si="14"/>
        <v>0</v>
      </c>
      <c r="O16" s="13">
        <f t="shared" si="15"/>
        <v>0</v>
      </c>
      <c r="P16" s="14">
        <f t="shared" si="16"/>
        <v>0</v>
      </c>
      <c r="Q16" s="15">
        <f t="shared" si="17"/>
        <v>0</v>
      </c>
      <c r="R16" s="14">
        <f t="shared" si="18"/>
        <v>0</v>
      </c>
      <c r="S16" s="14">
        <f t="shared" si="19"/>
        <v>0</v>
      </c>
      <c r="T16" s="14">
        <f t="shared" si="20"/>
        <v>0</v>
      </c>
      <c r="U16" s="14">
        <f t="shared" si="21"/>
        <v>0</v>
      </c>
      <c r="V16" s="14">
        <f t="shared" si="22"/>
        <v>0</v>
      </c>
      <c r="W16" s="14">
        <f t="shared" si="23"/>
        <v>0</v>
      </c>
      <c r="X16" s="19">
        <f t="shared" si="24"/>
        <v>0</v>
      </c>
      <c r="AA16" s="25" t="s">
        <v>51</v>
      </c>
      <c r="AB16" s="26"/>
    </row>
    <row r="17" ht="15.75" customHeight="1">
      <c r="A17" s="21">
        <v>15.0</v>
      </c>
      <c r="B17" s="61"/>
      <c r="C17" s="11"/>
      <c r="D17" s="11"/>
      <c r="E17" s="11"/>
      <c r="F17" s="21"/>
      <c r="G17" s="11" t="b">
        <v>0</v>
      </c>
      <c r="H17" s="12" t="b">
        <v>0</v>
      </c>
      <c r="I17" s="8" t="b">
        <v>0</v>
      </c>
      <c r="J17" s="3" t="b">
        <v>0</v>
      </c>
      <c r="K17" s="3" t="b">
        <v>0</v>
      </c>
      <c r="L17" s="8">
        <v>1.0</v>
      </c>
      <c r="M17" s="13">
        <f t="shared" si="13"/>
        <v>0</v>
      </c>
      <c r="N17" s="13">
        <f t="shared" si="14"/>
        <v>0</v>
      </c>
      <c r="O17" s="13">
        <f t="shared" si="15"/>
        <v>0</v>
      </c>
      <c r="P17" s="14">
        <f t="shared" si="16"/>
        <v>0</v>
      </c>
      <c r="Q17" s="15">
        <f t="shared" si="17"/>
        <v>0</v>
      </c>
      <c r="R17" s="14">
        <f t="shared" si="18"/>
        <v>0</v>
      </c>
      <c r="S17" s="14">
        <f t="shared" si="19"/>
        <v>0</v>
      </c>
      <c r="T17" s="14">
        <f t="shared" si="20"/>
        <v>0</v>
      </c>
      <c r="U17" s="14">
        <f t="shared" si="21"/>
        <v>0</v>
      </c>
      <c r="V17" s="14">
        <f t="shared" si="22"/>
        <v>0</v>
      </c>
      <c r="W17" s="14">
        <f t="shared" si="23"/>
        <v>0</v>
      </c>
      <c r="X17" s="19">
        <f t="shared" si="24"/>
        <v>0</v>
      </c>
      <c r="AA17" s="28" t="s">
        <v>52</v>
      </c>
      <c r="AB17" s="29">
        <f>SUM(M2:M1001)</f>
        <v>1120</v>
      </c>
    </row>
    <row r="18" ht="15.75" customHeight="1">
      <c r="A18" s="21">
        <v>16.0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3"/>
        <v>0</v>
      </c>
      <c r="N18" s="13">
        <f t="shared" si="14"/>
        <v>0</v>
      </c>
      <c r="O18" s="13">
        <f t="shared" si="15"/>
        <v>0</v>
      </c>
      <c r="P18" s="14">
        <f t="shared" si="16"/>
        <v>0</v>
      </c>
      <c r="Q18" s="15">
        <f t="shared" si="17"/>
        <v>0</v>
      </c>
      <c r="R18" s="14">
        <f t="shared" si="18"/>
        <v>0</v>
      </c>
      <c r="S18" s="14">
        <f t="shared" si="19"/>
        <v>0</v>
      </c>
      <c r="T18" s="14">
        <f t="shared" si="20"/>
        <v>0</v>
      </c>
      <c r="U18" s="14">
        <f t="shared" si="21"/>
        <v>0</v>
      </c>
      <c r="V18" s="14">
        <f t="shared" si="22"/>
        <v>0</v>
      </c>
      <c r="W18" s="14">
        <f t="shared" si="23"/>
        <v>0</v>
      </c>
      <c r="X18" s="19">
        <f t="shared" si="24"/>
        <v>0</v>
      </c>
      <c r="AA18" s="28" t="s">
        <v>54</v>
      </c>
      <c r="AB18" s="29">
        <f>SUM(N2:N1001)</f>
        <v>0</v>
      </c>
    </row>
    <row r="19" ht="15.75" customHeight="1">
      <c r="A19" s="21">
        <v>17.0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3"/>
        <v>0</v>
      </c>
      <c r="N19" s="13">
        <f t="shared" si="14"/>
        <v>0</v>
      </c>
      <c r="O19" s="13">
        <f t="shared" si="15"/>
        <v>0</v>
      </c>
      <c r="P19" s="14">
        <f t="shared" si="16"/>
        <v>0</v>
      </c>
      <c r="Q19" s="15">
        <f t="shared" si="17"/>
        <v>0</v>
      </c>
      <c r="R19" s="14">
        <f t="shared" si="18"/>
        <v>0</v>
      </c>
      <c r="S19" s="14">
        <f t="shared" si="19"/>
        <v>0</v>
      </c>
      <c r="T19" s="14">
        <f t="shared" si="20"/>
        <v>0</v>
      </c>
      <c r="U19" s="14">
        <f t="shared" si="21"/>
        <v>0</v>
      </c>
      <c r="V19" s="14">
        <f t="shared" si="22"/>
        <v>0</v>
      </c>
      <c r="W19" s="14">
        <f t="shared" si="23"/>
        <v>0</v>
      </c>
      <c r="X19" s="19">
        <f t="shared" si="24"/>
        <v>0</v>
      </c>
      <c r="AA19" s="28" t="s">
        <v>56</v>
      </c>
      <c r="AB19" s="29">
        <f>SUM(F2:F1001)</f>
        <v>0</v>
      </c>
    </row>
    <row r="20" ht="18.0" customHeight="1">
      <c r="A20" s="21">
        <v>18.0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3"/>
        <v>0</v>
      </c>
      <c r="N20" s="13">
        <f t="shared" si="14"/>
        <v>0</v>
      </c>
      <c r="O20" s="13">
        <f t="shared" si="15"/>
        <v>0</v>
      </c>
      <c r="P20" s="14">
        <f t="shared" si="16"/>
        <v>0</v>
      </c>
      <c r="Q20" s="15">
        <f t="shared" si="17"/>
        <v>0</v>
      </c>
      <c r="R20" s="14">
        <f t="shared" si="18"/>
        <v>0</v>
      </c>
      <c r="S20" s="14">
        <f t="shared" si="19"/>
        <v>0</v>
      </c>
      <c r="T20" s="14">
        <f t="shared" si="20"/>
        <v>0</v>
      </c>
      <c r="U20" s="14">
        <f t="shared" si="21"/>
        <v>0</v>
      </c>
      <c r="V20" s="14">
        <f t="shared" si="22"/>
        <v>0</v>
      </c>
      <c r="W20" s="14">
        <f t="shared" si="23"/>
        <v>0</v>
      </c>
      <c r="X20" s="19">
        <f t="shared" si="24"/>
        <v>0</v>
      </c>
      <c r="AA20" s="28" t="s">
        <v>58</v>
      </c>
      <c r="AB20" s="30">
        <f>SUMPRODUCT((K2:K1001=TRUE)*(L2:L1001&gt;0)*O2:O1001)</f>
        <v>0</v>
      </c>
    </row>
    <row r="21" ht="21.0" customHeight="1">
      <c r="A21" s="31">
        <v>19.0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3"/>
        <v>0</v>
      </c>
      <c r="N21" s="13">
        <f t="shared" si="14"/>
        <v>0</v>
      </c>
      <c r="O21" s="13">
        <f t="shared" si="15"/>
        <v>0</v>
      </c>
      <c r="P21" s="14">
        <f t="shared" si="16"/>
        <v>0</v>
      </c>
      <c r="Q21" s="15">
        <f t="shared" si="17"/>
        <v>0</v>
      </c>
      <c r="R21" s="14">
        <f t="shared" si="18"/>
        <v>0</v>
      </c>
      <c r="S21" s="14">
        <f t="shared" si="19"/>
        <v>0</v>
      </c>
      <c r="T21" s="14">
        <f t="shared" si="20"/>
        <v>0</v>
      </c>
      <c r="U21" s="14">
        <f t="shared" si="21"/>
        <v>0</v>
      </c>
      <c r="V21" s="14">
        <f t="shared" si="22"/>
        <v>0</v>
      </c>
      <c r="W21" s="14">
        <f t="shared" si="23"/>
        <v>0</v>
      </c>
      <c r="X21" s="19">
        <f t="shared" si="24"/>
        <v>0</v>
      </c>
      <c r="AA21" s="32" t="s">
        <v>60</v>
      </c>
      <c r="AB21" s="33">
        <f>SUMPRODUCT((J2:J1001=TRUE)*O2:O1001)</f>
        <v>0</v>
      </c>
    </row>
    <row r="22" ht="15.75" customHeight="1">
      <c r="A22" s="31">
        <v>20.0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3"/>
        <v>0</v>
      </c>
      <c r="N22" s="13">
        <f t="shared" si="14"/>
        <v>0</v>
      </c>
      <c r="O22" s="13">
        <f t="shared" si="15"/>
        <v>0</v>
      </c>
      <c r="P22" s="14">
        <f t="shared" si="16"/>
        <v>0</v>
      </c>
      <c r="Q22" s="15">
        <f t="shared" si="17"/>
        <v>0</v>
      </c>
      <c r="R22" s="14">
        <f t="shared" si="18"/>
        <v>0</v>
      </c>
      <c r="S22" s="14">
        <f t="shared" si="19"/>
        <v>0</v>
      </c>
      <c r="T22" s="14">
        <f t="shared" si="20"/>
        <v>0</v>
      </c>
      <c r="U22" s="14">
        <f t="shared" si="21"/>
        <v>0</v>
      </c>
      <c r="V22" s="14">
        <f t="shared" si="22"/>
        <v>0</v>
      </c>
      <c r="W22" s="14">
        <f t="shared" si="23"/>
        <v>0</v>
      </c>
      <c r="X22" s="19">
        <f t="shared" si="24"/>
        <v>0</v>
      </c>
      <c r="AA22" s="34" t="s">
        <v>26</v>
      </c>
      <c r="AB22" s="34" t="s">
        <v>26</v>
      </c>
    </row>
    <row r="23" ht="15.75" customHeight="1">
      <c r="A23" s="31">
        <v>21.0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3"/>
        <v>0</v>
      </c>
      <c r="N23" s="13">
        <f t="shared" si="14"/>
        <v>0</v>
      </c>
      <c r="O23" s="13">
        <f t="shared" si="15"/>
        <v>0</v>
      </c>
      <c r="P23" s="14">
        <f t="shared" si="16"/>
        <v>0</v>
      </c>
      <c r="Q23" s="15">
        <f t="shared" si="17"/>
        <v>0</v>
      </c>
      <c r="R23" s="14">
        <f t="shared" si="18"/>
        <v>0</v>
      </c>
      <c r="S23" s="14">
        <f t="shared" si="19"/>
        <v>0</v>
      </c>
      <c r="T23" s="14">
        <f t="shared" si="20"/>
        <v>0</v>
      </c>
      <c r="U23" s="14">
        <f t="shared" si="21"/>
        <v>0</v>
      </c>
      <c r="V23" s="14">
        <f t="shared" si="22"/>
        <v>0</v>
      </c>
      <c r="W23" s="14">
        <f t="shared" si="23"/>
        <v>0</v>
      </c>
      <c r="X23" s="19">
        <f t="shared" si="24"/>
        <v>0</v>
      </c>
      <c r="AA23" s="25" t="s">
        <v>61</v>
      </c>
      <c r="AB23" s="26"/>
    </row>
    <row r="24" ht="15.75" customHeight="1">
      <c r="A24" s="31">
        <v>22.0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3"/>
        <v>0</v>
      </c>
      <c r="N24" s="13">
        <f t="shared" si="14"/>
        <v>0</v>
      </c>
      <c r="O24" s="13">
        <f t="shared" si="15"/>
        <v>0</v>
      </c>
      <c r="P24" s="14">
        <f t="shared" si="16"/>
        <v>0</v>
      </c>
      <c r="Q24" s="15">
        <f t="shared" si="17"/>
        <v>0</v>
      </c>
      <c r="R24" s="14">
        <f t="shared" si="18"/>
        <v>0</v>
      </c>
      <c r="S24" s="14">
        <f t="shared" si="19"/>
        <v>0</v>
      </c>
      <c r="T24" s="14">
        <f t="shared" si="20"/>
        <v>0</v>
      </c>
      <c r="U24" s="14">
        <f t="shared" si="21"/>
        <v>0</v>
      </c>
      <c r="V24" s="14">
        <f t="shared" si="22"/>
        <v>0</v>
      </c>
      <c r="W24" s="14">
        <f t="shared" si="23"/>
        <v>0</v>
      </c>
      <c r="X24" s="19">
        <f t="shared" si="24"/>
        <v>0</v>
      </c>
      <c r="AA24" s="28" t="s">
        <v>62</v>
      </c>
      <c r="AB24" s="35">
        <v>350.0</v>
      </c>
    </row>
    <row r="25" ht="15.75" customHeight="1">
      <c r="A25" s="11">
        <v>23.0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3"/>
        <v>0</v>
      </c>
      <c r="N25" s="13">
        <f t="shared" si="14"/>
        <v>0</v>
      </c>
      <c r="O25" s="13">
        <f t="shared" si="15"/>
        <v>0</v>
      </c>
      <c r="P25" s="14">
        <f t="shared" si="16"/>
        <v>0</v>
      </c>
      <c r="Q25" s="15">
        <f t="shared" si="17"/>
        <v>0</v>
      </c>
      <c r="R25" s="14">
        <f t="shared" si="18"/>
        <v>0</v>
      </c>
      <c r="S25" s="14">
        <f t="shared" si="19"/>
        <v>0</v>
      </c>
      <c r="T25" s="14">
        <f t="shared" si="20"/>
        <v>0</v>
      </c>
      <c r="U25" s="14">
        <f t="shared" si="21"/>
        <v>0</v>
      </c>
      <c r="V25" s="14">
        <f t="shared" si="22"/>
        <v>0</v>
      </c>
      <c r="W25" s="14">
        <f t="shared" si="23"/>
        <v>0</v>
      </c>
      <c r="X25" s="19">
        <f t="shared" si="24"/>
        <v>0</v>
      </c>
      <c r="AA25" s="28" t="s">
        <v>63</v>
      </c>
      <c r="AB25" s="35">
        <v>40.0</v>
      </c>
    </row>
    <row r="26" ht="12.75" customHeight="1">
      <c r="A26" s="11">
        <v>24.0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3"/>
        <v>0</v>
      </c>
      <c r="N26" s="13">
        <f t="shared" si="14"/>
        <v>0</v>
      </c>
      <c r="O26" s="13">
        <f t="shared" si="15"/>
        <v>0</v>
      </c>
      <c r="P26" s="14">
        <f t="shared" si="16"/>
        <v>0</v>
      </c>
      <c r="Q26" s="15">
        <f t="shared" si="17"/>
        <v>0</v>
      </c>
      <c r="R26" s="14">
        <f t="shared" si="18"/>
        <v>0</v>
      </c>
      <c r="S26" s="14">
        <f t="shared" si="19"/>
        <v>0</v>
      </c>
      <c r="T26" s="14">
        <f t="shared" si="20"/>
        <v>0</v>
      </c>
      <c r="U26" s="14">
        <f t="shared" si="21"/>
        <v>0</v>
      </c>
      <c r="V26" s="14">
        <f t="shared" si="22"/>
        <v>0</v>
      </c>
      <c r="W26" s="14">
        <f t="shared" si="23"/>
        <v>0</v>
      </c>
      <c r="X26" s="19">
        <f t="shared" si="24"/>
        <v>0</v>
      </c>
      <c r="AA26" s="28" t="s">
        <v>64</v>
      </c>
      <c r="AB26" s="35">
        <v>5.0</v>
      </c>
    </row>
    <row r="27" ht="21.0" customHeight="1">
      <c r="A27" s="31">
        <v>25.0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3"/>
        <v>0</v>
      </c>
      <c r="N27" s="13">
        <f t="shared" si="14"/>
        <v>0</v>
      </c>
      <c r="O27" s="13">
        <f t="shared" si="15"/>
        <v>0</v>
      </c>
      <c r="P27" s="14">
        <f t="shared" si="16"/>
        <v>0</v>
      </c>
      <c r="Q27" s="15">
        <f t="shared" si="17"/>
        <v>0</v>
      </c>
      <c r="R27" s="14">
        <f t="shared" si="18"/>
        <v>0</v>
      </c>
      <c r="S27" s="14">
        <f t="shared" si="19"/>
        <v>0</v>
      </c>
      <c r="T27" s="14">
        <f t="shared" si="20"/>
        <v>0</v>
      </c>
      <c r="U27" s="14">
        <f t="shared" si="21"/>
        <v>0</v>
      </c>
      <c r="V27" s="14">
        <f t="shared" si="22"/>
        <v>0</v>
      </c>
      <c r="W27" s="14">
        <f t="shared" si="23"/>
        <v>0</v>
      </c>
      <c r="X27" s="19">
        <f t="shared" si="24"/>
        <v>0</v>
      </c>
      <c r="AA27" s="32" t="s">
        <v>65</v>
      </c>
      <c r="AB27" s="36">
        <v>4.0</v>
      </c>
    </row>
    <row r="28" ht="15.75" customHeight="1">
      <c r="A28" s="31">
        <v>26.0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3"/>
        <v>0</v>
      </c>
      <c r="N28" s="13">
        <f t="shared" si="14"/>
        <v>0</v>
      </c>
      <c r="O28" s="13">
        <f t="shared" si="15"/>
        <v>0</v>
      </c>
      <c r="P28" s="14">
        <f t="shared" si="16"/>
        <v>0</v>
      </c>
      <c r="Q28" s="15">
        <f t="shared" si="17"/>
        <v>0</v>
      </c>
      <c r="R28" s="14">
        <f t="shared" si="18"/>
        <v>0</v>
      </c>
      <c r="S28" s="14">
        <f t="shared" si="19"/>
        <v>0</v>
      </c>
      <c r="T28" s="14">
        <f t="shared" si="20"/>
        <v>0</v>
      </c>
      <c r="U28" s="14">
        <f t="shared" si="21"/>
        <v>0</v>
      </c>
      <c r="V28" s="14">
        <f t="shared" si="22"/>
        <v>0</v>
      </c>
      <c r="W28" s="14">
        <f t="shared" si="23"/>
        <v>0</v>
      </c>
      <c r="X28" s="19">
        <f t="shared" si="24"/>
        <v>0</v>
      </c>
      <c r="AA28" s="34" t="s">
        <v>26</v>
      </c>
      <c r="AB28" s="34" t="s">
        <v>26</v>
      </c>
    </row>
    <row r="29" ht="15.75" customHeight="1">
      <c r="A29" s="31">
        <v>27.0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3"/>
        <v>0</v>
      </c>
      <c r="N29" s="13">
        <f t="shared" si="14"/>
        <v>0</v>
      </c>
      <c r="O29" s="13">
        <f t="shared" si="15"/>
        <v>0</v>
      </c>
      <c r="P29" s="14">
        <f t="shared" si="16"/>
        <v>0</v>
      </c>
      <c r="Q29" s="15">
        <f t="shared" si="17"/>
        <v>0</v>
      </c>
      <c r="R29" s="14">
        <f t="shared" si="18"/>
        <v>0</v>
      </c>
      <c r="S29" s="14">
        <f t="shared" si="19"/>
        <v>0</v>
      </c>
      <c r="T29" s="14">
        <f t="shared" si="20"/>
        <v>0</v>
      </c>
      <c r="U29" s="14">
        <f t="shared" si="21"/>
        <v>0</v>
      </c>
      <c r="V29" s="14">
        <f t="shared" si="22"/>
        <v>0</v>
      </c>
      <c r="W29" s="14">
        <f t="shared" si="23"/>
        <v>0</v>
      </c>
      <c r="X29" s="19">
        <f t="shared" si="24"/>
        <v>0</v>
      </c>
      <c r="AA29" s="25" t="s">
        <v>66</v>
      </c>
      <c r="AB29" s="26"/>
    </row>
    <row r="30" ht="15.75" customHeight="1">
      <c r="A30" s="31">
        <v>28.0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3"/>
        <v>0</v>
      </c>
      <c r="N30" s="13">
        <f t="shared" si="14"/>
        <v>0</v>
      </c>
      <c r="O30" s="13">
        <f t="shared" si="15"/>
        <v>0</v>
      </c>
      <c r="P30" s="14">
        <f t="shared" si="16"/>
        <v>0</v>
      </c>
      <c r="Q30" s="15">
        <f t="shared" si="17"/>
        <v>0</v>
      </c>
      <c r="R30" s="14">
        <f t="shared" si="18"/>
        <v>0</v>
      </c>
      <c r="S30" s="14">
        <f t="shared" si="19"/>
        <v>0</v>
      </c>
      <c r="T30" s="14">
        <f t="shared" si="20"/>
        <v>0</v>
      </c>
      <c r="U30" s="14">
        <f t="shared" si="21"/>
        <v>0</v>
      </c>
      <c r="V30" s="14">
        <f t="shared" si="22"/>
        <v>0</v>
      </c>
      <c r="W30" s="14">
        <f t="shared" si="23"/>
        <v>0</v>
      </c>
      <c r="X30" s="19">
        <f t="shared" si="24"/>
        <v>0</v>
      </c>
      <c r="AA30" s="37" t="s">
        <v>67</v>
      </c>
      <c r="AB30" s="30">
        <v>2.0</v>
      </c>
    </row>
    <row r="31" ht="15.75" customHeight="1">
      <c r="A31" s="31">
        <v>29.0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3"/>
        <v>0</v>
      </c>
      <c r="N31" s="13">
        <f t="shared" si="14"/>
        <v>0</v>
      </c>
      <c r="O31" s="13">
        <f t="shared" si="15"/>
        <v>0</v>
      </c>
      <c r="P31" s="14">
        <f t="shared" si="16"/>
        <v>0</v>
      </c>
      <c r="Q31" s="15">
        <f t="shared" si="17"/>
        <v>0</v>
      </c>
      <c r="R31" s="14">
        <f t="shared" si="18"/>
        <v>0</v>
      </c>
      <c r="S31" s="14">
        <f t="shared" si="19"/>
        <v>0</v>
      </c>
      <c r="T31" s="14">
        <f t="shared" si="20"/>
        <v>0</v>
      </c>
      <c r="U31" s="14">
        <f t="shared" si="21"/>
        <v>0</v>
      </c>
      <c r="V31" s="14">
        <f t="shared" si="22"/>
        <v>0</v>
      </c>
      <c r="W31" s="14">
        <f t="shared" si="23"/>
        <v>0</v>
      </c>
      <c r="X31" s="19">
        <f t="shared" si="24"/>
        <v>0</v>
      </c>
      <c r="AA31" s="37" t="s">
        <v>68</v>
      </c>
      <c r="AB31" s="30">
        <f>IFERROR(AB18/AB24,0)</f>
        <v>0</v>
      </c>
    </row>
    <row r="32" ht="15.75" customHeight="1">
      <c r="A32" s="31">
        <v>30.0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3"/>
        <v>0</v>
      </c>
      <c r="N32" s="13">
        <f t="shared" si="14"/>
        <v>0</v>
      </c>
      <c r="O32" s="13">
        <f t="shared" si="15"/>
        <v>0</v>
      </c>
      <c r="P32" s="14">
        <f t="shared" si="16"/>
        <v>0</v>
      </c>
      <c r="Q32" s="15">
        <f t="shared" si="17"/>
        <v>0</v>
      </c>
      <c r="R32" s="14">
        <f t="shared" si="18"/>
        <v>0</v>
      </c>
      <c r="S32" s="14">
        <f t="shared" si="19"/>
        <v>0</v>
      </c>
      <c r="T32" s="14">
        <f t="shared" si="20"/>
        <v>0</v>
      </c>
      <c r="U32" s="14">
        <f t="shared" si="21"/>
        <v>0</v>
      </c>
      <c r="V32" s="14">
        <f t="shared" si="22"/>
        <v>0</v>
      </c>
      <c r="W32" s="14">
        <f t="shared" si="23"/>
        <v>0</v>
      </c>
      <c r="X32" s="19">
        <f t="shared" si="24"/>
        <v>0</v>
      </c>
      <c r="AA32" s="37" t="s">
        <v>69</v>
      </c>
      <c r="AB32" s="29">
        <f>IFERROR((AB19*AB25)/AB24,0)</f>
        <v>0</v>
      </c>
    </row>
    <row r="33">
      <c r="A33" s="31">
        <v>31.0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3"/>
        <v>0</v>
      </c>
      <c r="N33" s="13">
        <f t="shared" si="14"/>
        <v>0</v>
      </c>
      <c r="O33" s="13">
        <f t="shared" si="15"/>
        <v>0</v>
      </c>
      <c r="P33" s="14">
        <f t="shared" si="16"/>
        <v>0</v>
      </c>
      <c r="Q33" s="15">
        <f t="shared" si="17"/>
        <v>0</v>
      </c>
      <c r="R33" s="14">
        <f t="shared" si="18"/>
        <v>0</v>
      </c>
      <c r="S33" s="14">
        <f t="shared" si="19"/>
        <v>0</v>
      </c>
      <c r="T33" s="14">
        <f t="shared" si="20"/>
        <v>0</v>
      </c>
      <c r="U33" s="14">
        <f t="shared" si="21"/>
        <v>0</v>
      </c>
      <c r="V33" s="14">
        <f t="shared" si="22"/>
        <v>0</v>
      </c>
      <c r="W33" s="14">
        <f t="shared" si="23"/>
        <v>0</v>
      </c>
      <c r="X33" s="19">
        <f t="shared" si="24"/>
        <v>0</v>
      </c>
      <c r="AA33" s="37" t="s">
        <v>70</v>
      </c>
      <c r="AB33" s="30">
        <v>1.5</v>
      </c>
    </row>
    <row r="34">
      <c r="A34" s="31">
        <v>32.0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3"/>
        <v>0</v>
      </c>
      <c r="N34" s="13">
        <f t="shared" si="14"/>
        <v>0</v>
      </c>
      <c r="O34" s="13">
        <f t="shared" si="15"/>
        <v>0</v>
      </c>
      <c r="P34" s="14">
        <f t="shared" si="16"/>
        <v>0</v>
      </c>
      <c r="Q34" s="15">
        <f t="shared" si="17"/>
        <v>0</v>
      </c>
      <c r="R34" s="14">
        <f t="shared" si="18"/>
        <v>0</v>
      </c>
      <c r="S34" s="14">
        <f t="shared" si="19"/>
        <v>0</v>
      </c>
      <c r="T34" s="14">
        <f t="shared" si="20"/>
        <v>0</v>
      </c>
      <c r="U34" s="14">
        <f t="shared" si="21"/>
        <v>0</v>
      </c>
      <c r="V34" s="14">
        <f t="shared" si="22"/>
        <v>0</v>
      </c>
      <c r="W34" s="14">
        <f t="shared" si="23"/>
        <v>0</v>
      </c>
      <c r="X34" s="19">
        <f t="shared" si="24"/>
        <v>0</v>
      </c>
      <c r="AA34" s="32" t="s">
        <v>71</v>
      </c>
      <c r="AB34" s="33">
        <f>IFERROR((AB21*(AB27/12))/AB24,0)</f>
        <v>0</v>
      </c>
    </row>
    <row r="35" ht="15.75" customHeight="1">
      <c r="A35" s="31">
        <v>33.0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3"/>
        <v>0</v>
      </c>
      <c r="N35" s="13">
        <f t="shared" si="14"/>
        <v>0</v>
      </c>
      <c r="O35" s="13">
        <f t="shared" si="15"/>
        <v>0</v>
      </c>
      <c r="P35" s="14">
        <f t="shared" si="16"/>
        <v>0</v>
      </c>
      <c r="Q35" s="15">
        <f t="shared" si="17"/>
        <v>0</v>
      </c>
      <c r="R35" s="14">
        <f t="shared" si="18"/>
        <v>0</v>
      </c>
      <c r="S35" s="14">
        <f t="shared" si="19"/>
        <v>0</v>
      </c>
      <c r="T35" s="14">
        <f t="shared" si="20"/>
        <v>0</v>
      </c>
      <c r="U35" s="14">
        <f t="shared" si="21"/>
        <v>0</v>
      </c>
      <c r="V35" s="14">
        <f t="shared" si="22"/>
        <v>0</v>
      </c>
      <c r="W35" s="14">
        <f t="shared" si="23"/>
        <v>0</v>
      </c>
      <c r="X35" s="19">
        <f t="shared" si="24"/>
        <v>0</v>
      </c>
      <c r="AA35" s="38" t="s">
        <v>21</v>
      </c>
      <c r="AB35" s="39">
        <f>SUM(AB30:AB34)</f>
        <v>3.5</v>
      </c>
    </row>
    <row r="36" ht="15.75" customHeight="1">
      <c r="A36" s="31">
        <v>34.0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3"/>
        <v>0</v>
      </c>
      <c r="N36" s="13">
        <f t="shared" si="14"/>
        <v>0</v>
      </c>
      <c r="O36" s="13">
        <f t="shared" si="15"/>
        <v>0</v>
      </c>
      <c r="P36" s="14">
        <f t="shared" si="16"/>
        <v>0</v>
      </c>
      <c r="Q36" s="15">
        <f t="shared" si="17"/>
        <v>0</v>
      </c>
      <c r="R36" s="14">
        <f t="shared" si="18"/>
        <v>0</v>
      </c>
      <c r="S36" s="14">
        <f t="shared" si="19"/>
        <v>0</v>
      </c>
      <c r="T36" s="14">
        <f t="shared" si="20"/>
        <v>0</v>
      </c>
      <c r="U36" s="14">
        <f t="shared" si="21"/>
        <v>0</v>
      </c>
      <c r="V36" s="14">
        <f t="shared" si="22"/>
        <v>0</v>
      </c>
      <c r="W36" s="14">
        <f t="shared" si="23"/>
        <v>0</v>
      </c>
      <c r="X36" s="19">
        <f t="shared" si="24"/>
        <v>0</v>
      </c>
    </row>
    <row r="37" ht="15.75" customHeight="1">
      <c r="A37" s="31">
        <v>35.0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3"/>
        <v>0</v>
      </c>
      <c r="N37" s="13">
        <f t="shared" si="14"/>
        <v>0</v>
      </c>
      <c r="O37" s="13">
        <f t="shared" si="15"/>
        <v>0</v>
      </c>
      <c r="P37" s="14">
        <f t="shared" si="16"/>
        <v>0</v>
      </c>
      <c r="Q37" s="15">
        <f t="shared" si="17"/>
        <v>0</v>
      </c>
      <c r="R37" s="14">
        <f t="shared" si="18"/>
        <v>0</v>
      </c>
      <c r="S37" s="14">
        <f t="shared" si="19"/>
        <v>0</v>
      </c>
      <c r="T37" s="14">
        <f t="shared" si="20"/>
        <v>0</v>
      </c>
      <c r="U37" s="14">
        <f t="shared" si="21"/>
        <v>0</v>
      </c>
      <c r="V37" s="14">
        <f t="shared" si="22"/>
        <v>0</v>
      </c>
      <c r="W37" s="14">
        <f t="shared" si="23"/>
        <v>0</v>
      </c>
      <c r="X37" s="19">
        <f t="shared" si="24"/>
        <v>0</v>
      </c>
      <c r="AA37" s="25" t="s">
        <v>72</v>
      </c>
      <c r="AB37" s="26"/>
    </row>
    <row r="38" ht="15.75" customHeight="1">
      <c r="A38" s="31">
        <v>36.0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3"/>
        <v>0</v>
      </c>
      <c r="N38" s="13">
        <f t="shared" si="14"/>
        <v>0</v>
      </c>
      <c r="O38" s="13">
        <f t="shared" si="15"/>
        <v>0</v>
      </c>
      <c r="P38" s="14">
        <f t="shared" si="16"/>
        <v>0</v>
      </c>
      <c r="Q38" s="15">
        <f t="shared" si="17"/>
        <v>0</v>
      </c>
      <c r="R38" s="14">
        <f t="shared" si="18"/>
        <v>0</v>
      </c>
      <c r="S38" s="14">
        <f t="shared" si="19"/>
        <v>0</v>
      </c>
      <c r="T38" s="14">
        <f t="shared" si="20"/>
        <v>0</v>
      </c>
      <c r="U38" s="14">
        <f t="shared" si="21"/>
        <v>0</v>
      </c>
      <c r="V38" s="14">
        <f t="shared" si="22"/>
        <v>0</v>
      </c>
      <c r="W38" s="14">
        <f t="shared" si="23"/>
        <v>0</v>
      </c>
      <c r="X38" s="19">
        <f t="shared" si="24"/>
        <v>0</v>
      </c>
      <c r="AA38" s="37" t="s">
        <v>73</v>
      </c>
      <c r="AB38" s="40">
        <f>COUNTIF(C2:C1001,"&gt;0")</f>
        <v>13</v>
      </c>
    </row>
    <row r="39" ht="15.75" customHeight="1">
      <c r="A39" s="31">
        <v>37.0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3"/>
        <v>0</v>
      </c>
      <c r="N39" s="13">
        <f t="shared" si="14"/>
        <v>0</v>
      </c>
      <c r="O39" s="13">
        <f t="shared" si="15"/>
        <v>0</v>
      </c>
      <c r="P39" s="14">
        <f t="shared" si="16"/>
        <v>0</v>
      </c>
      <c r="Q39" s="15">
        <f t="shared" si="17"/>
        <v>0</v>
      </c>
      <c r="R39" s="14">
        <f t="shared" si="18"/>
        <v>0</v>
      </c>
      <c r="S39" s="14">
        <f t="shared" si="19"/>
        <v>0</v>
      </c>
      <c r="T39" s="14">
        <f t="shared" si="20"/>
        <v>0</v>
      </c>
      <c r="U39" s="14">
        <f t="shared" si="21"/>
        <v>0</v>
      </c>
      <c r="V39" s="14">
        <f t="shared" si="22"/>
        <v>0</v>
      </c>
      <c r="W39" s="14">
        <f t="shared" si="23"/>
        <v>0</v>
      </c>
      <c r="X39" s="19">
        <f t="shared" si="24"/>
        <v>0</v>
      </c>
      <c r="AA39" s="37" t="s">
        <v>74</v>
      </c>
      <c r="AB39" s="41">
        <f>SUM(P2:P1001)</f>
        <v>1344</v>
      </c>
    </row>
    <row r="40" ht="15.75" customHeight="1">
      <c r="A40" s="31">
        <v>38.0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3"/>
        <v>0</v>
      </c>
      <c r="N40" s="13">
        <f t="shared" si="14"/>
        <v>0</v>
      </c>
      <c r="O40" s="13">
        <f t="shared" si="15"/>
        <v>0</v>
      </c>
      <c r="P40" s="14">
        <f t="shared" si="16"/>
        <v>0</v>
      </c>
      <c r="Q40" s="15">
        <f t="shared" si="17"/>
        <v>0</v>
      </c>
      <c r="R40" s="14">
        <f t="shared" si="18"/>
        <v>0</v>
      </c>
      <c r="S40" s="14">
        <f t="shared" si="19"/>
        <v>0</v>
      </c>
      <c r="T40" s="14">
        <f t="shared" si="20"/>
        <v>0</v>
      </c>
      <c r="U40" s="14">
        <f t="shared" si="21"/>
        <v>0</v>
      </c>
      <c r="V40" s="14">
        <f t="shared" si="22"/>
        <v>0</v>
      </c>
      <c r="W40" s="14">
        <f t="shared" si="23"/>
        <v>0</v>
      </c>
      <c r="X40" s="19">
        <f t="shared" si="24"/>
        <v>0</v>
      </c>
      <c r="AA40" s="37" t="s">
        <v>75</v>
      </c>
      <c r="AB40" s="41">
        <f>SUM(R2:R1001)</f>
        <v>0</v>
      </c>
    </row>
    <row r="41" ht="15.75" customHeight="1">
      <c r="A41" s="31">
        <v>39.0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3"/>
        <v>0</v>
      </c>
      <c r="N41" s="13">
        <f t="shared" si="14"/>
        <v>0</v>
      </c>
      <c r="O41" s="13">
        <f t="shared" si="15"/>
        <v>0</v>
      </c>
      <c r="P41" s="14">
        <f t="shared" si="16"/>
        <v>0</v>
      </c>
      <c r="Q41" s="15">
        <f t="shared" si="17"/>
        <v>0</v>
      </c>
      <c r="R41" s="14">
        <f t="shared" si="18"/>
        <v>0</v>
      </c>
      <c r="S41" s="14">
        <f t="shared" si="19"/>
        <v>0</v>
      </c>
      <c r="T41" s="14">
        <f t="shared" si="20"/>
        <v>0</v>
      </c>
      <c r="U41" s="14">
        <f t="shared" si="21"/>
        <v>0</v>
      </c>
      <c r="V41" s="14">
        <f t="shared" si="22"/>
        <v>0</v>
      </c>
      <c r="W41" s="14">
        <f t="shared" si="23"/>
        <v>0</v>
      </c>
      <c r="X41" s="19">
        <f t="shared" si="24"/>
        <v>0</v>
      </c>
      <c r="AA41" s="37" t="s">
        <v>76</v>
      </c>
      <c r="AB41" s="41">
        <f>SUM(S2:S1001)</f>
        <v>0</v>
      </c>
    </row>
    <row r="42" ht="15.75" customHeight="1">
      <c r="A42" s="31">
        <v>40.0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3"/>
        <v>0</v>
      </c>
      <c r="N42" s="13">
        <f t="shared" si="14"/>
        <v>0</v>
      </c>
      <c r="O42" s="13">
        <f t="shared" si="15"/>
        <v>0</v>
      </c>
      <c r="P42" s="14">
        <f t="shared" si="16"/>
        <v>0</v>
      </c>
      <c r="Q42" s="15">
        <f t="shared" si="17"/>
        <v>0</v>
      </c>
      <c r="R42" s="14">
        <f t="shared" si="18"/>
        <v>0</v>
      </c>
      <c r="S42" s="14">
        <f t="shared" si="19"/>
        <v>0</v>
      </c>
      <c r="T42" s="14">
        <f t="shared" si="20"/>
        <v>0</v>
      </c>
      <c r="U42" s="14">
        <f t="shared" si="21"/>
        <v>0</v>
      </c>
      <c r="V42" s="14">
        <f t="shared" si="22"/>
        <v>0</v>
      </c>
      <c r="W42" s="14">
        <f t="shared" si="23"/>
        <v>0</v>
      </c>
      <c r="X42" s="19">
        <f t="shared" si="24"/>
        <v>0</v>
      </c>
      <c r="AA42" s="37" t="s">
        <v>4</v>
      </c>
      <c r="AB42" s="41">
        <f>SUM(T2:T1001)</f>
        <v>0</v>
      </c>
    </row>
    <row r="43" ht="15.75" customHeight="1">
      <c r="A43" s="31">
        <v>41.0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3"/>
        <v>0</v>
      </c>
      <c r="N43" s="13">
        <f t="shared" si="14"/>
        <v>0</v>
      </c>
      <c r="O43" s="13">
        <f t="shared" si="15"/>
        <v>0</v>
      </c>
      <c r="P43" s="14">
        <f t="shared" si="16"/>
        <v>0</v>
      </c>
      <c r="Q43" s="15">
        <f t="shared" si="17"/>
        <v>0</v>
      </c>
      <c r="R43" s="14">
        <f t="shared" si="18"/>
        <v>0</v>
      </c>
      <c r="S43" s="14">
        <f t="shared" si="19"/>
        <v>0</v>
      </c>
      <c r="T43" s="14">
        <f t="shared" si="20"/>
        <v>0</v>
      </c>
      <c r="U43" s="14">
        <f t="shared" si="21"/>
        <v>0</v>
      </c>
      <c r="V43" s="14">
        <f t="shared" si="22"/>
        <v>0</v>
      </c>
      <c r="W43" s="14">
        <f t="shared" si="23"/>
        <v>0</v>
      </c>
      <c r="X43" s="19">
        <f t="shared" si="24"/>
        <v>0</v>
      </c>
      <c r="AA43" s="37" t="s">
        <v>77</v>
      </c>
      <c r="AB43" s="41">
        <f>SUM(U2:U1001)</f>
        <v>0</v>
      </c>
    </row>
    <row r="44" ht="21.0" customHeight="1">
      <c r="A44" s="31">
        <v>42.0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3"/>
        <v>0</v>
      </c>
      <c r="N44" s="13">
        <f t="shared" si="14"/>
        <v>0</v>
      </c>
      <c r="O44" s="13">
        <f t="shared" si="15"/>
        <v>0</v>
      </c>
      <c r="P44" s="14">
        <f t="shared" si="16"/>
        <v>0</v>
      </c>
      <c r="Q44" s="15">
        <f t="shared" si="17"/>
        <v>0</v>
      </c>
      <c r="R44" s="14">
        <f t="shared" si="18"/>
        <v>0</v>
      </c>
      <c r="S44" s="14">
        <f t="shared" si="19"/>
        <v>0</v>
      </c>
      <c r="T44" s="14">
        <f t="shared" si="20"/>
        <v>0</v>
      </c>
      <c r="U44" s="14">
        <f t="shared" si="21"/>
        <v>0</v>
      </c>
      <c r="V44" s="14">
        <f t="shared" si="22"/>
        <v>0</v>
      </c>
      <c r="W44" s="14">
        <f t="shared" si="23"/>
        <v>0</v>
      </c>
      <c r="X44" s="19">
        <f t="shared" si="24"/>
        <v>0</v>
      </c>
      <c r="AA44" s="37" t="s">
        <v>78</v>
      </c>
      <c r="AB44" s="41">
        <f>SUM(V2:V1001)</f>
        <v>0</v>
      </c>
    </row>
    <row r="45" ht="15.75" customHeight="1">
      <c r="A45" s="31">
        <v>43.0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3"/>
        <v>0</v>
      </c>
      <c r="N45" s="13">
        <f t="shared" si="14"/>
        <v>0</v>
      </c>
      <c r="O45" s="13">
        <f t="shared" si="15"/>
        <v>0</v>
      </c>
      <c r="P45" s="14">
        <f t="shared" si="16"/>
        <v>0</v>
      </c>
      <c r="Q45" s="15">
        <f t="shared" si="17"/>
        <v>0</v>
      </c>
      <c r="R45" s="14">
        <f t="shared" si="18"/>
        <v>0</v>
      </c>
      <c r="S45" s="14">
        <f t="shared" si="19"/>
        <v>0</v>
      </c>
      <c r="T45" s="14">
        <f t="shared" si="20"/>
        <v>0</v>
      </c>
      <c r="U45" s="14">
        <f t="shared" si="21"/>
        <v>0</v>
      </c>
      <c r="V45" s="14">
        <f t="shared" si="22"/>
        <v>0</v>
      </c>
      <c r="W45" s="14">
        <f t="shared" si="23"/>
        <v>0</v>
      </c>
      <c r="X45" s="19">
        <f t="shared" si="24"/>
        <v>0</v>
      </c>
      <c r="AA45" s="42" t="s">
        <v>79</v>
      </c>
      <c r="AB45" s="43">
        <f>SUM(W2:W1001)</f>
        <v>1344</v>
      </c>
    </row>
    <row r="46" ht="15.75" customHeight="1">
      <c r="A46" s="31">
        <v>44.0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3"/>
        <v>0</v>
      </c>
      <c r="N46" s="13">
        <f t="shared" si="14"/>
        <v>0</v>
      </c>
      <c r="O46" s="13">
        <f t="shared" si="15"/>
        <v>0</v>
      </c>
      <c r="P46" s="14">
        <f t="shared" si="16"/>
        <v>0</v>
      </c>
      <c r="Q46" s="15">
        <f t="shared" si="17"/>
        <v>0</v>
      </c>
      <c r="R46" s="14">
        <f t="shared" si="18"/>
        <v>0</v>
      </c>
      <c r="S46" s="14">
        <f t="shared" si="19"/>
        <v>0</v>
      </c>
      <c r="T46" s="14">
        <f t="shared" si="20"/>
        <v>0</v>
      </c>
      <c r="U46" s="14">
        <f t="shared" si="21"/>
        <v>0</v>
      </c>
      <c r="V46" s="14">
        <f t="shared" si="22"/>
        <v>0</v>
      </c>
      <c r="W46" s="14">
        <f t="shared" si="23"/>
        <v>0</v>
      </c>
      <c r="X46" s="19">
        <f t="shared" si="24"/>
        <v>0</v>
      </c>
      <c r="AA46" s="44" t="s">
        <v>80</v>
      </c>
      <c r="AB46" s="45">
        <f>SUM(Q2:Q1001)</f>
        <v>470.4</v>
      </c>
    </row>
    <row r="47" ht="15.75" customHeight="1">
      <c r="A47" s="31">
        <v>45.0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3"/>
        <v>0</v>
      </c>
      <c r="N47" s="13">
        <f t="shared" si="14"/>
        <v>0</v>
      </c>
      <c r="O47" s="13">
        <f t="shared" si="15"/>
        <v>0</v>
      </c>
      <c r="P47" s="14">
        <f t="shared" si="16"/>
        <v>0</v>
      </c>
      <c r="Q47" s="15">
        <f t="shared" si="17"/>
        <v>0</v>
      </c>
      <c r="R47" s="14">
        <f t="shared" si="18"/>
        <v>0</v>
      </c>
      <c r="S47" s="14">
        <f t="shared" si="19"/>
        <v>0</v>
      </c>
      <c r="T47" s="14">
        <f t="shared" si="20"/>
        <v>0</v>
      </c>
      <c r="U47" s="14">
        <f t="shared" si="21"/>
        <v>0</v>
      </c>
      <c r="V47" s="14">
        <f t="shared" si="22"/>
        <v>0</v>
      </c>
      <c r="W47" s="14">
        <f t="shared" si="23"/>
        <v>0</v>
      </c>
      <c r="X47" s="19">
        <f t="shared" si="24"/>
        <v>0</v>
      </c>
      <c r="AA47" s="46" t="s">
        <v>81</v>
      </c>
      <c r="AB47" s="26"/>
    </row>
    <row r="48" ht="15.75" customHeight="1">
      <c r="A48" s="31">
        <v>46.0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3"/>
        <v>0</v>
      </c>
      <c r="N48" s="13">
        <f t="shared" si="14"/>
        <v>0</v>
      </c>
      <c r="O48" s="13">
        <f t="shared" si="15"/>
        <v>0</v>
      </c>
      <c r="P48" s="14">
        <f t="shared" si="16"/>
        <v>0</v>
      </c>
      <c r="Q48" s="15">
        <f t="shared" si="17"/>
        <v>0</v>
      </c>
      <c r="R48" s="14">
        <f t="shared" si="18"/>
        <v>0</v>
      </c>
      <c r="S48" s="14">
        <f t="shared" si="19"/>
        <v>0</v>
      </c>
      <c r="T48" s="14">
        <f t="shared" si="20"/>
        <v>0</v>
      </c>
      <c r="U48" s="14">
        <f t="shared" si="21"/>
        <v>0</v>
      </c>
      <c r="V48" s="14">
        <f t="shared" si="22"/>
        <v>0</v>
      </c>
      <c r="W48" s="14">
        <f t="shared" si="23"/>
        <v>0</v>
      </c>
      <c r="X48" s="19">
        <f t="shared" si="24"/>
        <v>0</v>
      </c>
      <c r="AA48" s="47" t="s">
        <v>82</v>
      </c>
      <c r="AB48" s="48">
        <v>0.4</v>
      </c>
    </row>
    <row r="49" ht="15.75" customHeight="1">
      <c r="A49" s="31">
        <v>47.0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3"/>
        <v>0</v>
      </c>
      <c r="N49" s="13">
        <f t="shared" si="14"/>
        <v>0</v>
      </c>
      <c r="O49" s="13">
        <f t="shared" si="15"/>
        <v>0</v>
      </c>
      <c r="P49" s="14">
        <f t="shared" si="16"/>
        <v>0</v>
      </c>
      <c r="Q49" s="15">
        <f t="shared" si="17"/>
        <v>0</v>
      </c>
      <c r="R49" s="14">
        <f t="shared" si="18"/>
        <v>0</v>
      </c>
      <c r="S49" s="14">
        <f t="shared" si="19"/>
        <v>0</v>
      </c>
      <c r="T49" s="14">
        <f t="shared" si="20"/>
        <v>0</v>
      </c>
      <c r="U49" s="14">
        <f t="shared" si="21"/>
        <v>0</v>
      </c>
      <c r="V49" s="14">
        <f t="shared" si="22"/>
        <v>0</v>
      </c>
      <c r="W49" s="14">
        <f t="shared" si="23"/>
        <v>0</v>
      </c>
      <c r="X49" s="19">
        <f t="shared" si="24"/>
        <v>0</v>
      </c>
      <c r="AA49" s="47" t="s">
        <v>83</v>
      </c>
      <c r="AB49" s="49">
        <v>37.5</v>
      </c>
    </row>
    <row r="50" ht="15.75" customHeight="1">
      <c r="A50" s="31">
        <v>48.0</v>
      </c>
      <c r="B50" s="21"/>
      <c r="C50" s="21"/>
      <c r="D50" s="21"/>
      <c r="E50" s="21"/>
      <c r="F50" s="21"/>
      <c r="G50" s="31" t="b">
        <v>1</v>
      </c>
      <c r="H50" s="12" t="b">
        <v>0</v>
      </c>
      <c r="I50" s="3" t="b">
        <v>0</v>
      </c>
      <c r="J50" s="3" t="b">
        <v>0</v>
      </c>
      <c r="K50" s="3" t="b">
        <v>0</v>
      </c>
      <c r="L50" s="8">
        <v>1.0</v>
      </c>
      <c r="M50" s="13">
        <f t="shared" si="13"/>
        <v>0</v>
      </c>
      <c r="N50" s="13">
        <f t="shared" si="14"/>
        <v>0</v>
      </c>
      <c r="O50" s="13">
        <f t="shared" si="15"/>
        <v>0</v>
      </c>
      <c r="P50" s="14">
        <f t="shared" si="16"/>
        <v>0</v>
      </c>
      <c r="Q50" s="15">
        <f t="shared" si="17"/>
        <v>0</v>
      </c>
      <c r="R50" s="14">
        <f t="shared" si="18"/>
        <v>0</v>
      </c>
      <c r="S50" s="14">
        <f t="shared" si="19"/>
        <v>0</v>
      </c>
      <c r="T50" s="14">
        <f t="shared" si="20"/>
        <v>0</v>
      </c>
      <c r="U50" s="14">
        <f t="shared" si="21"/>
        <v>0</v>
      </c>
      <c r="V50" s="14">
        <f t="shared" si="22"/>
        <v>0</v>
      </c>
      <c r="W50" s="14">
        <f t="shared" si="23"/>
        <v>0</v>
      </c>
      <c r="X50" s="19">
        <f t="shared" si="24"/>
        <v>0</v>
      </c>
      <c r="AA50" s="47" t="s">
        <v>74</v>
      </c>
      <c r="AB50" s="50">
        <f t="shared" ref="AB50:AB56" si="25">IFERROR((AB39*$AB$48)/$AB$49,0)</f>
        <v>14.336</v>
      </c>
    </row>
    <row r="51" ht="15.75" customHeight="1">
      <c r="A51" s="31"/>
      <c r="B51" s="21"/>
      <c r="C51" s="21"/>
      <c r="D51" s="21"/>
      <c r="E51" s="21"/>
      <c r="F51" s="21"/>
      <c r="G51" s="31"/>
      <c r="H51" s="12"/>
      <c r="M51" s="13"/>
      <c r="N51" s="13"/>
      <c r="O51" s="13"/>
      <c r="P51" s="14"/>
      <c r="Q51" s="15">
        <f t="shared" si="17"/>
        <v>0</v>
      </c>
      <c r="R51" s="14"/>
      <c r="S51" s="14"/>
      <c r="T51" s="14"/>
      <c r="U51" s="14"/>
      <c r="V51" s="14"/>
      <c r="W51" s="14">
        <f t="shared" si="23"/>
        <v>0</v>
      </c>
      <c r="X51" s="19">
        <f t="shared" si="24"/>
        <v>0</v>
      </c>
      <c r="AA51" s="47" t="s">
        <v>75</v>
      </c>
      <c r="AB51" s="50">
        <f t="shared" si="25"/>
        <v>0</v>
      </c>
    </row>
    <row r="52" ht="15.75" customHeight="1">
      <c r="A52" s="31" t="s">
        <v>26</v>
      </c>
      <c r="B52" s="31" t="s">
        <v>26</v>
      </c>
      <c r="C52" s="31" t="s">
        <v>26</v>
      </c>
      <c r="D52" s="31" t="s">
        <v>26</v>
      </c>
      <c r="E52" s="31" t="s">
        <v>26</v>
      </c>
      <c r="F52" s="31" t="s">
        <v>26</v>
      </c>
      <c r="G52" s="31" t="s">
        <v>26</v>
      </c>
      <c r="H52" s="31" t="s">
        <v>26</v>
      </c>
      <c r="I52" s="8" t="s">
        <v>26</v>
      </c>
      <c r="J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20" t="s">
        <v>26</v>
      </c>
      <c r="Q52" s="51">
        <f t="shared" si="17"/>
        <v>0</v>
      </c>
      <c r="R52" s="52" t="s">
        <v>26</v>
      </c>
      <c r="S52" s="20" t="s">
        <v>26</v>
      </c>
      <c r="T52" s="20" t="s">
        <v>26</v>
      </c>
      <c r="U52" s="20" t="s">
        <v>26</v>
      </c>
      <c r="V52" s="20" t="s">
        <v>26</v>
      </c>
      <c r="W52" s="20">
        <f t="shared" si="23"/>
        <v>0</v>
      </c>
      <c r="X52" s="19">
        <f t="shared" si="24"/>
        <v>0</v>
      </c>
      <c r="AA52" s="47" t="s">
        <v>76</v>
      </c>
      <c r="AB52" s="50">
        <f t="shared" si="25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17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23"/>
        <v>0</v>
      </c>
      <c r="X53" s="19">
        <f t="shared" si="24"/>
        <v>0</v>
      </c>
      <c r="AA53" s="47" t="s">
        <v>4</v>
      </c>
      <c r="AB53" s="50">
        <f t="shared" si="25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17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23"/>
        <v>0</v>
      </c>
      <c r="X54" s="19">
        <f t="shared" si="24"/>
        <v>0</v>
      </c>
      <c r="AA54" s="47" t="s">
        <v>77</v>
      </c>
      <c r="AB54" s="50">
        <f t="shared" si="25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17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23"/>
        <v>0</v>
      </c>
      <c r="X55" s="19">
        <f t="shared" si="24"/>
        <v>0</v>
      </c>
      <c r="AA55" s="53" t="s">
        <v>78</v>
      </c>
      <c r="AB55" s="54">
        <f t="shared" si="25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17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23"/>
        <v>0</v>
      </c>
      <c r="X56" s="19">
        <f t="shared" si="24"/>
        <v>0</v>
      </c>
      <c r="AA56" s="55" t="s">
        <v>84</v>
      </c>
      <c r="AB56" s="56">
        <f t="shared" si="25"/>
        <v>14.336</v>
      </c>
    </row>
    <row r="57" ht="15.75" customHeight="1">
      <c r="A57" s="8" t="s">
        <v>26</v>
      </c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17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23"/>
        <v>0</v>
      </c>
      <c r="X57" s="19">
        <f t="shared" si="24"/>
        <v>0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17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23"/>
        <v>0</v>
      </c>
      <c r="X58" s="19">
        <f t="shared" si="24"/>
        <v>0</v>
      </c>
      <c r="AA58" s="57"/>
      <c r="AB58" s="26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17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23"/>
        <v>0</v>
      </c>
      <c r="X59" s="19">
        <f t="shared" si="24"/>
        <v>0</v>
      </c>
      <c r="AA59" s="37"/>
      <c r="AB59" s="41"/>
    </row>
    <row r="60" ht="15.75" customHeight="1"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17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23"/>
        <v>0</v>
      </c>
      <c r="X60" s="19">
        <f t="shared" si="24"/>
        <v>0</v>
      </c>
      <c r="AA60" s="37"/>
      <c r="AB60" s="41"/>
    </row>
    <row r="61" ht="15.75" customHeight="1">
      <c r="A61" s="31"/>
      <c r="B61" s="8" t="s">
        <v>26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51">
        <f t="shared" si="17"/>
        <v>0</v>
      </c>
      <c r="R61" s="8" t="s">
        <v>26</v>
      </c>
      <c r="S61" s="8" t="s">
        <v>26</v>
      </c>
      <c r="T61" s="8" t="s">
        <v>26</v>
      </c>
      <c r="U61" s="8" t="s">
        <v>26</v>
      </c>
      <c r="V61" s="8" t="s">
        <v>26</v>
      </c>
      <c r="W61" s="8">
        <f t="shared" si="23"/>
        <v>0</v>
      </c>
      <c r="X61" s="19">
        <f t="shared" si="24"/>
        <v>0</v>
      </c>
      <c r="AA61" s="37"/>
      <c r="AB61" s="41"/>
    </row>
    <row r="62" ht="15.75" customHeight="1">
      <c r="Q62" s="15">
        <f t="shared" si="17"/>
        <v>0</v>
      </c>
      <c r="W62" s="22">
        <f t="shared" si="23"/>
        <v>0</v>
      </c>
      <c r="X62" s="19">
        <f t="shared" si="24"/>
        <v>0</v>
      </c>
      <c r="AA62" s="37"/>
      <c r="AB62" s="41"/>
    </row>
    <row r="63" ht="15.75" customHeight="1">
      <c r="A63" s="21"/>
      <c r="Q63" s="15">
        <f t="shared" si="17"/>
        <v>0</v>
      </c>
      <c r="W63" s="22">
        <f t="shared" si="23"/>
        <v>0</v>
      </c>
      <c r="X63" s="19">
        <f t="shared" si="24"/>
        <v>0</v>
      </c>
      <c r="AA63" s="37"/>
      <c r="AB63" s="41"/>
    </row>
    <row r="64" ht="15.75" customHeight="1">
      <c r="A64" s="21"/>
      <c r="Q64" s="15">
        <f t="shared" si="17"/>
        <v>0</v>
      </c>
      <c r="W64" s="22">
        <f t="shared" si="23"/>
        <v>0</v>
      </c>
      <c r="X64" s="19">
        <f t="shared" si="24"/>
        <v>0</v>
      </c>
      <c r="AA64" s="37"/>
      <c r="AB64" s="41"/>
    </row>
    <row r="65" ht="15.75" customHeight="1">
      <c r="Q65" s="15">
        <f t="shared" si="17"/>
        <v>0</v>
      </c>
      <c r="W65" s="22">
        <f t="shared" si="23"/>
        <v>0</v>
      </c>
      <c r="X65" s="19">
        <f t="shared" si="24"/>
        <v>0</v>
      </c>
      <c r="AA65" s="42"/>
      <c r="AB65" s="43"/>
    </row>
    <row r="66" ht="15.75" customHeight="1">
      <c r="Q66" s="15">
        <f t="shared" si="17"/>
        <v>0</v>
      </c>
      <c r="W66" s="22">
        <f t="shared" si="23"/>
        <v>0</v>
      </c>
      <c r="X66" s="19">
        <f t="shared" si="24"/>
        <v>0</v>
      </c>
      <c r="AA66" s="44"/>
      <c r="AB66" s="45"/>
    </row>
    <row r="67" ht="15.75" customHeight="1">
      <c r="Q67" s="15">
        <f t="shared" si="17"/>
        <v>0</v>
      </c>
      <c r="W67" s="22">
        <f t="shared" si="23"/>
        <v>0</v>
      </c>
      <c r="X67" s="19">
        <f t="shared" si="24"/>
        <v>0</v>
      </c>
    </row>
    <row r="68" ht="15.75" customHeight="1">
      <c r="Q68" s="15">
        <f t="shared" si="17"/>
        <v>0</v>
      </c>
      <c r="W68" s="22">
        <f t="shared" si="23"/>
        <v>0</v>
      </c>
      <c r="X68" s="19">
        <f t="shared" si="24"/>
        <v>0</v>
      </c>
    </row>
    <row r="69" ht="15.75" customHeight="1">
      <c r="Q69" s="15">
        <f t="shared" si="17"/>
        <v>0</v>
      </c>
      <c r="W69" s="22">
        <f t="shared" si="23"/>
        <v>0</v>
      </c>
      <c r="X69" s="19">
        <f t="shared" si="24"/>
        <v>0</v>
      </c>
    </row>
    <row r="70" ht="15.75" customHeight="1">
      <c r="Q70" s="15">
        <f t="shared" si="17"/>
        <v>0</v>
      </c>
      <c r="W70" s="22">
        <f t="shared" si="23"/>
        <v>0</v>
      </c>
      <c r="X70" s="19">
        <f t="shared" si="24"/>
        <v>0</v>
      </c>
    </row>
    <row r="71" ht="15.75" customHeight="1">
      <c r="Q71" s="15">
        <f t="shared" si="17"/>
        <v>0</v>
      </c>
      <c r="W71" s="22">
        <f t="shared" si="23"/>
        <v>0</v>
      </c>
      <c r="X71" s="19">
        <f t="shared" si="24"/>
        <v>0</v>
      </c>
    </row>
    <row r="72" ht="15.75" customHeight="1">
      <c r="Q72" s="15">
        <f t="shared" si="17"/>
        <v>0</v>
      </c>
      <c r="W72" s="22">
        <f t="shared" si="23"/>
        <v>0</v>
      </c>
      <c r="X72" s="19">
        <f t="shared" si="24"/>
        <v>0</v>
      </c>
    </row>
    <row r="73" ht="15.75" customHeight="1">
      <c r="Q73" s="15">
        <f t="shared" si="17"/>
        <v>0</v>
      </c>
      <c r="W73" s="22">
        <f t="shared" si="23"/>
        <v>0</v>
      </c>
      <c r="X73" s="19">
        <f t="shared" si="24"/>
        <v>0</v>
      </c>
    </row>
    <row r="74" ht="15.75" customHeight="1">
      <c r="Q74" s="15">
        <f t="shared" si="17"/>
        <v>0</v>
      </c>
      <c r="W74" s="22">
        <f t="shared" si="23"/>
        <v>0</v>
      </c>
      <c r="X74" s="19">
        <f t="shared" si="24"/>
        <v>0</v>
      </c>
    </row>
    <row r="75" ht="15.75" customHeight="1">
      <c r="Q75" s="15">
        <f t="shared" si="17"/>
        <v>0</v>
      </c>
      <c r="W75" s="22">
        <f t="shared" si="23"/>
        <v>0</v>
      </c>
      <c r="X75" s="19">
        <f t="shared" si="24"/>
        <v>0</v>
      </c>
    </row>
    <row r="76" ht="15.75" customHeight="1">
      <c r="Q76" s="15">
        <f t="shared" si="17"/>
        <v>0</v>
      </c>
      <c r="W76" s="22">
        <f t="shared" si="23"/>
        <v>0</v>
      </c>
      <c r="X76" s="19">
        <f t="shared" si="24"/>
        <v>0</v>
      </c>
    </row>
    <row r="77" ht="15.75" customHeight="1">
      <c r="Q77" s="15">
        <f t="shared" si="17"/>
        <v>0</v>
      </c>
      <c r="W77" s="22">
        <f t="shared" si="23"/>
        <v>0</v>
      </c>
      <c r="X77" s="19">
        <f t="shared" si="24"/>
        <v>0</v>
      </c>
    </row>
    <row r="78" ht="15.75" customHeight="1">
      <c r="Q78" s="15">
        <f t="shared" si="17"/>
        <v>0</v>
      </c>
      <c r="W78" s="22">
        <f t="shared" si="23"/>
        <v>0</v>
      </c>
      <c r="X78" s="19">
        <f t="shared" si="24"/>
        <v>0</v>
      </c>
    </row>
    <row r="79" ht="15.75" customHeight="1">
      <c r="Q79" s="15">
        <f t="shared" si="17"/>
        <v>0</v>
      </c>
      <c r="W79" s="22">
        <f t="shared" si="23"/>
        <v>0</v>
      </c>
      <c r="X79" s="19">
        <f t="shared" si="24"/>
        <v>0</v>
      </c>
    </row>
    <row r="80" ht="15.75" customHeight="1">
      <c r="Q80" s="15">
        <f t="shared" si="17"/>
        <v>0</v>
      </c>
      <c r="W80" s="22">
        <f t="shared" si="23"/>
        <v>0</v>
      </c>
      <c r="X80" s="19">
        <f t="shared" si="24"/>
        <v>0</v>
      </c>
    </row>
    <row r="81" ht="15.75" customHeight="1">
      <c r="Q81" s="15">
        <f t="shared" si="17"/>
        <v>0</v>
      </c>
      <c r="W81" s="22">
        <f t="shared" si="23"/>
        <v>0</v>
      </c>
      <c r="X81" s="19">
        <f t="shared" si="24"/>
        <v>0</v>
      </c>
    </row>
    <row r="82" ht="15.75" customHeight="1">
      <c r="Q82" s="15">
        <f t="shared" si="17"/>
        <v>0</v>
      </c>
      <c r="W82" s="22">
        <f t="shared" si="23"/>
        <v>0</v>
      </c>
      <c r="X82" s="19">
        <f t="shared" si="24"/>
        <v>0</v>
      </c>
    </row>
    <row r="83" ht="15.75" customHeight="1">
      <c r="Q83" s="15">
        <f t="shared" si="17"/>
        <v>0</v>
      </c>
      <c r="W83" s="22">
        <f t="shared" si="23"/>
        <v>0</v>
      </c>
      <c r="X83" s="19">
        <f t="shared" si="24"/>
        <v>0</v>
      </c>
    </row>
    <row r="84" ht="15.75" customHeight="1">
      <c r="Q84" s="15">
        <f t="shared" si="17"/>
        <v>0</v>
      </c>
      <c r="W84" s="22">
        <f t="shared" si="23"/>
        <v>0</v>
      </c>
      <c r="X84" s="19">
        <f t="shared" si="24"/>
        <v>0</v>
      </c>
    </row>
    <row r="85" ht="15.75" customHeight="1">
      <c r="Q85" s="15">
        <f t="shared" si="17"/>
        <v>0</v>
      </c>
      <c r="W85" s="22">
        <f t="shared" si="23"/>
        <v>0</v>
      </c>
      <c r="X85" s="19">
        <f t="shared" si="24"/>
        <v>0</v>
      </c>
    </row>
    <row r="86" ht="15.75" customHeight="1">
      <c r="Q86" s="15">
        <f t="shared" si="17"/>
        <v>0</v>
      </c>
      <c r="W86" s="22">
        <f t="shared" si="23"/>
        <v>0</v>
      </c>
      <c r="X86" s="19">
        <f t="shared" si="24"/>
        <v>0</v>
      </c>
    </row>
    <row r="87" ht="15.75" customHeight="1">
      <c r="Q87" s="15">
        <f t="shared" si="17"/>
        <v>0</v>
      </c>
      <c r="W87" s="22">
        <f t="shared" si="23"/>
        <v>0</v>
      </c>
      <c r="X87" s="19">
        <f t="shared" si="24"/>
        <v>0</v>
      </c>
    </row>
    <row r="88" ht="15.75" customHeight="1">
      <c r="Q88" s="15">
        <f t="shared" si="17"/>
        <v>0</v>
      </c>
      <c r="W88" s="22">
        <f t="shared" si="23"/>
        <v>0</v>
      </c>
      <c r="X88" s="19">
        <f t="shared" si="24"/>
        <v>0</v>
      </c>
    </row>
    <row r="89" ht="15.75" customHeight="1">
      <c r="Q89" s="15">
        <f t="shared" si="17"/>
        <v>0</v>
      </c>
      <c r="W89" s="22">
        <f t="shared" si="23"/>
        <v>0</v>
      </c>
      <c r="X89" s="19">
        <f t="shared" si="24"/>
        <v>0</v>
      </c>
    </row>
    <row r="90" ht="15.75" customHeight="1">
      <c r="Q90" s="15">
        <f t="shared" si="17"/>
        <v>0</v>
      </c>
      <c r="W90" s="22">
        <f t="shared" si="23"/>
        <v>0</v>
      </c>
      <c r="X90" s="19">
        <f t="shared" si="24"/>
        <v>0</v>
      </c>
    </row>
    <row r="91" ht="15.75" customHeight="1">
      <c r="Q91" s="15">
        <f t="shared" si="17"/>
        <v>0</v>
      </c>
      <c r="W91" s="22">
        <f t="shared" si="23"/>
        <v>0</v>
      </c>
      <c r="X91" s="19">
        <f t="shared" si="24"/>
        <v>0</v>
      </c>
    </row>
    <row r="92" ht="15.75" customHeight="1">
      <c r="Q92" s="15">
        <f t="shared" si="17"/>
        <v>0</v>
      </c>
      <c r="W92" s="22">
        <f t="shared" si="23"/>
        <v>0</v>
      </c>
      <c r="X92" s="19">
        <f t="shared" si="24"/>
        <v>0</v>
      </c>
    </row>
    <row r="93" ht="15.75" customHeight="1">
      <c r="Q93" s="15">
        <f t="shared" si="17"/>
        <v>0</v>
      </c>
      <c r="W93" s="22">
        <f t="shared" si="23"/>
        <v>0</v>
      </c>
      <c r="X93" s="19">
        <f t="shared" si="24"/>
        <v>0</v>
      </c>
    </row>
    <row r="94" ht="15.75" customHeight="1">
      <c r="Q94" s="15">
        <f t="shared" si="17"/>
        <v>0</v>
      </c>
      <c r="W94" s="22">
        <f t="shared" si="23"/>
        <v>0</v>
      </c>
      <c r="X94" s="19">
        <f t="shared" si="24"/>
        <v>0</v>
      </c>
    </row>
    <row r="95" ht="15.75" customHeight="1">
      <c r="Q95" s="15">
        <f t="shared" si="17"/>
        <v>0</v>
      </c>
      <c r="W95" s="22">
        <f t="shared" si="23"/>
        <v>0</v>
      </c>
      <c r="X95" s="19">
        <f t="shared" si="24"/>
        <v>0</v>
      </c>
    </row>
    <row r="96" ht="15.75" customHeight="1">
      <c r="Q96" s="15">
        <f t="shared" si="17"/>
        <v>0</v>
      </c>
      <c r="W96" s="22">
        <f t="shared" si="23"/>
        <v>0</v>
      </c>
      <c r="X96" s="19">
        <f t="shared" si="24"/>
        <v>0</v>
      </c>
    </row>
    <row r="97" ht="15.75" customHeight="1">
      <c r="Q97" s="15">
        <f t="shared" si="17"/>
        <v>0</v>
      </c>
      <c r="W97" s="22">
        <f t="shared" si="23"/>
        <v>0</v>
      </c>
      <c r="X97" s="19">
        <f t="shared" si="24"/>
        <v>0</v>
      </c>
    </row>
    <row r="98" ht="15.75" customHeight="1">
      <c r="Q98" s="15">
        <f t="shared" si="17"/>
        <v>0</v>
      </c>
      <c r="W98" s="22">
        <f t="shared" si="23"/>
        <v>0</v>
      </c>
      <c r="X98" s="19">
        <f t="shared" si="24"/>
        <v>0</v>
      </c>
    </row>
    <row r="99" ht="15.75" customHeight="1">
      <c r="Q99" s="15">
        <f t="shared" si="17"/>
        <v>0</v>
      </c>
      <c r="W99" s="22">
        <f t="shared" si="23"/>
        <v>0</v>
      </c>
      <c r="X99" s="19">
        <f t="shared" si="24"/>
        <v>0</v>
      </c>
    </row>
    <row r="100" ht="15.75" customHeight="1">
      <c r="Q100" s="15">
        <f t="shared" si="17"/>
        <v>0</v>
      </c>
      <c r="W100" s="22">
        <f t="shared" si="23"/>
        <v>0</v>
      </c>
      <c r="X100" s="19">
        <f t="shared" si="24"/>
        <v>0</v>
      </c>
    </row>
    <row r="101" ht="15.75" customHeight="1">
      <c r="Q101" s="15">
        <f t="shared" si="17"/>
        <v>0</v>
      </c>
      <c r="W101" s="22">
        <f t="shared" si="23"/>
        <v>0</v>
      </c>
      <c r="X101" s="19">
        <f t="shared" si="24"/>
        <v>0</v>
      </c>
    </row>
    <row r="102" ht="15.75" customHeight="1">
      <c r="Q102" s="15">
        <f t="shared" si="17"/>
        <v>0</v>
      </c>
      <c r="W102" s="22">
        <f t="shared" si="23"/>
        <v>0</v>
      </c>
      <c r="X102" s="19">
        <f t="shared" si="24"/>
        <v>0</v>
      </c>
    </row>
    <row r="103" ht="15.75" customHeight="1">
      <c r="Q103" s="15">
        <f t="shared" si="17"/>
        <v>0</v>
      </c>
      <c r="W103" s="22">
        <f t="shared" si="23"/>
        <v>0</v>
      </c>
      <c r="X103" s="19">
        <f t="shared" si="24"/>
        <v>0</v>
      </c>
    </row>
    <row r="104" ht="15.75" customHeight="1">
      <c r="Q104" s="15">
        <f t="shared" si="17"/>
        <v>0</v>
      </c>
      <c r="W104" s="22">
        <f t="shared" si="23"/>
        <v>0</v>
      </c>
      <c r="X104" s="19">
        <f t="shared" si="24"/>
        <v>0</v>
      </c>
    </row>
    <row r="105" ht="15.75" customHeight="1">
      <c r="Q105" s="15">
        <f t="shared" si="17"/>
        <v>0</v>
      </c>
      <c r="W105" s="22">
        <f t="shared" si="23"/>
        <v>0</v>
      </c>
      <c r="X105" s="19">
        <f t="shared" si="24"/>
        <v>0</v>
      </c>
    </row>
    <row r="106" ht="15.75" customHeight="1">
      <c r="Q106" s="15">
        <f t="shared" si="17"/>
        <v>0</v>
      </c>
      <c r="W106" s="22">
        <f t="shared" si="23"/>
        <v>0</v>
      </c>
      <c r="X106" s="19">
        <f t="shared" si="24"/>
        <v>0</v>
      </c>
    </row>
    <row r="107" ht="15.75" customHeight="1">
      <c r="Q107" s="15">
        <f t="shared" si="17"/>
        <v>0</v>
      </c>
      <c r="W107" s="22">
        <f t="shared" si="23"/>
        <v>0</v>
      </c>
      <c r="X107" s="19">
        <f t="shared" si="24"/>
        <v>0</v>
      </c>
    </row>
    <row r="108" ht="15.75" customHeight="1">
      <c r="Q108" s="15">
        <f t="shared" si="17"/>
        <v>0</v>
      </c>
      <c r="W108" s="22">
        <f t="shared" si="23"/>
        <v>0</v>
      </c>
      <c r="X108" s="19">
        <f t="shared" si="24"/>
        <v>0</v>
      </c>
    </row>
    <row r="109" ht="15.75" customHeight="1">
      <c r="Q109" s="15">
        <f t="shared" si="17"/>
        <v>0</v>
      </c>
      <c r="W109" s="22">
        <f t="shared" si="23"/>
        <v>0</v>
      </c>
      <c r="X109" s="19">
        <f t="shared" si="24"/>
        <v>0</v>
      </c>
    </row>
    <row r="110" ht="15.75" customHeight="1">
      <c r="Q110" s="15">
        <f t="shared" si="17"/>
        <v>0</v>
      </c>
      <c r="W110" s="22">
        <f t="shared" si="23"/>
        <v>0</v>
      </c>
      <c r="X110" s="19">
        <f t="shared" si="24"/>
        <v>0</v>
      </c>
    </row>
    <row r="111" ht="15.75" customHeight="1">
      <c r="Q111" s="15">
        <f t="shared" si="17"/>
        <v>0</v>
      </c>
      <c r="W111" s="22">
        <f t="shared" si="23"/>
        <v>0</v>
      </c>
      <c r="X111" s="19">
        <f t="shared" si="24"/>
        <v>0</v>
      </c>
    </row>
    <row r="112" ht="15.75" customHeight="1">
      <c r="Q112" s="15">
        <f t="shared" si="17"/>
        <v>0</v>
      </c>
      <c r="W112" s="22">
        <f t="shared" si="23"/>
        <v>0</v>
      </c>
      <c r="X112" s="19">
        <f t="shared" si="24"/>
        <v>0</v>
      </c>
    </row>
    <row r="113" ht="15.75" customHeight="1">
      <c r="Q113" s="15">
        <f t="shared" si="17"/>
        <v>0</v>
      </c>
      <c r="W113" s="22">
        <f t="shared" si="23"/>
        <v>0</v>
      </c>
      <c r="X113" s="19">
        <f t="shared" si="24"/>
        <v>0</v>
      </c>
    </row>
    <row r="114" ht="15.75" customHeight="1">
      <c r="Q114" s="15">
        <f t="shared" si="17"/>
        <v>0</v>
      </c>
      <c r="W114" s="22">
        <f t="shared" si="23"/>
        <v>0</v>
      </c>
      <c r="X114" s="19">
        <f t="shared" si="24"/>
        <v>0</v>
      </c>
    </row>
    <row r="115" ht="15.75" customHeight="1">
      <c r="Q115" s="15">
        <f t="shared" si="17"/>
        <v>0</v>
      </c>
      <c r="W115" s="22">
        <f t="shared" si="23"/>
        <v>0</v>
      </c>
      <c r="X115" s="19">
        <f t="shared" si="24"/>
        <v>0</v>
      </c>
    </row>
    <row r="116" ht="15.75" customHeight="1">
      <c r="Q116" s="15">
        <f t="shared" si="17"/>
        <v>0</v>
      </c>
      <c r="W116" s="22">
        <f t="shared" si="23"/>
        <v>0</v>
      </c>
      <c r="X116" s="19">
        <f t="shared" si="24"/>
        <v>0</v>
      </c>
    </row>
    <row r="117" ht="15.75" customHeight="1">
      <c r="Q117" s="15">
        <f t="shared" si="17"/>
        <v>0</v>
      </c>
      <c r="W117" s="22">
        <f t="shared" si="23"/>
        <v>0</v>
      </c>
      <c r="X117" s="19">
        <f t="shared" si="24"/>
        <v>0</v>
      </c>
    </row>
    <row r="118" ht="15.75" customHeight="1">
      <c r="Q118" s="15">
        <f t="shared" si="17"/>
        <v>0</v>
      </c>
      <c r="W118" s="22">
        <f t="shared" si="23"/>
        <v>0</v>
      </c>
      <c r="X118" s="19">
        <f t="shared" si="24"/>
        <v>0</v>
      </c>
    </row>
    <row r="119" ht="15.75" customHeight="1">
      <c r="Q119" s="15">
        <f t="shared" si="17"/>
        <v>0</v>
      </c>
      <c r="W119" s="22">
        <f t="shared" si="23"/>
        <v>0</v>
      </c>
      <c r="X119" s="19">
        <f t="shared" si="24"/>
        <v>0</v>
      </c>
    </row>
    <row r="120" ht="15.75" customHeight="1">
      <c r="Q120" s="15">
        <f t="shared" si="17"/>
        <v>0</v>
      </c>
      <c r="W120" s="22">
        <f t="shared" si="23"/>
        <v>0</v>
      </c>
      <c r="X120" s="19">
        <f t="shared" si="24"/>
        <v>0</v>
      </c>
    </row>
    <row r="121" ht="15.75" customHeight="1">
      <c r="Q121" s="15">
        <f t="shared" si="17"/>
        <v>0</v>
      </c>
      <c r="W121" s="22">
        <f t="shared" si="23"/>
        <v>0</v>
      </c>
      <c r="X121" s="19">
        <f t="shared" si="24"/>
        <v>0</v>
      </c>
    </row>
    <row r="122" ht="15.75" customHeight="1">
      <c r="Q122" s="15">
        <f t="shared" si="17"/>
        <v>0</v>
      </c>
      <c r="W122" s="22">
        <f t="shared" si="23"/>
        <v>0</v>
      </c>
      <c r="X122" s="19">
        <f t="shared" si="24"/>
        <v>0</v>
      </c>
    </row>
    <row r="123" ht="15.75" customHeight="1">
      <c r="Q123" s="15">
        <f t="shared" si="17"/>
        <v>0</v>
      </c>
      <c r="W123" s="22">
        <f t="shared" si="23"/>
        <v>0</v>
      </c>
      <c r="X123" s="19">
        <f t="shared" si="24"/>
        <v>0</v>
      </c>
    </row>
    <row r="124" ht="15.75" customHeight="1">
      <c r="Q124" s="15">
        <f t="shared" si="17"/>
        <v>0</v>
      </c>
      <c r="W124" s="22">
        <f t="shared" si="23"/>
        <v>0</v>
      </c>
      <c r="X124" s="19">
        <f t="shared" si="24"/>
        <v>0</v>
      </c>
    </row>
    <row r="125" ht="15.75" customHeight="1">
      <c r="Q125" s="15">
        <f t="shared" si="17"/>
        <v>0</v>
      </c>
      <c r="W125" s="22">
        <f t="shared" si="23"/>
        <v>0</v>
      </c>
      <c r="X125" s="19">
        <f t="shared" si="24"/>
        <v>0</v>
      </c>
    </row>
    <row r="126" ht="15.75" customHeight="1">
      <c r="Q126" s="15">
        <f t="shared" si="17"/>
        <v>0</v>
      </c>
      <c r="W126" s="22">
        <f t="shared" si="23"/>
        <v>0</v>
      </c>
      <c r="X126" s="19">
        <f t="shared" si="24"/>
        <v>0</v>
      </c>
    </row>
    <row r="127" ht="15.75" customHeight="1">
      <c r="Q127" s="15">
        <f t="shared" si="17"/>
        <v>0</v>
      </c>
      <c r="W127" s="22">
        <f t="shared" si="23"/>
        <v>0</v>
      </c>
      <c r="X127" s="19">
        <f t="shared" si="24"/>
        <v>0</v>
      </c>
    </row>
    <row r="128" ht="15.75" customHeight="1">
      <c r="Q128" s="15">
        <f t="shared" si="17"/>
        <v>0</v>
      </c>
      <c r="W128" s="22">
        <f t="shared" si="23"/>
        <v>0</v>
      </c>
      <c r="X128" s="19">
        <f t="shared" si="24"/>
        <v>0</v>
      </c>
    </row>
    <row r="129" ht="15.75" customHeight="1">
      <c r="Q129" s="15">
        <f t="shared" si="17"/>
        <v>0</v>
      </c>
      <c r="W129" s="22">
        <f t="shared" si="23"/>
        <v>0</v>
      </c>
      <c r="X129" s="19">
        <f t="shared" si="24"/>
        <v>0</v>
      </c>
    </row>
    <row r="130" ht="15.75" customHeight="1">
      <c r="Q130" s="15">
        <f t="shared" si="17"/>
        <v>0</v>
      </c>
      <c r="W130" s="22">
        <f t="shared" si="23"/>
        <v>0</v>
      </c>
      <c r="X130" s="19">
        <f t="shared" si="24"/>
        <v>0</v>
      </c>
    </row>
    <row r="131" ht="15.75" customHeight="1">
      <c r="Q131" s="15">
        <f t="shared" si="17"/>
        <v>0</v>
      </c>
      <c r="W131" s="22">
        <f t="shared" si="23"/>
        <v>0</v>
      </c>
      <c r="X131" s="19">
        <f t="shared" si="24"/>
        <v>0</v>
      </c>
    </row>
    <row r="132" ht="15.75" customHeight="1">
      <c r="Q132" s="15">
        <f t="shared" si="17"/>
        <v>0</v>
      </c>
      <c r="W132" s="22">
        <f t="shared" si="23"/>
        <v>0</v>
      </c>
      <c r="X132" s="19">
        <f t="shared" si="24"/>
        <v>0</v>
      </c>
    </row>
    <row r="133" ht="15.75" customHeight="1">
      <c r="Q133" s="15">
        <f t="shared" si="17"/>
        <v>0</v>
      </c>
      <c r="W133" s="22">
        <f t="shared" si="23"/>
        <v>0</v>
      </c>
      <c r="X133" s="19">
        <f t="shared" si="24"/>
        <v>0</v>
      </c>
    </row>
    <row r="134" ht="15.75" customHeight="1">
      <c r="Q134" s="15">
        <f t="shared" si="17"/>
        <v>0</v>
      </c>
      <c r="W134" s="22">
        <f t="shared" si="23"/>
        <v>0</v>
      </c>
      <c r="X134" s="19">
        <f t="shared" si="24"/>
        <v>0</v>
      </c>
    </row>
    <row r="135" ht="15.75" customHeight="1">
      <c r="Q135" s="15">
        <f t="shared" si="17"/>
        <v>0</v>
      </c>
      <c r="W135" s="22">
        <f t="shared" si="23"/>
        <v>0</v>
      </c>
      <c r="X135" s="19">
        <f t="shared" si="24"/>
        <v>0</v>
      </c>
    </row>
    <row r="136" ht="15.75" customHeight="1">
      <c r="Q136" s="15">
        <f t="shared" si="17"/>
        <v>0</v>
      </c>
      <c r="W136" s="22">
        <f t="shared" si="23"/>
        <v>0</v>
      </c>
      <c r="X136" s="19">
        <f t="shared" si="24"/>
        <v>0</v>
      </c>
    </row>
    <row r="137" ht="15.75" customHeight="1">
      <c r="Q137" s="15">
        <f t="shared" si="17"/>
        <v>0</v>
      </c>
      <c r="W137" s="22">
        <f t="shared" si="23"/>
        <v>0</v>
      </c>
      <c r="X137" s="19">
        <f t="shared" si="24"/>
        <v>0</v>
      </c>
    </row>
    <row r="138" ht="15.75" customHeight="1">
      <c r="Q138" s="15">
        <f t="shared" si="17"/>
        <v>0</v>
      </c>
      <c r="W138" s="22">
        <f t="shared" si="23"/>
        <v>0</v>
      </c>
      <c r="X138" s="19">
        <f t="shared" si="24"/>
        <v>0</v>
      </c>
    </row>
    <row r="139" ht="15.75" customHeight="1">
      <c r="Q139" s="15">
        <f t="shared" si="17"/>
        <v>0</v>
      </c>
      <c r="W139" s="22">
        <f t="shared" si="23"/>
        <v>0</v>
      </c>
      <c r="X139" s="19">
        <f t="shared" si="24"/>
        <v>0</v>
      </c>
    </row>
    <row r="140" ht="15.75" customHeight="1">
      <c r="Q140" s="15">
        <f t="shared" si="17"/>
        <v>0</v>
      </c>
      <c r="W140" s="22">
        <f t="shared" si="23"/>
        <v>0</v>
      </c>
      <c r="X140" s="19">
        <f t="shared" si="24"/>
        <v>0</v>
      </c>
    </row>
    <row r="141" ht="15.75" customHeight="1">
      <c r="Q141" s="15">
        <f t="shared" si="17"/>
        <v>0</v>
      </c>
      <c r="W141" s="22">
        <f t="shared" si="23"/>
        <v>0</v>
      </c>
      <c r="X141" s="19">
        <f t="shared" si="24"/>
        <v>0</v>
      </c>
    </row>
    <row r="142" ht="15.75" customHeight="1">
      <c r="Q142" s="15">
        <f t="shared" si="17"/>
        <v>0</v>
      </c>
      <c r="W142" s="22">
        <f t="shared" si="23"/>
        <v>0</v>
      </c>
      <c r="X142" s="19">
        <f t="shared" si="24"/>
        <v>0</v>
      </c>
    </row>
    <row r="143" ht="15.75" customHeight="1">
      <c r="Q143" s="15">
        <f t="shared" si="17"/>
        <v>0</v>
      </c>
      <c r="W143" s="22">
        <f t="shared" si="23"/>
        <v>0</v>
      </c>
      <c r="X143" s="19">
        <f t="shared" si="24"/>
        <v>0</v>
      </c>
    </row>
    <row r="144" ht="15.75" customHeight="1">
      <c r="Q144" s="15">
        <f t="shared" si="17"/>
        <v>0</v>
      </c>
      <c r="W144" s="22">
        <f t="shared" si="23"/>
        <v>0</v>
      </c>
      <c r="X144" s="19">
        <f t="shared" si="24"/>
        <v>0</v>
      </c>
    </row>
    <row r="145" ht="15.75" customHeight="1">
      <c r="Q145" s="15">
        <f t="shared" si="17"/>
        <v>0</v>
      </c>
      <c r="W145" s="22">
        <f t="shared" si="23"/>
        <v>0</v>
      </c>
      <c r="X145" s="19">
        <f t="shared" si="24"/>
        <v>0</v>
      </c>
    </row>
    <row r="146" ht="15.75" customHeight="1">
      <c r="Q146" s="15">
        <f t="shared" si="17"/>
        <v>0</v>
      </c>
      <c r="W146" s="22">
        <f t="shared" si="23"/>
        <v>0</v>
      </c>
      <c r="X146" s="19">
        <f t="shared" si="24"/>
        <v>0</v>
      </c>
    </row>
    <row r="147" ht="15.75" customHeight="1">
      <c r="Q147" s="15">
        <f t="shared" si="17"/>
        <v>0</v>
      </c>
      <c r="W147" s="22">
        <f t="shared" si="23"/>
        <v>0</v>
      </c>
      <c r="X147" s="19">
        <f t="shared" si="24"/>
        <v>0</v>
      </c>
    </row>
    <row r="148" ht="15.75" customHeight="1">
      <c r="Q148" s="15">
        <f t="shared" si="17"/>
        <v>0</v>
      </c>
      <c r="W148" s="22">
        <f t="shared" si="23"/>
        <v>0</v>
      </c>
      <c r="X148" s="19">
        <f t="shared" si="24"/>
        <v>0</v>
      </c>
    </row>
    <row r="149" ht="15.75" customHeight="1">
      <c r="Q149" s="15">
        <f t="shared" si="17"/>
        <v>0</v>
      </c>
      <c r="W149" s="22">
        <f t="shared" si="23"/>
        <v>0</v>
      </c>
      <c r="X149" s="19">
        <f t="shared" si="24"/>
        <v>0</v>
      </c>
    </row>
    <row r="150" ht="15.75" customHeight="1">
      <c r="Q150" s="15">
        <f t="shared" si="17"/>
        <v>0</v>
      </c>
      <c r="W150" s="22">
        <f t="shared" si="23"/>
        <v>0</v>
      </c>
      <c r="X150" s="19">
        <f t="shared" si="24"/>
        <v>0</v>
      </c>
    </row>
    <row r="151" ht="15.75" customHeight="1">
      <c r="Q151" s="15">
        <f t="shared" si="17"/>
        <v>0</v>
      </c>
      <c r="W151" s="22">
        <f t="shared" si="23"/>
        <v>0</v>
      </c>
      <c r="X151" s="19">
        <f t="shared" si="24"/>
        <v>0</v>
      </c>
    </row>
    <row r="152" ht="15.75" customHeight="1">
      <c r="Q152" s="15">
        <f t="shared" si="17"/>
        <v>0</v>
      </c>
      <c r="W152" s="22">
        <f t="shared" si="23"/>
        <v>0</v>
      </c>
      <c r="X152" s="19">
        <f t="shared" si="24"/>
        <v>0</v>
      </c>
    </row>
    <row r="153" ht="15.75" customHeight="1">
      <c r="Q153" s="15">
        <f t="shared" si="17"/>
        <v>0</v>
      </c>
      <c r="W153" s="22">
        <f t="shared" si="23"/>
        <v>0</v>
      </c>
      <c r="X153" s="19">
        <f t="shared" si="24"/>
        <v>0</v>
      </c>
    </row>
    <row r="154" ht="15.75" customHeight="1">
      <c r="Q154" s="15">
        <f t="shared" si="17"/>
        <v>0</v>
      </c>
      <c r="W154" s="22">
        <f t="shared" si="23"/>
        <v>0</v>
      </c>
      <c r="X154" s="19">
        <f t="shared" si="24"/>
        <v>0</v>
      </c>
    </row>
    <row r="155" ht="15.75" customHeight="1">
      <c r="Q155" s="15">
        <f t="shared" si="17"/>
        <v>0</v>
      </c>
      <c r="W155" s="22">
        <f t="shared" si="23"/>
        <v>0</v>
      </c>
      <c r="X155" s="19">
        <f t="shared" si="24"/>
        <v>0</v>
      </c>
    </row>
    <row r="156" ht="15.75" customHeight="1">
      <c r="Q156" s="15">
        <f t="shared" si="17"/>
        <v>0</v>
      </c>
      <c r="W156" s="22">
        <f t="shared" si="23"/>
        <v>0</v>
      </c>
      <c r="X156" s="19">
        <f t="shared" si="24"/>
        <v>0</v>
      </c>
    </row>
    <row r="157" ht="15.75" customHeight="1">
      <c r="Q157" s="15">
        <f t="shared" si="17"/>
        <v>0</v>
      </c>
      <c r="W157" s="22">
        <f t="shared" si="23"/>
        <v>0</v>
      </c>
      <c r="X157" s="19">
        <f t="shared" si="24"/>
        <v>0</v>
      </c>
    </row>
    <row r="158" ht="15.75" customHeight="1">
      <c r="Q158" s="15">
        <f t="shared" si="17"/>
        <v>0</v>
      </c>
      <c r="W158" s="22">
        <f t="shared" si="23"/>
        <v>0</v>
      </c>
      <c r="X158" s="19">
        <f t="shared" si="24"/>
        <v>0</v>
      </c>
    </row>
    <row r="159" ht="15.75" customHeight="1">
      <c r="Q159" s="15">
        <f t="shared" si="17"/>
        <v>0</v>
      </c>
      <c r="W159" s="22">
        <f t="shared" si="23"/>
        <v>0</v>
      </c>
      <c r="X159" s="19">
        <f t="shared" si="24"/>
        <v>0</v>
      </c>
    </row>
    <row r="160" ht="15.75" customHeight="1">
      <c r="Q160" s="15">
        <f t="shared" si="17"/>
        <v>0</v>
      </c>
      <c r="W160" s="22">
        <f t="shared" si="23"/>
        <v>0</v>
      </c>
      <c r="X160" s="19">
        <f t="shared" si="24"/>
        <v>0</v>
      </c>
    </row>
    <row r="161" ht="15.75" customHeight="1">
      <c r="Q161" s="15">
        <f t="shared" si="17"/>
        <v>0</v>
      </c>
      <c r="W161" s="22">
        <f t="shared" si="23"/>
        <v>0</v>
      </c>
      <c r="X161" s="19">
        <f t="shared" si="24"/>
        <v>0</v>
      </c>
    </row>
    <row r="162" ht="15.75" customHeight="1">
      <c r="Q162" s="15">
        <f t="shared" si="17"/>
        <v>0</v>
      </c>
      <c r="W162" s="22">
        <f t="shared" si="23"/>
        <v>0</v>
      </c>
      <c r="X162" s="19">
        <f t="shared" si="24"/>
        <v>0</v>
      </c>
    </row>
    <row r="163" ht="15.75" customHeight="1">
      <c r="Q163" s="15">
        <f t="shared" si="17"/>
        <v>0</v>
      </c>
      <c r="W163" s="22">
        <f t="shared" si="23"/>
        <v>0</v>
      </c>
      <c r="X163" s="19">
        <f t="shared" si="24"/>
        <v>0</v>
      </c>
    </row>
    <row r="164" ht="15.75" customHeight="1">
      <c r="Q164" s="15">
        <f t="shared" si="17"/>
        <v>0</v>
      </c>
      <c r="W164" s="22">
        <f t="shared" si="23"/>
        <v>0</v>
      </c>
      <c r="X164" s="19">
        <f t="shared" si="24"/>
        <v>0</v>
      </c>
    </row>
    <row r="165" ht="15.75" customHeight="1">
      <c r="Q165" s="15">
        <f t="shared" si="17"/>
        <v>0</v>
      </c>
      <c r="W165" s="22">
        <f t="shared" si="23"/>
        <v>0</v>
      </c>
      <c r="X165" s="19">
        <f t="shared" si="24"/>
        <v>0</v>
      </c>
    </row>
    <row r="166" ht="15.75" customHeight="1">
      <c r="Q166" s="15">
        <f t="shared" si="17"/>
        <v>0</v>
      </c>
      <c r="W166" s="22">
        <f t="shared" si="23"/>
        <v>0</v>
      </c>
      <c r="X166" s="19">
        <f t="shared" si="24"/>
        <v>0</v>
      </c>
    </row>
    <row r="167" ht="15.75" customHeight="1">
      <c r="Q167" s="15">
        <f t="shared" si="17"/>
        <v>0</v>
      </c>
      <c r="W167" s="22">
        <f t="shared" si="23"/>
        <v>0</v>
      </c>
      <c r="X167" s="19">
        <f t="shared" si="24"/>
        <v>0</v>
      </c>
    </row>
    <row r="168" ht="15.75" customHeight="1">
      <c r="Q168" s="15">
        <f t="shared" si="17"/>
        <v>0</v>
      </c>
      <c r="W168" s="22">
        <f t="shared" si="23"/>
        <v>0</v>
      </c>
      <c r="X168" s="19">
        <f t="shared" si="24"/>
        <v>0</v>
      </c>
    </row>
    <row r="169" ht="15.75" customHeight="1">
      <c r="Q169" s="15">
        <f t="shared" si="17"/>
        <v>0</v>
      </c>
      <c r="W169" s="22">
        <f t="shared" si="23"/>
        <v>0</v>
      </c>
      <c r="X169" s="19">
        <f t="shared" si="24"/>
        <v>0</v>
      </c>
    </row>
    <row r="170" ht="15.75" customHeight="1">
      <c r="Q170" s="15">
        <f t="shared" si="17"/>
        <v>0</v>
      </c>
      <c r="W170" s="22">
        <f t="shared" si="23"/>
        <v>0</v>
      </c>
      <c r="X170" s="19">
        <f t="shared" si="24"/>
        <v>0</v>
      </c>
    </row>
    <row r="171" ht="15.75" customHeight="1">
      <c r="Q171" s="15">
        <f t="shared" si="17"/>
        <v>0</v>
      </c>
      <c r="W171" s="22">
        <f t="shared" si="23"/>
        <v>0</v>
      </c>
      <c r="X171" s="19">
        <f t="shared" si="24"/>
        <v>0</v>
      </c>
    </row>
    <row r="172" ht="15.75" customHeight="1">
      <c r="Q172" s="15">
        <f t="shared" si="17"/>
        <v>0</v>
      </c>
      <c r="W172" s="22">
        <f t="shared" si="23"/>
        <v>0</v>
      </c>
      <c r="X172" s="19">
        <f t="shared" si="24"/>
        <v>0</v>
      </c>
    </row>
    <row r="173" ht="15.75" customHeight="1">
      <c r="Q173" s="15">
        <f t="shared" si="17"/>
        <v>0</v>
      </c>
      <c r="W173" s="22">
        <f t="shared" si="23"/>
        <v>0</v>
      </c>
      <c r="X173" s="19">
        <f t="shared" si="24"/>
        <v>0</v>
      </c>
    </row>
    <row r="174" ht="15.75" customHeight="1">
      <c r="Q174" s="15">
        <f t="shared" si="17"/>
        <v>0</v>
      </c>
      <c r="W174" s="22">
        <f t="shared" si="23"/>
        <v>0</v>
      </c>
      <c r="X174" s="19">
        <f t="shared" si="24"/>
        <v>0</v>
      </c>
    </row>
    <row r="175" ht="15.75" customHeight="1">
      <c r="Q175" s="15">
        <f t="shared" si="17"/>
        <v>0</v>
      </c>
      <c r="W175" s="22">
        <f t="shared" si="23"/>
        <v>0</v>
      </c>
      <c r="X175" s="19">
        <f t="shared" si="24"/>
        <v>0</v>
      </c>
    </row>
    <row r="176" ht="15.75" customHeight="1">
      <c r="Q176" s="15">
        <f t="shared" si="17"/>
        <v>0</v>
      </c>
      <c r="W176" s="22">
        <f t="shared" si="23"/>
        <v>0</v>
      </c>
      <c r="X176" s="19">
        <f t="shared" si="24"/>
        <v>0</v>
      </c>
    </row>
    <row r="177" ht="15.75" customHeight="1">
      <c r="Q177" s="15">
        <f t="shared" si="17"/>
        <v>0</v>
      </c>
      <c r="W177" s="22">
        <f t="shared" si="23"/>
        <v>0</v>
      </c>
      <c r="X177" s="19">
        <f t="shared" si="24"/>
        <v>0</v>
      </c>
    </row>
    <row r="178" ht="15.75" customHeight="1">
      <c r="Q178" s="15">
        <f t="shared" si="17"/>
        <v>0</v>
      </c>
      <c r="W178" s="22">
        <f t="shared" si="23"/>
        <v>0</v>
      </c>
      <c r="X178" s="19">
        <f t="shared" si="24"/>
        <v>0</v>
      </c>
    </row>
    <row r="179" ht="15.75" customHeight="1">
      <c r="Q179" s="15">
        <f t="shared" si="17"/>
        <v>0</v>
      </c>
      <c r="W179" s="22">
        <f t="shared" si="23"/>
        <v>0</v>
      </c>
      <c r="X179" s="19">
        <f t="shared" si="24"/>
        <v>0</v>
      </c>
    </row>
    <row r="180" ht="15.75" customHeight="1">
      <c r="Q180" s="15">
        <f t="shared" si="17"/>
        <v>0</v>
      </c>
      <c r="W180" s="22">
        <f t="shared" si="23"/>
        <v>0</v>
      </c>
      <c r="X180" s="19">
        <f t="shared" si="24"/>
        <v>0</v>
      </c>
    </row>
    <row r="181" ht="15.75" customHeight="1">
      <c r="Q181" s="15">
        <f t="shared" si="17"/>
        <v>0</v>
      </c>
      <c r="W181" s="22">
        <f t="shared" si="23"/>
        <v>0</v>
      </c>
      <c r="X181" s="19">
        <f t="shared" si="24"/>
        <v>0</v>
      </c>
    </row>
    <row r="182" ht="15.75" customHeight="1">
      <c r="Q182" s="15">
        <f t="shared" si="17"/>
        <v>0</v>
      </c>
      <c r="W182" s="22">
        <f t="shared" si="23"/>
        <v>0</v>
      </c>
      <c r="X182" s="19">
        <f t="shared" si="24"/>
        <v>0</v>
      </c>
    </row>
    <row r="183" ht="15.75" customHeight="1">
      <c r="Q183" s="15">
        <f t="shared" si="17"/>
        <v>0</v>
      </c>
      <c r="W183" s="22">
        <f t="shared" si="23"/>
        <v>0</v>
      </c>
      <c r="X183" s="19">
        <f t="shared" si="24"/>
        <v>0</v>
      </c>
    </row>
    <row r="184" ht="15.75" customHeight="1">
      <c r="Q184" s="15">
        <f t="shared" si="17"/>
        <v>0</v>
      </c>
      <c r="W184" s="22">
        <f t="shared" si="23"/>
        <v>0</v>
      </c>
      <c r="X184" s="19">
        <f t="shared" si="24"/>
        <v>0</v>
      </c>
    </row>
    <row r="185" ht="15.75" customHeight="1">
      <c r="Q185" s="15">
        <f t="shared" si="17"/>
        <v>0</v>
      </c>
      <c r="W185" s="22">
        <f t="shared" si="23"/>
        <v>0</v>
      </c>
      <c r="X185" s="19">
        <f t="shared" si="24"/>
        <v>0</v>
      </c>
    </row>
    <row r="186" ht="15.75" customHeight="1">
      <c r="Q186" s="15">
        <f t="shared" si="17"/>
        <v>0</v>
      </c>
      <c r="W186" s="22">
        <f t="shared" si="23"/>
        <v>0</v>
      </c>
      <c r="X186" s="19">
        <f t="shared" si="24"/>
        <v>0</v>
      </c>
    </row>
    <row r="187" ht="15.75" customHeight="1">
      <c r="Q187" s="15">
        <f t="shared" si="17"/>
        <v>0</v>
      </c>
      <c r="W187" s="22">
        <f t="shared" si="23"/>
        <v>0</v>
      </c>
      <c r="X187" s="19">
        <f t="shared" si="24"/>
        <v>0</v>
      </c>
    </row>
    <row r="188" ht="15.75" customHeight="1">
      <c r="Q188" s="15">
        <f t="shared" si="17"/>
        <v>0</v>
      </c>
      <c r="W188" s="22">
        <f t="shared" si="23"/>
        <v>0</v>
      </c>
      <c r="X188" s="19">
        <f t="shared" si="24"/>
        <v>0</v>
      </c>
    </row>
    <row r="189" ht="15.75" customHeight="1">
      <c r="Q189" s="15">
        <f t="shared" si="17"/>
        <v>0</v>
      </c>
      <c r="W189" s="22">
        <f t="shared" si="23"/>
        <v>0</v>
      </c>
      <c r="X189" s="19">
        <f t="shared" si="24"/>
        <v>0</v>
      </c>
    </row>
    <row r="190" ht="15.75" customHeight="1">
      <c r="Q190" s="15">
        <f t="shared" si="17"/>
        <v>0</v>
      </c>
      <c r="W190" s="22">
        <f t="shared" si="23"/>
        <v>0</v>
      </c>
      <c r="X190" s="19">
        <f t="shared" si="24"/>
        <v>0</v>
      </c>
    </row>
    <row r="191" ht="15.75" customHeight="1">
      <c r="Q191" s="15">
        <f t="shared" si="17"/>
        <v>0</v>
      </c>
      <c r="W191" s="22">
        <f t="shared" si="23"/>
        <v>0</v>
      </c>
      <c r="X191" s="19">
        <f t="shared" si="24"/>
        <v>0</v>
      </c>
    </row>
    <row r="192" ht="15.75" customHeight="1">
      <c r="Q192" s="15">
        <f t="shared" si="17"/>
        <v>0</v>
      </c>
      <c r="W192" s="22">
        <f t="shared" si="23"/>
        <v>0</v>
      </c>
      <c r="X192" s="19">
        <f t="shared" si="24"/>
        <v>0</v>
      </c>
    </row>
    <row r="193" ht="15.75" customHeight="1">
      <c r="Q193" s="15">
        <f t="shared" si="17"/>
        <v>0</v>
      </c>
      <c r="W193" s="22">
        <f t="shared" si="23"/>
        <v>0</v>
      </c>
      <c r="X193" s="19">
        <f t="shared" si="24"/>
        <v>0</v>
      </c>
    </row>
    <row r="194" ht="15.75" customHeight="1">
      <c r="Q194" s="15">
        <f t="shared" si="17"/>
        <v>0</v>
      </c>
      <c r="W194" s="22">
        <f t="shared" si="23"/>
        <v>0</v>
      </c>
      <c r="X194" s="19">
        <f t="shared" si="24"/>
        <v>0</v>
      </c>
    </row>
    <row r="195" ht="15.75" customHeight="1">
      <c r="Q195" s="15">
        <f t="shared" si="17"/>
        <v>0</v>
      </c>
      <c r="W195" s="22">
        <f t="shared" si="23"/>
        <v>0</v>
      </c>
      <c r="X195" s="19">
        <f t="shared" si="24"/>
        <v>0</v>
      </c>
    </row>
    <row r="196" ht="15.75" customHeight="1">
      <c r="Q196" s="15">
        <f t="shared" si="17"/>
        <v>0</v>
      </c>
      <c r="W196" s="22">
        <f t="shared" si="23"/>
        <v>0</v>
      </c>
      <c r="X196" s="19">
        <f t="shared" si="24"/>
        <v>0</v>
      </c>
    </row>
    <row r="197" ht="15.75" customHeight="1">
      <c r="Q197" s="15">
        <f t="shared" si="17"/>
        <v>0</v>
      </c>
      <c r="W197" s="22">
        <f t="shared" si="23"/>
        <v>0</v>
      </c>
      <c r="X197" s="19">
        <f t="shared" si="24"/>
        <v>0</v>
      </c>
    </row>
    <row r="198" ht="15.75" customHeight="1">
      <c r="Q198" s="15">
        <f t="shared" si="17"/>
        <v>0</v>
      </c>
      <c r="W198" s="22">
        <f t="shared" si="23"/>
        <v>0</v>
      </c>
      <c r="X198" s="19">
        <f t="shared" si="24"/>
        <v>0</v>
      </c>
    </row>
    <row r="199" ht="15.75" customHeight="1">
      <c r="Q199" s="15">
        <f t="shared" si="17"/>
        <v>0</v>
      </c>
      <c r="W199" s="22">
        <f t="shared" si="23"/>
        <v>0</v>
      </c>
      <c r="X199" s="19">
        <f t="shared" si="24"/>
        <v>0</v>
      </c>
    </row>
    <row r="200" ht="15.75" customHeight="1">
      <c r="Q200" s="15">
        <f t="shared" si="17"/>
        <v>0</v>
      </c>
      <c r="W200" s="22">
        <f t="shared" si="23"/>
        <v>0</v>
      </c>
      <c r="X200" s="19">
        <f t="shared" si="24"/>
        <v>0</v>
      </c>
    </row>
    <row r="201" ht="15.75" customHeight="1">
      <c r="Q201" s="15">
        <f t="shared" si="17"/>
        <v>0</v>
      </c>
      <c r="W201" s="22">
        <f t="shared" si="23"/>
        <v>0</v>
      </c>
      <c r="X201" s="19">
        <f t="shared" si="24"/>
        <v>0</v>
      </c>
    </row>
    <row r="202" ht="15.75" customHeight="1">
      <c r="Q202" s="15">
        <f t="shared" si="17"/>
        <v>0</v>
      </c>
      <c r="W202" s="22">
        <f t="shared" si="23"/>
        <v>0</v>
      </c>
      <c r="X202" s="19">
        <f t="shared" si="24"/>
        <v>0</v>
      </c>
    </row>
    <row r="203" ht="15.75" customHeight="1">
      <c r="Q203" s="15">
        <f t="shared" si="17"/>
        <v>0</v>
      </c>
      <c r="W203" s="22">
        <f t="shared" si="23"/>
        <v>0</v>
      </c>
      <c r="X203" s="19">
        <f t="shared" si="24"/>
        <v>0</v>
      </c>
    </row>
    <row r="204" ht="15.75" customHeight="1">
      <c r="Q204" s="15">
        <f t="shared" si="17"/>
        <v>0</v>
      </c>
      <c r="W204" s="22">
        <f t="shared" si="23"/>
        <v>0</v>
      </c>
      <c r="X204" s="19">
        <f t="shared" si="24"/>
        <v>0</v>
      </c>
    </row>
    <row r="205" ht="15.75" customHeight="1">
      <c r="Q205" s="15">
        <f t="shared" si="17"/>
        <v>0</v>
      </c>
      <c r="W205" s="22">
        <f t="shared" si="23"/>
        <v>0</v>
      </c>
      <c r="X205" s="19">
        <f t="shared" si="24"/>
        <v>0</v>
      </c>
    </row>
    <row r="206" ht="15.75" customHeight="1">
      <c r="Q206" s="15">
        <f t="shared" si="17"/>
        <v>0</v>
      </c>
      <c r="W206" s="22">
        <f t="shared" si="23"/>
        <v>0</v>
      </c>
      <c r="X206" s="19">
        <f t="shared" si="24"/>
        <v>0</v>
      </c>
    </row>
    <row r="207" ht="15.75" customHeight="1">
      <c r="Q207" s="15">
        <f t="shared" si="17"/>
        <v>0</v>
      </c>
      <c r="W207" s="22">
        <f t="shared" si="23"/>
        <v>0</v>
      </c>
      <c r="X207" s="19">
        <f t="shared" si="24"/>
        <v>0</v>
      </c>
    </row>
    <row r="208" ht="15.75" customHeight="1">
      <c r="Q208" s="15">
        <f t="shared" si="17"/>
        <v>0</v>
      </c>
      <c r="W208" s="22">
        <f t="shared" si="23"/>
        <v>0</v>
      </c>
      <c r="X208" s="19">
        <f t="shared" si="24"/>
        <v>0</v>
      </c>
    </row>
    <row r="209" ht="15.75" customHeight="1">
      <c r="Q209" s="15">
        <f t="shared" si="17"/>
        <v>0</v>
      </c>
      <c r="W209" s="22">
        <f t="shared" si="23"/>
        <v>0</v>
      </c>
      <c r="X209" s="19">
        <f t="shared" si="24"/>
        <v>0</v>
      </c>
    </row>
    <row r="210" ht="15.75" customHeight="1">
      <c r="Q210" s="15">
        <f t="shared" si="17"/>
        <v>0</v>
      </c>
      <c r="W210" s="22">
        <f t="shared" si="23"/>
        <v>0</v>
      </c>
      <c r="X210" s="19">
        <f t="shared" si="24"/>
        <v>0</v>
      </c>
    </row>
    <row r="211" ht="15.75" customHeight="1">
      <c r="Q211" s="15">
        <f t="shared" si="17"/>
        <v>0</v>
      </c>
      <c r="W211" s="22">
        <f t="shared" si="23"/>
        <v>0</v>
      </c>
      <c r="X211" s="19">
        <f t="shared" si="24"/>
        <v>0</v>
      </c>
    </row>
    <row r="212" ht="15.75" customHeight="1">
      <c r="Q212" s="15">
        <f t="shared" si="17"/>
        <v>0</v>
      </c>
      <c r="W212" s="22">
        <f t="shared" si="23"/>
        <v>0</v>
      </c>
      <c r="X212" s="19">
        <f t="shared" si="24"/>
        <v>0</v>
      </c>
    </row>
    <row r="213" ht="15.75" customHeight="1">
      <c r="Q213" s="15">
        <f t="shared" si="17"/>
        <v>0</v>
      </c>
      <c r="W213" s="22">
        <f t="shared" si="23"/>
        <v>0</v>
      </c>
      <c r="X213" s="19">
        <f t="shared" si="24"/>
        <v>0</v>
      </c>
    </row>
    <row r="214" ht="15.75" customHeight="1">
      <c r="Q214" s="15">
        <f t="shared" si="17"/>
        <v>0</v>
      </c>
      <c r="W214" s="22">
        <f t="shared" si="23"/>
        <v>0</v>
      </c>
      <c r="X214" s="19">
        <f t="shared" si="24"/>
        <v>0</v>
      </c>
    </row>
    <row r="215" ht="15.75" customHeight="1">
      <c r="Q215" s="15">
        <f t="shared" si="17"/>
        <v>0</v>
      </c>
      <c r="W215" s="22">
        <f t="shared" si="23"/>
        <v>0</v>
      </c>
      <c r="X215" s="19">
        <f t="shared" si="24"/>
        <v>0</v>
      </c>
    </row>
    <row r="216" ht="15.75" customHeight="1">
      <c r="Q216" s="15">
        <f t="shared" si="17"/>
        <v>0</v>
      </c>
      <c r="W216" s="22">
        <f t="shared" si="23"/>
        <v>0</v>
      </c>
      <c r="X216" s="19">
        <f t="shared" si="24"/>
        <v>0</v>
      </c>
    </row>
    <row r="217" ht="15.75" customHeight="1">
      <c r="Q217" s="15">
        <f t="shared" si="17"/>
        <v>0</v>
      </c>
      <c r="W217" s="22">
        <f t="shared" si="23"/>
        <v>0</v>
      </c>
      <c r="X217" s="19">
        <f t="shared" si="24"/>
        <v>0</v>
      </c>
    </row>
    <row r="218" ht="15.75" customHeight="1">
      <c r="Q218" s="15">
        <f t="shared" si="17"/>
        <v>0</v>
      </c>
      <c r="W218" s="22">
        <f t="shared" si="23"/>
        <v>0</v>
      </c>
      <c r="X218" s="19">
        <f t="shared" si="24"/>
        <v>0</v>
      </c>
    </row>
    <row r="219" ht="15.75" customHeight="1">
      <c r="Q219" s="15">
        <f t="shared" si="17"/>
        <v>0</v>
      </c>
      <c r="W219" s="22">
        <f t="shared" si="23"/>
        <v>0</v>
      </c>
      <c r="X219" s="19">
        <f t="shared" si="24"/>
        <v>0</v>
      </c>
    </row>
    <row r="220" ht="15.75" customHeight="1">
      <c r="Q220" s="15">
        <f t="shared" si="17"/>
        <v>0</v>
      </c>
      <c r="W220" s="22">
        <f t="shared" si="23"/>
        <v>0</v>
      </c>
      <c r="X220" s="19">
        <f t="shared" si="24"/>
        <v>0</v>
      </c>
    </row>
    <row r="221" ht="15.75" customHeight="1">
      <c r="Q221" s="15">
        <f t="shared" si="17"/>
        <v>0</v>
      </c>
      <c r="W221" s="22">
        <f t="shared" si="23"/>
        <v>0</v>
      </c>
      <c r="X221" s="19">
        <f t="shared" si="24"/>
        <v>0</v>
      </c>
    </row>
    <row r="222" ht="15.75" customHeight="1">
      <c r="Q222" s="15">
        <f t="shared" si="17"/>
        <v>0</v>
      </c>
      <c r="W222" s="22">
        <f t="shared" si="23"/>
        <v>0</v>
      </c>
      <c r="X222" s="19">
        <f t="shared" si="24"/>
        <v>0</v>
      </c>
    </row>
    <row r="223" ht="15.75" customHeight="1">
      <c r="Q223" s="15">
        <f t="shared" si="17"/>
        <v>0</v>
      </c>
      <c r="W223" s="22">
        <f t="shared" si="23"/>
        <v>0</v>
      </c>
      <c r="X223" s="19">
        <f t="shared" si="24"/>
        <v>0</v>
      </c>
    </row>
    <row r="224" ht="15.75" customHeight="1">
      <c r="Q224" s="15">
        <f t="shared" si="17"/>
        <v>0</v>
      </c>
      <c r="W224" s="22">
        <f t="shared" si="23"/>
        <v>0</v>
      </c>
      <c r="X224" s="19">
        <f t="shared" si="24"/>
        <v>0</v>
      </c>
    </row>
    <row r="225" ht="15.75" customHeight="1">
      <c r="Q225" s="15">
        <f t="shared" si="17"/>
        <v>0</v>
      </c>
      <c r="W225" s="22">
        <f t="shared" si="23"/>
        <v>0</v>
      </c>
      <c r="X225" s="19">
        <f t="shared" si="24"/>
        <v>0</v>
      </c>
    </row>
    <row r="226" ht="15.75" customHeight="1">
      <c r="Q226" s="15">
        <f t="shared" si="17"/>
        <v>0</v>
      </c>
      <c r="W226" s="22">
        <f t="shared" si="23"/>
        <v>0</v>
      </c>
      <c r="X226" s="19">
        <f t="shared" si="24"/>
        <v>0</v>
      </c>
    </row>
    <row r="227" ht="15.75" customHeight="1">
      <c r="Q227" s="15">
        <f t="shared" si="17"/>
        <v>0</v>
      </c>
      <c r="W227" s="22">
        <f t="shared" si="23"/>
        <v>0</v>
      </c>
      <c r="X227" s="19">
        <f t="shared" si="24"/>
        <v>0</v>
      </c>
    </row>
    <row r="228" ht="15.75" customHeight="1">
      <c r="Q228" s="15">
        <f t="shared" si="17"/>
        <v>0</v>
      </c>
      <c r="W228" s="22">
        <f t="shared" si="23"/>
        <v>0</v>
      </c>
      <c r="X228" s="19">
        <f t="shared" si="24"/>
        <v>0</v>
      </c>
    </row>
    <row r="229" ht="15.75" customHeight="1">
      <c r="Q229" s="15">
        <f t="shared" si="17"/>
        <v>0</v>
      </c>
      <c r="W229" s="22">
        <f t="shared" si="23"/>
        <v>0</v>
      </c>
      <c r="X229" s="19">
        <f t="shared" si="24"/>
        <v>0</v>
      </c>
    </row>
    <row r="230" ht="15.75" customHeight="1">
      <c r="Q230" s="15">
        <f t="shared" si="17"/>
        <v>0</v>
      </c>
      <c r="W230" s="22">
        <f t="shared" si="23"/>
        <v>0</v>
      </c>
      <c r="X230" s="19">
        <f t="shared" si="24"/>
        <v>0</v>
      </c>
    </row>
    <row r="231" ht="15.75" customHeight="1">
      <c r="Q231" s="15">
        <f t="shared" si="17"/>
        <v>0</v>
      </c>
      <c r="W231" s="22">
        <f t="shared" si="23"/>
        <v>0</v>
      </c>
      <c r="X231" s="19">
        <f t="shared" si="24"/>
        <v>0</v>
      </c>
    </row>
    <row r="232" ht="15.75" customHeight="1">
      <c r="Q232" s="15">
        <f t="shared" si="17"/>
        <v>0</v>
      </c>
      <c r="W232" s="22">
        <f t="shared" si="23"/>
        <v>0</v>
      </c>
      <c r="X232" s="19">
        <f t="shared" si="24"/>
        <v>0</v>
      </c>
    </row>
    <row r="233" ht="15.75" customHeight="1">
      <c r="Q233" s="15">
        <f t="shared" si="17"/>
        <v>0</v>
      </c>
      <c r="W233" s="22">
        <f t="shared" si="23"/>
        <v>0</v>
      </c>
      <c r="X233" s="19">
        <f t="shared" si="24"/>
        <v>0</v>
      </c>
    </row>
    <row r="234" ht="15.75" customHeight="1">
      <c r="Q234" s="15">
        <f t="shared" si="17"/>
        <v>0</v>
      </c>
      <c r="W234" s="22">
        <f t="shared" si="23"/>
        <v>0</v>
      </c>
      <c r="X234" s="19">
        <f t="shared" si="24"/>
        <v>0</v>
      </c>
    </row>
    <row r="235" ht="15.75" customHeight="1">
      <c r="Q235" s="15">
        <f t="shared" si="17"/>
        <v>0</v>
      </c>
      <c r="W235" s="22">
        <f t="shared" si="23"/>
        <v>0</v>
      </c>
      <c r="X235" s="19">
        <f t="shared" si="24"/>
        <v>0</v>
      </c>
    </row>
    <row r="236" ht="15.75" customHeight="1">
      <c r="Q236" s="15">
        <f t="shared" si="17"/>
        <v>0</v>
      </c>
      <c r="W236" s="22">
        <f t="shared" si="23"/>
        <v>0</v>
      </c>
      <c r="X236" s="19">
        <f t="shared" si="24"/>
        <v>0</v>
      </c>
    </row>
    <row r="237" ht="15.75" customHeight="1">
      <c r="Q237" s="15">
        <f t="shared" si="17"/>
        <v>0</v>
      </c>
      <c r="W237" s="22">
        <f t="shared" si="23"/>
        <v>0</v>
      </c>
      <c r="X237" s="19">
        <f t="shared" si="24"/>
        <v>0</v>
      </c>
    </row>
    <row r="238" ht="15.75" customHeight="1">
      <c r="Q238" s="15">
        <f t="shared" si="17"/>
        <v>0</v>
      </c>
      <c r="W238" s="22">
        <f t="shared" si="23"/>
        <v>0</v>
      </c>
      <c r="X238" s="19">
        <f t="shared" si="24"/>
        <v>0</v>
      </c>
    </row>
    <row r="239" ht="15.75" customHeight="1">
      <c r="Q239" s="15">
        <f t="shared" si="17"/>
        <v>0</v>
      </c>
      <c r="W239" s="22">
        <f t="shared" si="23"/>
        <v>0</v>
      </c>
      <c r="X239" s="19">
        <f t="shared" si="24"/>
        <v>0</v>
      </c>
    </row>
    <row r="240" ht="15.75" customHeight="1">
      <c r="Q240" s="15">
        <f t="shared" si="17"/>
        <v>0</v>
      </c>
      <c r="W240" s="22">
        <f t="shared" si="23"/>
        <v>0</v>
      </c>
      <c r="X240" s="19">
        <f t="shared" si="24"/>
        <v>0</v>
      </c>
    </row>
    <row r="241" ht="15.75" customHeight="1">
      <c r="Q241" s="15">
        <f t="shared" si="17"/>
        <v>0</v>
      </c>
      <c r="W241" s="22">
        <f t="shared" si="23"/>
        <v>0</v>
      </c>
      <c r="X241" s="19">
        <f t="shared" si="24"/>
        <v>0</v>
      </c>
    </row>
    <row r="242" ht="15.75" customHeight="1">
      <c r="Q242" s="15">
        <f t="shared" si="17"/>
        <v>0</v>
      </c>
      <c r="W242" s="22">
        <f t="shared" si="23"/>
        <v>0</v>
      </c>
      <c r="X242" s="19">
        <f t="shared" si="24"/>
        <v>0</v>
      </c>
    </row>
    <row r="243" ht="15.75" customHeight="1">
      <c r="Q243" s="15">
        <f t="shared" si="17"/>
        <v>0</v>
      </c>
      <c r="W243" s="22">
        <f t="shared" si="23"/>
        <v>0</v>
      </c>
      <c r="X243" s="19">
        <f t="shared" si="24"/>
        <v>0</v>
      </c>
    </row>
    <row r="244" ht="15.75" customHeight="1">
      <c r="Q244" s="15">
        <f t="shared" si="17"/>
        <v>0</v>
      </c>
      <c r="W244" s="22">
        <f t="shared" si="23"/>
        <v>0</v>
      </c>
      <c r="X244" s="19">
        <f t="shared" si="24"/>
        <v>0</v>
      </c>
    </row>
    <row r="245" ht="15.75" customHeight="1">
      <c r="Q245" s="15">
        <f t="shared" si="17"/>
        <v>0</v>
      </c>
      <c r="W245" s="22">
        <f t="shared" si="23"/>
        <v>0</v>
      </c>
      <c r="X245" s="19">
        <f t="shared" si="24"/>
        <v>0</v>
      </c>
    </row>
    <row r="246" ht="15.75" customHeight="1">
      <c r="Q246" s="15">
        <f t="shared" si="17"/>
        <v>0</v>
      </c>
      <c r="W246" s="22">
        <f t="shared" si="23"/>
        <v>0</v>
      </c>
      <c r="X246" s="19">
        <f t="shared" si="24"/>
        <v>0</v>
      </c>
    </row>
    <row r="247" ht="15.75" customHeight="1">
      <c r="Q247" s="15">
        <f t="shared" si="17"/>
        <v>0</v>
      </c>
      <c r="W247" s="22">
        <f t="shared" si="23"/>
        <v>0</v>
      </c>
      <c r="X247" s="19">
        <f t="shared" si="24"/>
        <v>0</v>
      </c>
    </row>
    <row r="248" ht="15.75" customHeight="1">
      <c r="Q248" s="15">
        <f t="shared" si="17"/>
        <v>0</v>
      </c>
      <c r="W248" s="22">
        <f t="shared" si="23"/>
        <v>0</v>
      </c>
      <c r="X248" s="19">
        <f t="shared" si="24"/>
        <v>0</v>
      </c>
    </row>
    <row r="249" ht="15.75" customHeight="1">
      <c r="Q249" s="15">
        <f t="shared" si="17"/>
        <v>0</v>
      </c>
      <c r="W249" s="22">
        <f t="shared" si="23"/>
        <v>0</v>
      </c>
      <c r="X249" s="19">
        <f t="shared" si="24"/>
        <v>0</v>
      </c>
    </row>
    <row r="250" ht="15.75" customHeight="1">
      <c r="Q250" s="15">
        <f t="shared" si="17"/>
        <v>0</v>
      </c>
      <c r="W250" s="22">
        <f t="shared" si="23"/>
        <v>0</v>
      </c>
      <c r="X250" s="19">
        <f t="shared" si="24"/>
        <v>0</v>
      </c>
    </row>
    <row r="251" ht="15.75" customHeight="1">
      <c r="Q251" s="15">
        <f t="shared" si="17"/>
        <v>0</v>
      </c>
      <c r="W251" s="22">
        <f t="shared" si="23"/>
        <v>0</v>
      </c>
      <c r="X251" s="19">
        <f t="shared" si="24"/>
        <v>0</v>
      </c>
    </row>
    <row r="252" ht="15.75" customHeight="1">
      <c r="Q252" s="15">
        <f t="shared" si="17"/>
        <v>0</v>
      </c>
      <c r="W252" s="22">
        <f t="shared" si="23"/>
        <v>0</v>
      </c>
      <c r="X252" s="19">
        <f t="shared" si="24"/>
        <v>0</v>
      </c>
    </row>
    <row r="253" ht="15.75" customHeight="1">
      <c r="Q253" s="15">
        <f t="shared" si="17"/>
        <v>0</v>
      </c>
      <c r="W253" s="22">
        <f t="shared" si="23"/>
        <v>0</v>
      </c>
      <c r="X253" s="19">
        <f t="shared" si="24"/>
        <v>0</v>
      </c>
    </row>
    <row r="254" ht="15.75" customHeight="1">
      <c r="Q254" s="15">
        <f t="shared" si="17"/>
        <v>0</v>
      </c>
      <c r="W254" s="22">
        <f t="shared" si="23"/>
        <v>0</v>
      </c>
      <c r="X254" s="19">
        <f t="shared" si="24"/>
        <v>0</v>
      </c>
    </row>
    <row r="255" ht="15.75" customHeight="1">
      <c r="Q255" s="15">
        <f t="shared" si="17"/>
        <v>0</v>
      </c>
      <c r="W255" s="22">
        <f t="shared" si="23"/>
        <v>0</v>
      </c>
      <c r="X255" s="19">
        <f t="shared" si="24"/>
        <v>0</v>
      </c>
    </row>
    <row r="256" ht="15.75" customHeight="1">
      <c r="Q256" s="15">
        <f t="shared" si="17"/>
        <v>0</v>
      </c>
      <c r="W256" s="22">
        <f t="shared" si="23"/>
        <v>0</v>
      </c>
      <c r="X256" s="19">
        <f t="shared" si="24"/>
        <v>0</v>
      </c>
    </row>
    <row r="257" ht="15.75" customHeight="1">
      <c r="Q257" s="15">
        <f t="shared" si="17"/>
        <v>0</v>
      </c>
      <c r="W257" s="22">
        <f t="shared" si="23"/>
        <v>0</v>
      </c>
      <c r="X257" s="19">
        <f t="shared" si="24"/>
        <v>0</v>
      </c>
    </row>
    <row r="258" ht="15.75" customHeight="1">
      <c r="Q258" s="15">
        <f t="shared" si="17"/>
        <v>0</v>
      </c>
      <c r="W258" s="22">
        <f t="shared" si="23"/>
        <v>0</v>
      </c>
      <c r="X258" s="19">
        <f t="shared" si="24"/>
        <v>0</v>
      </c>
    </row>
    <row r="259" ht="15.75" customHeight="1">
      <c r="Q259" s="15">
        <f t="shared" si="17"/>
        <v>0</v>
      </c>
      <c r="W259" s="22">
        <f t="shared" si="23"/>
        <v>0</v>
      </c>
      <c r="X259" s="19">
        <f t="shared" si="24"/>
        <v>0</v>
      </c>
    </row>
    <row r="260" ht="15.75" customHeight="1">
      <c r="Q260" s="15">
        <f t="shared" si="17"/>
        <v>0</v>
      </c>
      <c r="W260" s="22">
        <f t="shared" si="23"/>
        <v>0</v>
      </c>
      <c r="X260" s="19">
        <f t="shared" si="24"/>
        <v>0</v>
      </c>
    </row>
    <row r="261" ht="15.75" customHeight="1">
      <c r="Q261" s="15">
        <f t="shared" si="17"/>
        <v>0</v>
      </c>
      <c r="W261" s="22">
        <f t="shared" si="23"/>
        <v>0</v>
      </c>
      <c r="X261" s="19">
        <f t="shared" si="24"/>
        <v>0</v>
      </c>
    </row>
    <row r="262" ht="15.75" customHeight="1">
      <c r="Q262" s="15">
        <f t="shared" si="17"/>
        <v>0</v>
      </c>
      <c r="W262" s="22">
        <f t="shared" si="23"/>
        <v>0</v>
      </c>
      <c r="X262" s="19">
        <f t="shared" si="24"/>
        <v>0</v>
      </c>
    </row>
    <row r="263" ht="15.75" customHeight="1">
      <c r="Q263" s="15">
        <f t="shared" si="17"/>
        <v>0</v>
      </c>
      <c r="W263" s="22">
        <f t="shared" si="23"/>
        <v>0</v>
      </c>
      <c r="X263" s="19">
        <f t="shared" si="24"/>
        <v>0</v>
      </c>
    </row>
    <row r="264" ht="15.75" customHeight="1">
      <c r="Q264" s="15">
        <f t="shared" si="17"/>
        <v>0</v>
      </c>
      <c r="W264" s="22">
        <f t="shared" si="23"/>
        <v>0</v>
      </c>
      <c r="X264" s="19">
        <f t="shared" si="24"/>
        <v>0</v>
      </c>
    </row>
    <row r="265" ht="15.75" customHeight="1">
      <c r="Q265" s="15">
        <f t="shared" si="17"/>
        <v>0</v>
      </c>
      <c r="W265" s="22">
        <f t="shared" si="23"/>
        <v>0</v>
      </c>
      <c r="X265" s="19">
        <f t="shared" si="24"/>
        <v>0</v>
      </c>
    </row>
    <row r="266" ht="15.75" customHeight="1">
      <c r="Q266" s="15">
        <f t="shared" si="17"/>
        <v>0</v>
      </c>
      <c r="W266" s="22">
        <f t="shared" si="23"/>
        <v>0</v>
      </c>
      <c r="X266" s="19">
        <f t="shared" si="24"/>
        <v>0</v>
      </c>
    </row>
    <row r="267" ht="15.75" customHeight="1">
      <c r="Q267" s="15">
        <f t="shared" si="17"/>
        <v>0</v>
      </c>
      <c r="W267" s="22">
        <f t="shared" si="23"/>
        <v>0</v>
      </c>
      <c r="X267" s="19">
        <f t="shared" si="24"/>
        <v>0</v>
      </c>
    </row>
    <row r="268" ht="15.75" customHeight="1">
      <c r="Q268" s="15">
        <f t="shared" si="17"/>
        <v>0</v>
      </c>
      <c r="W268" s="22">
        <f t="shared" si="23"/>
        <v>0</v>
      </c>
      <c r="X268" s="19">
        <f t="shared" si="24"/>
        <v>0</v>
      </c>
    </row>
    <row r="269" ht="15.75" customHeight="1">
      <c r="Q269" s="15">
        <f t="shared" si="17"/>
        <v>0</v>
      </c>
      <c r="W269" s="22">
        <f t="shared" si="23"/>
        <v>0</v>
      </c>
      <c r="X269" s="19">
        <f t="shared" si="24"/>
        <v>0</v>
      </c>
    </row>
    <row r="270" ht="15.75" customHeight="1">
      <c r="Q270" s="15">
        <f t="shared" si="17"/>
        <v>0</v>
      </c>
      <c r="W270" s="22">
        <f t="shared" si="23"/>
        <v>0</v>
      </c>
      <c r="X270" s="19">
        <f t="shared" si="24"/>
        <v>0</v>
      </c>
    </row>
    <row r="271" ht="15.75" customHeight="1">
      <c r="Q271" s="15">
        <f t="shared" si="17"/>
        <v>0</v>
      </c>
      <c r="W271" s="22">
        <f t="shared" si="23"/>
        <v>0</v>
      </c>
      <c r="X271" s="19">
        <f t="shared" si="24"/>
        <v>0</v>
      </c>
    </row>
    <row r="272" ht="15.75" customHeight="1">
      <c r="Q272" s="15">
        <f t="shared" si="17"/>
        <v>0</v>
      </c>
      <c r="W272" s="22">
        <f t="shared" si="23"/>
        <v>0</v>
      </c>
      <c r="X272" s="19">
        <f t="shared" si="24"/>
        <v>0</v>
      </c>
    </row>
    <row r="273" ht="15.75" customHeight="1">
      <c r="Q273" s="15">
        <f t="shared" si="17"/>
        <v>0</v>
      </c>
      <c r="W273" s="22">
        <f t="shared" si="23"/>
        <v>0</v>
      </c>
      <c r="X273" s="19">
        <f t="shared" si="24"/>
        <v>0</v>
      </c>
    </row>
    <row r="274" ht="15.75" customHeight="1">
      <c r="Q274" s="15">
        <f t="shared" si="17"/>
        <v>0</v>
      </c>
      <c r="W274" s="22">
        <f t="shared" si="23"/>
        <v>0</v>
      </c>
      <c r="X274" s="19">
        <f t="shared" si="24"/>
        <v>0</v>
      </c>
    </row>
    <row r="275" ht="15.75" customHeight="1">
      <c r="Q275" s="15">
        <f t="shared" si="17"/>
        <v>0</v>
      </c>
      <c r="W275" s="22">
        <f t="shared" si="23"/>
        <v>0</v>
      </c>
      <c r="X275" s="19">
        <f t="shared" si="24"/>
        <v>0</v>
      </c>
    </row>
    <row r="276" ht="15.75" customHeight="1">
      <c r="Q276" s="15">
        <f t="shared" si="17"/>
        <v>0</v>
      </c>
      <c r="W276" s="22">
        <f t="shared" si="23"/>
        <v>0</v>
      </c>
      <c r="X276" s="19">
        <f t="shared" si="24"/>
        <v>0</v>
      </c>
    </row>
    <row r="277" ht="15.75" customHeight="1">
      <c r="Q277" s="15">
        <f t="shared" si="17"/>
        <v>0</v>
      </c>
      <c r="W277" s="22">
        <f t="shared" si="23"/>
        <v>0</v>
      </c>
      <c r="X277" s="19">
        <f t="shared" si="24"/>
        <v>0</v>
      </c>
    </row>
    <row r="278" ht="15.75" customHeight="1">
      <c r="Q278" s="15">
        <f t="shared" si="17"/>
        <v>0</v>
      </c>
      <c r="W278" s="22">
        <f t="shared" si="23"/>
        <v>0</v>
      </c>
      <c r="X278" s="19">
        <f t="shared" si="24"/>
        <v>0</v>
      </c>
    </row>
    <row r="279" ht="15.75" customHeight="1">
      <c r="Q279" s="15">
        <f t="shared" si="17"/>
        <v>0</v>
      </c>
      <c r="W279" s="22">
        <f t="shared" si="23"/>
        <v>0</v>
      </c>
      <c r="X279" s="19">
        <f t="shared" si="24"/>
        <v>0</v>
      </c>
    </row>
    <row r="280" ht="15.75" customHeight="1">
      <c r="Q280" s="15">
        <f t="shared" si="17"/>
        <v>0</v>
      </c>
      <c r="W280" s="22">
        <f t="shared" si="23"/>
        <v>0</v>
      </c>
      <c r="X280" s="19">
        <f t="shared" si="24"/>
        <v>0</v>
      </c>
    </row>
    <row r="281" ht="15.75" customHeight="1">
      <c r="Q281" s="15">
        <f t="shared" si="17"/>
        <v>0</v>
      </c>
      <c r="W281" s="22">
        <f t="shared" si="23"/>
        <v>0</v>
      </c>
      <c r="X281" s="19">
        <f t="shared" si="24"/>
        <v>0</v>
      </c>
    </row>
    <row r="282" ht="15.75" customHeight="1">
      <c r="Q282" s="15">
        <f t="shared" si="17"/>
        <v>0</v>
      </c>
      <c r="W282" s="22">
        <f t="shared" si="23"/>
        <v>0</v>
      </c>
      <c r="X282" s="19">
        <f t="shared" si="24"/>
        <v>0</v>
      </c>
    </row>
    <row r="283" ht="15.75" customHeight="1">
      <c r="Q283" s="15">
        <f t="shared" si="17"/>
        <v>0</v>
      </c>
      <c r="W283" s="22">
        <f t="shared" si="23"/>
        <v>0</v>
      </c>
      <c r="X283" s="19">
        <f t="shared" si="24"/>
        <v>0</v>
      </c>
    </row>
    <row r="284" ht="15.75" customHeight="1">
      <c r="Q284" s="15">
        <f t="shared" si="17"/>
        <v>0</v>
      </c>
      <c r="W284" s="22">
        <f t="shared" si="23"/>
        <v>0</v>
      </c>
      <c r="X284" s="19">
        <f t="shared" si="24"/>
        <v>0</v>
      </c>
    </row>
    <row r="285" ht="15.75" customHeight="1">
      <c r="Q285" s="15">
        <f t="shared" si="17"/>
        <v>0</v>
      </c>
      <c r="W285" s="22">
        <f t="shared" si="23"/>
        <v>0</v>
      </c>
      <c r="X285" s="19">
        <f t="shared" si="24"/>
        <v>0</v>
      </c>
    </row>
    <row r="286" ht="15.75" customHeight="1">
      <c r="Q286" s="15">
        <f t="shared" si="17"/>
        <v>0</v>
      </c>
      <c r="W286" s="22">
        <f t="shared" si="23"/>
        <v>0</v>
      </c>
      <c r="X286" s="19">
        <f t="shared" si="24"/>
        <v>0</v>
      </c>
    </row>
    <row r="287" ht="15.75" customHeight="1">
      <c r="Q287" s="15">
        <f t="shared" si="17"/>
        <v>0</v>
      </c>
      <c r="W287" s="22">
        <f t="shared" si="23"/>
        <v>0</v>
      </c>
      <c r="X287" s="19">
        <f t="shared" si="24"/>
        <v>0</v>
      </c>
    </row>
    <row r="288" ht="15.75" customHeight="1">
      <c r="Q288" s="15">
        <f t="shared" si="17"/>
        <v>0</v>
      </c>
      <c r="W288" s="22">
        <f t="shared" si="23"/>
        <v>0</v>
      </c>
      <c r="X288" s="19">
        <f t="shared" si="24"/>
        <v>0</v>
      </c>
    </row>
    <row r="289" ht="15.75" customHeight="1">
      <c r="Q289" s="15">
        <f t="shared" si="17"/>
        <v>0</v>
      </c>
      <c r="W289" s="22">
        <f t="shared" si="23"/>
        <v>0</v>
      </c>
      <c r="X289" s="19">
        <f t="shared" si="24"/>
        <v>0</v>
      </c>
    </row>
    <row r="290" ht="15.75" customHeight="1">
      <c r="Q290" s="15">
        <f t="shared" si="17"/>
        <v>0</v>
      </c>
      <c r="W290" s="22">
        <f t="shared" si="23"/>
        <v>0</v>
      </c>
      <c r="X290" s="19">
        <f t="shared" si="24"/>
        <v>0</v>
      </c>
    </row>
    <row r="291" ht="15.75" customHeight="1">
      <c r="Q291" s="15">
        <f t="shared" si="17"/>
        <v>0</v>
      </c>
      <c r="W291" s="22">
        <f t="shared" si="23"/>
        <v>0</v>
      </c>
      <c r="X291" s="19">
        <f t="shared" si="24"/>
        <v>0</v>
      </c>
    </row>
    <row r="292" ht="15.75" customHeight="1">
      <c r="Q292" s="15">
        <f t="shared" si="17"/>
        <v>0</v>
      </c>
      <c r="W292" s="22">
        <f t="shared" si="23"/>
        <v>0</v>
      </c>
      <c r="X292" s="19">
        <f t="shared" si="24"/>
        <v>0</v>
      </c>
    </row>
    <row r="293" ht="15.75" customHeight="1">
      <c r="Q293" s="15">
        <f t="shared" si="17"/>
        <v>0</v>
      </c>
      <c r="W293" s="22">
        <f t="shared" si="23"/>
        <v>0</v>
      </c>
      <c r="X293" s="19">
        <f t="shared" si="24"/>
        <v>0</v>
      </c>
    </row>
    <row r="294" ht="15.75" customHeight="1">
      <c r="Q294" s="15">
        <f t="shared" si="17"/>
        <v>0</v>
      </c>
      <c r="W294" s="22">
        <f t="shared" si="23"/>
        <v>0</v>
      </c>
      <c r="X294" s="19">
        <f t="shared" si="24"/>
        <v>0</v>
      </c>
    </row>
    <row r="295" ht="15.75" customHeight="1">
      <c r="Q295" s="15">
        <f t="shared" si="17"/>
        <v>0</v>
      </c>
      <c r="W295" s="22">
        <f t="shared" si="23"/>
        <v>0</v>
      </c>
      <c r="X295" s="19">
        <f t="shared" si="24"/>
        <v>0</v>
      </c>
    </row>
    <row r="296" ht="15.75" customHeight="1">
      <c r="Q296" s="15">
        <f t="shared" si="17"/>
        <v>0</v>
      </c>
      <c r="W296" s="22">
        <f t="shared" si="23"/>
        <v>0</v>
      </c>
      <c r="X296" s="19">
        <f t="shared" si="24"/>
        <v>0</v>
      </c>
    </row>
    <row r="297" ht="15.75" customHeight="1">
      <c r="Q297" s="15">
        <f t="shared" si="17"/>
        <v>0</v>
      </c>
      <c r="W297" s="22">
        <f t="shared" si="23"/>
        <v>0</v>
      </c>
      <c r="X297" s="19">
        <f t="shared" si="24"/>
        <v>0</v>
      </c>
    </row>
    <row r="298" ht="15.75" customHeight="1">
      <c r="Q298" s="15">
        <f t="shared" si="17"/>
        <v>0</v>
      </c>
      <c r="W298" s="22">
        <f t="shared" si="23"/>
        <v>0</v>
      </c>
      <c r="X298" s="19">
        <f t="shared" si="24"/>
        <v>0</v>
      </c>
    </row>
    <row r="299" ht="15.75" customHeight="1">
      <c r="Q299" s="15">
        <f t="shared" si="17"/>
        <v>0</v>
      </c>
      <c r="W299" s="22">
        <f t="shared" si="23"/>
        <v>0</v>
      </c>
      <c r="X299" s="19">
        <f t="shared" si="24"/>
        <v>0</v>
      </c>
    </row>
    <row r="300" ht="15.75" customHeight="1">
      <c r="Q300" s="15">
        <f t="shared" si="17"/>
        <v>0</v>
      </c>
      <c r="W300" s="22">
        <f t="shared" si="23"/>
        <v>0</v>
      </c>
      <c r="X300" s="19">
        <f t="shared" si="24"/>
        <v>0</v>
      </c>
    </row>
    <row r="301" ht="15.75" customHeight="1">
      <c r="Q301" s="15">
        <f t="shared" si="17"/>
        <v>0</v>
      </c>
      <c r="W301" s="22">
        <f t="shared" si="23"/>
        <v>0</v>
      </c>
      <c r="X301" s="19">
        <f t="shared" si="24"/>
        <v>0</v>
      </c>
    </row>
    <row r="302" ht="15.75" customHeight="1">
      <c r="Q302" s="15">
        <f t="shared" si="17"/>
        <v>0</v>
      </c>
      <c r="W302" s="22">
        <f t="shared" si="23"/>
        <v>0</v>
      </c>
      <c r="X302" s="19">
        <f t="shared" si="24"/>
        <v>0</v>
      </c>
    </row>
    <row r="303" ht="15.75" customHeight="1">
      <c r="Q303" s="15">
        <f t="shared" si="17"/>
        <v>0</v>
      </c>
      <c r="W303" s="22">
        <f t="shared" si="23"/>
        <v>0</v>
      </c>
      <c r="X303" s="19">
        <f t="shared" si="24"/>
        <v>0</v>
      </c>
    </row>
    <row r="304" ht="15.75" customHeight="1">
      <c r="Q304" s="15">
        <f t="shared" si="17"/>
        <v>0</v>
      </c>
      <c r="W304" s="22">
        <f t="shared" si="23"/>
        <v>0</v>
      </c>
      <c r="X304" s="19">
        <f t="shared" si="24"/>
        <v>0</v>
      </c>
    </row>
    <row r="305" ht="15.75" customHeight="1">
      <c r="Q305" s="15">
        <f t="shared" si="17"/>
        <v>0</v>
      </c>
      <c r="W305" s="22">
        <f t="shared" si="23"/>
        <v>0</v>
      </c>
      <c r="X305" s="19">
        <f t="shared" si="24"/>
        <v>0</v>
      </c>
    </row>
    <row r="306" ht="15.75" customHeight="1">
      <c r="Q306" s="15">
        <f t="shared" si="17"/>
        <v>0</v>
      </c>
      <c r="W306" s="22">
        <f t="shared" si="23"/>
        <v>0</v>
      </c>
      <c r="X306" s="19">
        <f t="shared" si="24"/>
        <v>0</v>
      </c>
    </row>
    <row r="307" ht="15.75" customHeight="1">
      <c r="Q307" s="15">
        <f t="shared" si="17"/>
        <v>0</v>
      </c>
      <c r="W307" s="22">
        <f t="shared" si="23"/>
        <v>0</v>
      </c>
      <c r="X307" s="19">
        <f t="shared" si="24"/>
        <v>0</v>
      </c>
    </row>
    <row r="308" ht="15.75" customHeight="1">
      <c r="Q308" s="15">
        <f t="shared" si="17"/>
        <v>0</v>
      </c>
      <c r="W308" s="22">
        <f t="shared" si="23"/>
        <v>0</v>
      </c>
      <c r="X308" s="19">
        <f t="shared" si="24"/>
        <v>0</v>
      </c>
    </row>
    <row r="309" ht="15.75" customHeight="1">
      <c r="Q309" s="15">
        <f t="shared" si="17"/>
        <v>0</v>
      </c>
      <c r="W309" s="22">
        <f t="shared" si="23"/>
        <v>0</v>
      </c>
      <c r="X309" s="19">
        <f t="shared" si="24"/>
        <v>0</v>
      </c>
    </row>
    <row r="310" ht="15.75" customHeight="1">
      <c r="Q310" s="15">
        <f t="shared" si="17"/>
        <v>0</v>
      </c>
      <c r="W310" s="22">
        <f t="shared" si="23"/>
        <v>0</v>
      </c>
      <c r="X310" s="19">
        <f t="shared" si="24"/>
        <v>0</v>
      </c>
    </row>
    <row r="311" ht="15.75" customHeight="1">
      <c r="Q311" s="15">
        <f t="shared" si="17"/>
        <v>0</v>
      </c>
      <c r="W311" s="22">
        <f t="shared" si="23"/>
        <v>0</v>
      </c>
      <c r="X311" s="19">
        <f t="shared" si="24"/>
        <v>0</v>
      </c>
    </row>
    <row r="312" ht="15.75" customHeight="1">
      <c r="Q312" s="15">
        <f t="shared" si="17"/>
        <v>0</v>
      </c>
      <c r="W312" s="22">
        <f t="shared" si="23"/>
        <v>0</v>
      </c>
      <c r="X312" s="19">
        <f t="shared" si="24"/>
        <v>0</v>
      </c>
    </row>
    <row r="313" ht="15.75" customHeight="1">
      <c r="Q313" s="15">
        <f t="shared" si="17"/>
        <v>0</v>
      </c>
      <c r="W313" s="22">
        <f t="shared" si="23"/>
        <v>0</v>
      </c>
      <c r="X313" s="19">
        <f t="shared" si="24"/>
        <v>0</v>
      </c>
    </row>
    <row r="314" ht="15.75" customHeight="1">
      <c r="Q314" s="15">
        <f t="shared" si="17"/>
        <v>0</v>
      </c>
      <c r="W314" s="22">
        <f t="shared" si="23"/>
        <v>0</v>
      </c>
      <c r="X314" s="19">
        <f t="shared" si="24"/>
        <v>0</v>
      </c>
    </row>
    <row r="315" ht="15.75" customHeight="1">
      <c r="Q315" s="15">
        <f t="shared" si="17"/>
        <v>0</v>
      </c>
      <c r="W315" s="22">
        <f t="shared" si="23"/>
        <v>0</v>
      </c>
      <c r="X315" s="19">
        <f t="shared" si="24"/>
        <v>0</v>
      </c>
    </row>
    <row r="316" ht="15.75" customHeight="1">
      <c r="Q316" s="15">
        <f t="shared" si="17"/>
        <v>0</v>
      </c>
      <c r="W316" s="22">
        <f t="shared" si="23"/>
        <v>0</v>
      </c>
      <c r="X316" s="19">
        <f t="shared" si="24"/>
        <v>0</v>
      </c>
    </row>
    <row r="317" ht="15.75" customHeight="1">
      <c r="Q317" s="15">
        <f t="shared" si="17"/>
        <v>0</v>
      </c>
      <c r="W317" s="22">
        <f t="shared" si="23"/>
        <v>0</v>
      </c>
      <c r="X317" s="19">
        <f t="shared" si="24"/>
        <v>0</v>
      </c>
    </row>
    <row r="318" ht="15.75" customHeight="1">
      <c r="Q318" s="15">
        <f t="shared" si="17"/>
        <v>0</v>
      </c>
      <c r="W318" s="22">
        <f t="shared" si="23"/>
        <v>0</v>
      </c>
      <c r="X318" s="19">
        <f t="shared" si="24"/>
        <v>0</v>
      </c>
    </row>
    <row r="319" ht="15.75" customHeight="1">
      <c r="Q319" s="15">
        <f t="shared" si="17"/>
        <v>0</v>
      </c>
      <c r="W319" s="22">
        <f t="shared" si="23"/>
        <v>0</v>
      </c>
      <c r="X319" s="19">
        <f t="shared" si="24"/>
        <v>0</v>
      </c>
    </row>
    <row r="320" ht="15.75" customHeight="1">
      <c r="Q320" s="15">
        <f t="shared" si="17"/>
        <v>0</v>
      </c>
      <c r="W320" s="22">
        <f t="shared" si="23"/>
        <v>0</v>
      </c>
      <c r="X320" s="19">
        <f t="shared" si="24"/>
        <v>0</v>
      </c>
    </row>
    <row r="321" ht="15.75" customHeight="1">
      <c r="Q321" s="15">
        <f t="shared" si="17"/>
        <v>0</v>
      </c>
      <c r="W321" s="22">
        <f t="shared" si="23"/>
        <v>0</v>
      </c>
      <c r="X321" s="19">
        <f t="shared" si="24"/>
        <v>0</v>
      </c>
    </row>
    <row r="322" ht="15.75" customHeight="1">
      <c r="Q322" s="15">
        <f t="shared" si="17"/>
        <v>0</v>
      </c>
      <c r="W322" s="22">
        <f t="shared" si="23"/>
        <v>0</v>
      </c>
      <c r="X322" s="19">
        <f t="shared" si="24"/>
        <v>0</v>
      </c>
    </row>
    <row r="323" ht="15.75" customHeight="1">
      <c r="Q323" s="15">
        <f t="shared" si="17"/>
        <v>0</v>
      </c>
      <c r="W323" s="22">
        <f t="shared" si="23"/>
        <v>0</v>
      </c>
      <c r="X323" s="19">
        <f t="shared" si="24"/>
        <v>0</v>
      </c>
    </row>
    <row r="324" ht="15.75" customHeight="1">
      <c r="Q324" s="15">
        <f t="shared" si="17"/>
        <v>0</v>
      </c>
      <c r="W324" s="22">
        <f t="shared" si="23"/>
        <v>0</v>
      </c>
      <c r="X324" s="19">
        <f t="shared" si="24"/>
        <v>0</v>
      </c>
    </row>
    <row r="325" ht="15.75" customHeight="1">
      <c r="Q325" s="15">
        <f t="shared" si="17"/>
        <v>0</v>
      </c>
      <c r="W325" s="22">
        <f t="shared" si="23"/>
        <v>0</v>
      </c>
      <c r="X325" s="19">
        <f t="shared" si="24"/>
        <v>0</v>
      </c>
    </row>
    <row r="326" ht="15.75" customHeight="1">
      <c r="Q326" s="15">
        <f t="shared" si="17"/>
        <v>0</v>
      </c>
      <c r="W326" s="22">
        <f t="shared" si="23"/>
        <v>0</v>
      </c>
      <c r="X326" s="19">
        <f t="shared" si="24"/>
        <v>0</v>
      </c>
    </row>
    <row r="327" ht="15.75" customHeight="1">
      <c r="Q327" s="15">
        <f t="shared" si="17"/>
        <v>0</v>
      </c>
      <c r="W327" s="22">
        <f t="shared" si="23"/>
        <v>0</v>
      </c>
      <c r="X327" s="19">
        <f t="shared" si="24"/>
        <v>0</v>
      </c>
    </row>
    <row r="328" ht="15.75" customHeight="1">
      <c r="Q328" s="15">
        <f t="shared" si="17"/>
        <v>0</v>
      </c>
      <c r="W328" s="22">
        <f t="shared" si="23"/>
        <v>0</v>
      </c>
      <c r="X328" s="19">
        <f t="shared" si="24"/>
        <v>0</v>
      </c>
    </row>
    <row r="329" ht="15.75" customHeight="1">
      <c r="Q329" s="15">
        <f t="shared" si="17"/>
        <v>0</v>
      </c>
      <c r="W329" s="22">
        <f t="shared" si="23"/>
        <v>0</v>
      </c>
      <c r="X329" s="19">
        <f t="shared" si="24"/>
        <v>0</v>
      </c>
    </row>
    <row r="330" ht="15.75" customHeight="1">
      <c r="Q330" s="15">
        <f t="shared" si="17"/>
        <v>0</v>
      </c>
      <c r="W330" s="22">
        <f t="shared" si="23"/>
        <v>0</v>
      </c>
      <c r="X330" s="19">
        <f t="shared" si="24"/>
        <v>0</v>
      </c>
    </row>
    <row r="331" ht="15.75" customHeight="1">
      <c r="Q331" s="15">
        <f t="shared" si="17"/>
        <v>0</v>
      </c>
      <c r="W331" s="22">
        <f t="shared" si="23"/>
        <v>0</v>
      </c>
      <c r="X331" s="19">
        <f t="shared" si="24"/>
        <v>0</v>
      </c>
    </row>
    <row r="332" ht="15.75" customHeight="1">
      <c r="Q332" s="15">
        <f t="shared" si="17"/>
        <v>0</v>
      </c>
      <c r="W332" s="22">
        <f t="shared" si="23"/>
        <v>0</v>
      </c>
      <c r="X332" s="19">
        <f t="shared" si="24"/>
        <v>0</v>
      </c>
    </row>
    <row r="333" ht="15.75" customHeight="1">
      <c r="Q333" s="15">
        <f t="shared" si="17"/>
        <v>0</v>
      </c>
      <c r="W333" s="22">
        <f t="shared" si="23"/>
        <v>0</v>
      </c>
      <c r="X333" s="19">
        <f t="shared" si="24"/>
        <v>0</v>
      </c>
    </row>
    <row r="334" ht="15.75" customHeight="1">
      <c r="Q334" s="15">
        <f t="shared" si="17"/>
        <v>0</v>
      </c>
      <c r="W334" s="22">
        <f t="shared" si="23"/>
        <v>0</v>
      </c>
      <c r="X334" s="19">
        <f t="shared" si="24"/>
        <v>0</v>
      </c>
    </row>
    <row r="335" ht="15.75" customHeight="1">
      <c r="Q335" s="15">
        <f t="shared" si="17"/>
        <v>0</v>
      </c>
      <c r="W335" s="22">
        <f t="shared" si="23"/>
        <v>0</v>
      </c>
      <c r="X335" s="19">
        <f t="shared" si="24"/>
        <v>0</v>
      </c>
    </row>
    <row r="336" ht="15.75" customHeight="1">
      <c r="Q336" s="15">
        <f t="shared" si="17"/>
        <v>0</v>
      </c>
      <c r="W336" s="22">
        <f t="shared" si="23"/>
        <v>0</v>
      </c>
      <c r="X336" s="19">
        <f t="shared" si="24"/>
        <v>0</v>
      </c>
    </row>
    <row r="337" ht="15.75" customHeight="1">
      <c r="Q337" s="15">
        <f t="shared" si="17"/>
        <v>0</v>
      </c>
      <c r="W337" s="22">
        <f t="shared" si="23"/>
        <v>0</v>
      </c>
      <c r="X337" s="19">
        <f t="shared" si="24"/>
        <v>0</v>
      </c>
    </row>
    <row r="338" ht="15.75" customHeight="1">
      <c r="Q338" s="15">
        <f t="shared" si="17"/>
        <v>0</v>
      </c>
      <c r="W338" s="22">
        <f t="shared" si="23"/>
        <v>0</v>
      </c>
      <c r="X338" s="19">
        <f t="shared" si="24"/>
        <v>0</v>
      </c>
    </row>
    <row r="339" ht="15.75" customHeight="1">
      <c r="Q339" s="15">
        <f t="shared" si="17"/>
        <v>0</v>
      </c>
      <c r="W339" s="22">
        <f t="shared" si="23"/>
        <v>0</v>
      </c>
      <c r="X339" s="19">
        <f t="shared" si="24"/>
        <v>0</v>
      </c>
    </row>
    <row r="340" ht="15.75" customHeight="1">
      <c r="Q340" s="15">
        <f t="shared" si="17"/>
        <v>0</v>
      </c>
      <c r="W340" s="22">
        <f t="shared" si="23"/>
        <v>0</v>
      </c>
      <c r="X340" s="19">
        <f t="shared" si="24"/>
        <v>0</v>
      </c>
    </row>
    <row r="341" ht="15.75" customHeight="1">
      <c r="Q341" s="15">
        <f t="shared" si="17"/>
        <v>0</v>
      </c>
      <c r="W341" s="22">
        <f t="shared" si="23"/>
        <v>0</v>
      </c>
      <c r="X341" s="19">
        <f t="shared" si="24"/>
        <v>0</v>
      </c>
    </row>
    <row r="342" ht="15.75" customHeight="1">
      <c r="Q342" s="15">
        <f t="shared" si="17"/>
        <v>0</v>
      </c>
      <c r="W342" s="22">
        <f t="shared" si="23"/>
        <v>0</v>
      </c>
      <c r="X342" s="19">
        <f t="shared" si="24"/>
        <v>0</v>
      </c>
    </row>
    <row r="343" ht="15.75" customHeight="1">
      <c r="Q343" s="15">
        <f t="shared" si="17"/>
        <v>0</v>
      </c>
      <c r="W343" s="22">
        <f t="shared" si="23"/>
        <v>0</v>
      </c>
      <c r="X343" s="19">
        <f t="shared" si="24"/>
        <v>0</v>
      </c>
    </row>
    <row r="344" ht="15.75" customHeight="1">
      <c r="Q344" s="15">
        <f t="shared" si="17"/>
        <v>0</v>
      </c>
      <c r="W344" s="22">
        <f t="shared" si="23"/>
        <v>0</v>
      </c>
      <c r="X344" s="19">
        <f t="shared" si="24"/>
        <v>0</v>
      </c>
    </row>
    <row r="345" ht="15.75" customHeight="1">
      <c r="Q345" s="15">
        <f t="shared" si="17"/>
        <v>0</v>
      </c>
      <c r="W345" s="22">
        <f t="shared" si="23"/>
        <v>0</v>
      </c>
      <c r="X345" s="19">
        <f t="shared" si="24"/>
        <v>0</v>
      </c>
    </row>
    <row r="346" ht="15.75" customHeight="1">
      <c r="Q346" s="15">
        <f t="shared" si="17"/>
        <v>0</v>
      </c>
      <c r="W346" s="22">
        <f t="shared" si="23"/>
        <v>0</v>
      </c>
      <c r="X346" s="19">
        <f t="shared" si="24"/>
        <v>0</v>
      </c>
    </row>
    <row r="347" ht="15.75" customHeight="1">
      <c r="Q347" s="15">
        <f t="shared" si="17"/>
        <v>0</v>
      </c>
      <c r="W347" s="22">
        <f t="shared" si="23"/>
        <v>0</v>
      </c>
      <c r="X347" s="19">
        <f t="shared" si="24"/>
        <v>0</v>
      </c>
    </row>
    <row r="348" ht="15.75" customHeight="1">
      <c r="Q348" s="15">
        <f t="shared" si="17"/>
        <v>0</v>
      </c>
      <c r="W348" s="22">
        <f t="shared" si="23"/>
        <v>0</v>
      </c>
      <c r="X348" s="19">
        <f t="shared" si="24"/>
        <v>0</v>
      </c>
    </row>
    <row r="349" ht="15.75" customHeight="1">
      <c r="Q349" s="15">
        <f t="shared" si="17"/>
        <v>0</v>
      </c>
      <c r="W349" s="22">
        <f t="shared" si="23"/>
        <v>0</v>
      </c>
      <c r="X349" s="19">
        <f t="shared" si="24"/>
        <v>0</v>
      </c>
    </row>
    <row r="350" ht="15.75" customHeight="1">
      <c r="Q350" s="15">
        <f t="shared" si="17"/>
        <v>0</v>
      </c>
      <c r="W350" s="22">
        <f t="shared" si="23"/>
        <v>0</v>
      </c>
      <c r="X350" s="19">
        <f t="shared" si="24"/>
        <v>0</v>
      </c>
    </row>
    <row r="351" ht="15.75" customHeight="1">
      <c r="Q351" s="15">
        <f t="shared" si="17"/>
        <v>0</v>
      </c>
      <c r="W351" s="22">
        <f t="shared" si="23"/>
        <v>0</v>
      </c>
      <c r="X351" s="19">
        <f t="shared" si="24"/>
        <v>0</v>
      </c>
    </row>
    <row r="352" ht="15.75" customHeight="1">
      <c r="Q352" s="15">
        <f t="shared" si="17"/>
        <v>0</v>
      </c>
      <c r="W352" s="22">
        <f t="shared" si="23"/>
        <v>0</v>
      </c>
      <c r="X352" s="19">
        <f t="shared" si="24"/>
        <v>0</v>
      </c>
    </row>
    <row r="353" ht="15.75" customHeight="1">
      <c r="Q353" s="15">
        <f t="shared" si="17"/>
        <v>0</v>
      </c>
      <c r="W353" s="22">
        <f t="shared" si="23"/>
        <v>0</v>
      </c>
      <c r="X353" s="19">
        <f t="shared" si="24"/>
        <v>0</v>
      </c>
    </row>
    <row r="354" ht="15.75" customHeight="1">
      <c r="Q354" s="15">
        <f t="shared" si="17"/>
        <v>0</v>
      </c>
      <c r="W354" s="22">
        <f t="shared" si="23"/>
        <v>0</v>
      </c>
      <c r="X354" s="19">
        <f t="shared" si="24"/>
        <v>0</v>
      </c>
    </row>
    <row r="355" ht="15.75" customHeight="1">
      <c r="Q355" s="15">
        <f t="shared" si="17"/>
        <v>0</v>
      </c>
      <c r="W355" s="22">
        <f t="shared" si="23"/>
        <v>0</v>
      </c>
      <c r="X355" s="19">
        <f t="shared" si="24"/>
        <v>0</v>
      </c>
    </row>
    <row r="356" ht="15.75" customHeight="1">
      <c r="Q356" s="15">
        <f t="shared" si="17"/>
        <v>0</v>
      </c>
      <c r="W356" s="22">
        <f t="shared" si="23"/>
        <v>0</v>
      </c>
      <c r="X356" s="19">
        <f t="shared" si="24"/>
        <v>0</v>
      </c>
    </row>
    <row r="357" ht="15.75" customHeight="1">
      <c r="Q357" s="15">
        <f t="shared" si="17"/>
        <v>0</v>
      </c>
      <c r="W357" s="22">
        <f t="shared" si="23"/>
        <v>0</v>
      </c>
      <c r="X357" s="19">
        <f t="shared" si="24"/>
        <v>0</v>
      </c>
    </row>
    <row r="358" ht="15.75" customHeight="1">
      <c r="Q358" s="15">
        <f t="shared" si="17"/>
        <v>0</v>
      </c>
      <c r="W358" s="22">
        <f t="shared" si="23"/>
        <v>0</v>
      </c>
      <c r="X358" s="19">
        <f t="shared" si="24"/>
        <v>0</v>
      </c>
    </row>
    <row r="359" ht="15.75" customHeight="1">
      <c r="Q359" s="15">
        <f t="shared" si="17"/>
        <v>0</v>
      </c>
      <c r="W359" s="22">
        <f t="shared" si="23"/>
        <v>0</v>
      </c>
      <c r="X359" s="19">
        <f t="shared" si="24"/>
        <v>0</v>
      </c>
    </row>
    <row r="360" ht="15.75" customHeight="1">
      <c r="Q360" s="15">
        <f t="shared" si="17"/>
        <v>0</v>
      </c>
      <c r="W360" s="22">
        <f t="shared" si="23"/>
        <v>0</v>
      </c>
      <c r="X360" s="19">
        <f t="shared" si="24"/>
        <v>0</v>
      </c>
    </row>
    <row r="361" ht="15.75" customHeight="1">
      <c r="Q361" s="15">
        <f t="shared" si="17"/>
        <v>0</v>
      </c>
      <c r="W361" s="22">
        <f t="shared" si="23"/>
        <v>0</v>
      </c>
      <c r="X361" s="19">
        <f t="shared" si="24"/>
        <v>0</v>
      </c>
    </row>
    <row r="362" ht="15.75" customHeight="1">
      <c r="Q362" s="15">
        <f t="shared" si="17"/>
        <v>0</v>
      </c>
      <c r="W362" s="22">
        <f t="shared" si="23"/>
        <v>0</v>
      </c>
      <c r="X362" s="19">
        <f t="shared" si="24"/>
        <v>0</v>
      </c>
    </row>
    <row r="363" ht="15.75" customHeight="1">
      <c r="Q363" s="15">
        <f t="shared" si="17"/>
        <v>0</v>
      </c>
      <c r="W363" s="22">
        <f t="shared" si="23"/>
        <v>0</v>
      </c>
      <c r="X363" s="19">
        <f t="shared" si="24"/>
        <v>0</v>
      </c>
    </row>
    <row r="364" ht="15.75" customHeight="1">
      <c r="Q364" s="15">
        <f t="shared" si="17"/>
        <v>0</v>
      </c>
      <c r="W364" s="22">
        <f t="shared" si="23"/>
        <v>0</v>
      </c>
      <c r="X364" s="19">
        <f t="shared" si="24"/>
        <v>0</v>
      </c>
    </row>
    <row r="365" ht="15.75" customHeight="1">
      <c r="Q365" s="15">
        <f t="shared" si="17"/>
        <v>0</v>
      </c>
      <c r="W365" s="22">
        <f t="shared" si="23"/>
        <v>0</v>
      </c>
      <c r="X365" s="19">
        <f t="shared" si="24"/>
        <v>0</v>
      </c>
    </row>
    <row r="366" ht="15.75" customHeight="1">
      <c r="Q366" s="15">
        <f t="shared" si="17"/>
        <v>0</v>
      </c>
      <c r="W366" s="22">
        <f t="shared" si="23"/>
        <v>0</v>
      </c>
      <c r="X366" s="19">
        <f t="shared" si="24"/>
        <v>0</v>
      </c>
    </row>
    <row r="367" ht="15.75" customHeight="1">
      <c r="Q367" s="15">
        <f t="shared" si="17"/>
        <v>0</v>
      </c>
      <c r="W367" s="22">
        <f t="shared" si="23"/>
        <v>0</v>
      </c>
      <c r="X367" s="19">
        <f t="shared" si="24"/>
        <v>0</v>
      </c>
    </row>
    <row r="368" ht="15.75" customHeight="1">
      <c r="Q368" s="15">
        <f t="shared" si="17"/>
        <v>0</v>
      </c>
      <c r="W368" s="22">
        <f t="shared" si="23"/>
        <v>0</v>
      </c>
      <c r="X368" s="19">
        <f t="shared" si="24"/>
        <v>0</v>
      </c>
    </row>
    <row r="369" ht="15.75" customHeight="1">
      <c r="Q369" s="15">
        <f t="shared" si="17"/>
        <v>0</v>
      </c>
      <c r="W369" s="22">
        <f t="shared" si="23"/>
        <v>0</v>
      </c>
      <c r="X369" s="19">
        <f t="shared" si="24"/>
        <v>0</v>
      </c>
    </row>
    <row r="370" ht="15.75" customHeight="1">
      <c r="Q370" s="15">
        <f t="shared" si="17"/>
        <v>0</v>
      </c>
      <c r="W370" s="22">
        <f t="shared" si="23"/>
        <v>0</v>
      </c>
      <c r="X370" s="19">
        <f t="shared" si="24"/>
        <v>0</v>
      </c>
    </row>
    <row r="371" ht="15.75" customHeight="1">
      <c r="Q371" s="15">
        <f t="shared" si="17"/>
        <v>0</v>
      </c>
      <c r="W371" s="22">
        <f t="shared" si="23"/>
        <v>0</v>
      </c>
      <c r="X371" s="19">
        <f t="shared" si="24"/>
        <v>0</v>
      </c>
    </row>
    <row r="372" ht="15.75" customHeight="1">
      <c r="Q372" s="15">
        <f t="shared" si="17"/>
        <v>0</v>
      </c>
      <c r="W372" s="22">
        <f t="shared" si="23"/>
        <v>0</v>
      </c>
      <c r="X372" s="19">
        <f t="shared" si="24"/>
        <v>0</v>
      </c>
    </row>
    <row r="373" ht="15.75" customHeight="1">
      <c r="Q373" s="15">
        <f t="shared" si="17"/>
        <v>0</v>
      </c>
      <c r="W373" s="22">
        <f t="shared" si="23"/>
        <v>0</v>
      </c>
      <c r="X373" s="19">
        <f t="shared" si="24"/>
        <v>0</v>
      </c>
    </row>
    <row r="374" ht="15.75" customHeight="1">
      <c r="Q374" s="15">
        <f t="shared" si="17"/>
        <v>0</v>
      </c>
      <c r="W374" s="22">
        <f t="shared" si="23"/>
        <v>0</v>
      </c>
      <c r="X374" s="19">
        <f t="shared" si="24"/>
        <v>0</v>
      </c>
    </row>
    <row r="375" ht="15.75" customHeight="1">
      <c r="Q375" s="15">
        <f t="shared" si="17"/>
        <v>0</v>
      </c>
      <c r="W375" s="22">
        <f t="shared" si="23"/>
        <v>0</v>
      </c>
      <c r="X375" s="19">
        <f t="shared" si="24"/>
        <v>0</v>
      </c>
    </row>
    <row r="376" ht="15.75" customHeight="1">
      <c r="Q376" s="15">
        <f t="shared" si="17"/>
        <v>0</v>
      </c>
      <c r="W376" s="22">
        <f t="shared" si="23"/>
        <v>0</v>
      </c>
      <c r="X376" s="19">
        <f t="shared" si="24"/>
        <v>0</v>
      </c>
    </row>
    <row r="377" ht="15.75" customHeight="1">
      <c r="Q377" s="15">
        <f t="shared" si="17"/>
        <v>0</v>
      </c>
      <c r="W377" s="22">
        <f t="shared" si="23"/>
        <v>0</v>
      </c>
      <c r="X377" s="19">
        <f t="shared" si="24"/>
        <v>0</v>
      </c>
    </row>
    <row r="378" ht="15.75" customHeight="1">
      <c r="Q378" s="15">
        <f t="shared" si="17"/>
        <v>0</v>
      </c>
      <c r="W378" s="22">
        <f t="shared" si="23"/>
        <v>0</v>
      </c>
      <c r="X378" s="19">
        <f t="shared" si="24"/>
        <v>0</v>
      </c>
    </row>
    <row r="379" ht="15.75" customHeight="1">
      <c r="Q379" s="15">
        <f t="shared" si="17"/>
        <v>0</v>
      </c>
      <c r="W379" s="22">
        <f t="shared" si="23"/>
        <v>0</v>
      </c>
      <c r="X379" s="19">
        <f t="shared" si="24"/>
        <v>0</v>
      </c>
    </row>
    <row r="380" ht="15.75" customHeight="1">
      <c r="Q380" s="15">
        <f t="shared" si="17"/>
        <v>0</v>
      </c>
      <c r="W380" s="22">
        <f t="shared" si="23"/>
        <v>0</v>
      </c>
      <c r="X380" s="19">
        <f t="shared" si="24"/>
        <v>0</v>
      </c>
    </row>
    <row r="381" ht="15.75" customHeight="1">
      <c r="Q381" s="15">
        <f t="shared" si="17"/>
        <v>0</v>
      </c>
      <c r="W381" s="22">
        <f t="shared" si="23"/>
        <v>0</v>
      </c>
      <c r="X381" s="19">
        <f t="shared" si="24"/>
        <v>0</v>
      </c>
    </row>
    <row r="382" ht="15.75" customHeight="1">
      <c r="Q382" s="15">
        <f t="shared" si="17"/>
        <v>0</v>
      </c>
      <c r="W382" s="22">
        <f t="shared" si="23"/>
        <v>0</v>
      </c>
      <c r="X382" s="19">
        <f t="shared" si="24"/>
        <v>0</v>
      </c>
    </row>
    <row r="383" ht="15.75" customHeight="1">
      <c r="Q383" s="15">
        <f t="shared" si="17"/>
        <v>0</v>
      </c>
      <c r="W383" s="22">
        <f t="shared" si="23"/>
        <v>0</v>
      </c>
      <c r="X383" s="19">
        <f t="shared" si="24"/>
        <v>0</v>
      </c>
    </row>
    <row r="384" ht="15.75" customHeight="1">
      <c r="Q384" s="15">
        <f t="shared" si="17"/>
        <v>0</v>
      </c>
      <c r="W384" s="22">
        <f t="shared" si="23"/>
        <v>0</v>
      </c>
      <c r="X384" s="19">
        <f t="shared" si="24"/>
        <v>0</v>
      </c>
    </row>
    <row r="385" ht="15.75" customHeight="1">
      <c r="Q385" s="15">
        <f t="shared" si="17"/>
        <v>0</v>
      </c>
      <c r="W385" s="22">
        <f t="shared" si="23"/>
        <v>0</v>
      </c>
      <c r="X385" s="19">
        <f t="shared" si="24"/>
        <v>0</v>
      </c>
    </row>
    <row r="386" ht="15.75" customHeight="1">
      <c r="Q386" s="15">
        <f t="shared" si="17"/>
        <v>0</v>
      </c>
      <c r="W386" s="22">
        <f t="shared" si="23"/>
        <v>0</v>
      </c>
      <c r="X386" s="19">
        <f t="shared" si="24"/>
        <v>0</v>
      </c>
    </row>
    <row r="387" ht="15.75" customHeight="1">
      <c r="Q387" s="15">
        <f t="shared" si="17"/>
        <v>0</v>
      </c>
      <c r="W387" s="22">
        <f t="shared" si="23"/>
        <v>0</v>
      </c>
      <c r="X387" s="19">
        <f t="shared" si="24"/>
        <v>0</v>
      </c>
    </row>
    <row r="388" ht="15.75" customHeight="1">
      <c r="Q388" s="15">
        <f t="shared" si="17"/>
        <v>0</v>
      </c>
      <c r="W388" s="22">
        <f t="shared" si="23"/>
        <v>0</v>
      </c>
      <c r="X388" s="19">
        <f t="shared" si="24"/>
        <v>0</v>
      </c>
    </row>
    <row r="389" ht="15.75" customHeight="1">
      <c r="Q389" s="15">
        <f t="shared" si="17"/>
        <v>0</v>
      </c>
      <c r="W389" s="22">
        <f t="shared" si="23"/>
        <v>0</v>
      </c>
      <c r="X389" s="19">
        <f t="shared" si="24"/>
        <v>0</v>
      </c>
    </row>
    <row r="390" ht="15.75" customHeight="1">
      <c r="Q390" s="15">
        <f t="shared" si="17"/>
        <v>0</v>
      </c>
      <c r="W390" s="22">
        <f t="shared" si="23"/>
        <v>0</v>
      </c>
      <c r="X390" s="19">
        <f t="shared" si="24"/>
        <v>0</v>
      </c>
    </row>
    <row r="391" ht="15.75" customHeight="1">
      <c r="Q391" s="15">
        <f t="shared" si="17"/>
        <v>0</v>
      </c>
      <c r="W391" s="22">
        <f t="shared" si="23"/>
        <v>0</v>
      </c>
      <c r="X391" s="19">
        <f t="shared" si="24"/>
        <v>0</v>
      </c>
    </row>
    <row r="392" ht="15.75" customHeight="1">
      <c r="Q392" s="15">
        <f t="shared" si="17"/>
        <v>0</v>
      </c>
      <c r="W392" s="22">
        <f t="shared" si="23"/>
        <v>0</v>
      </c>
      <c r="X392" s="19">
        <f t="shared" si="24"/>
        <v>0</v>
      </c>
    </row>
    <row r="393" ht="15.75" customHeight="1">
      <c r="Q393" s="15">
        <f t="shared" si="17"/>
        <v>0</v>
      </c>
      <c r="W393" s="22">
        <f t="shared" si="23"/>
        <v>0</v>
      </c>
      <c r="X393" s="19">
        <f t="shared" si="24"/>
        <v>0</v>
      </c>
    </row>
    <row r="394" ht="15.75" customHeight="1">
      <c r="Q394" s="15">
        <f t="shared" si="17"/>
        <v>0</v>
      </c>
      <c r="W394" s="22">
        <f t="shared" si="23"/>
        <v>0</v>
      </c>
      <c r="X394" s="19">
        <f t="shared" si="24"/>
        <v>0</v>
      </c>
    </row>
    <row r="395" ht="15.75" customHeight="1">
      <c r="Q395" s="15">
        <f t="shared" si="17"/>
        <v>0</v>
      </c>
      <c r="W395" s="22">
        <f t="shared" si="23"/>
        <v>0</v>
      </c>
      <c r="X395" s="19">
        <f t="shared" si="24"/>
        <v>0</v>
      </c>
    </row>
    <row r="396" ht="15.75" customHeight="1">
      <c r="Q396" s="15">
        <f t="shared" si="17"/>
        <v>0</v>
      </c>
      <c r="W396" s="22">
        <f t="shared" si="23"/>
        <v>0</v>
      </c>
      <c r="X396" s="19">
        <f t="shared" si="24"/>
        <v>0</v>
      </c>
    </row>
    <row r="397" ht="15.75" customHeight="1">
      <c r="Q397" s="15">
        <f t="shared" si="17"/>
        <v>0</v>
      </c>
      <c r="W397" s="22">
        <f t="shared" si="23"/>
        <v>0</v>
      </c>
      <c r="X397" s="19">
        <f t="shared" si="24"/>
        <v>0</v>
      </c>
    </row>
    <row r="398" ht="15.75" customHeight="1">
      <c r="Q398" s="15">
        <f t="shared" si="17"/>
        <v>0</v>
      </c>
      <c r="W398" s="22">
        <f t="shared" si="23"/>
        <v>0</v>
      </c>
      <c r="X398" s="19">
        <f t="shared" si="24"/>
        <v>0</v>
      </c>
    </row>
    <row r="399" ht="15.75" customHeight="1">
      <c r="Q399" s="15">
        <f t="shared" si="17"/>
        <v>0</v>
      </c>
      <c r="W399" s="22">
        <f t="shared" si="23"/>
        <v>0</v>
      </c>
      <c r="X399" s="19">
        <f t="shared" si="24"/>
        <v>0</v>
      </c>
    </row>
    <row r="400" ht="15.75" customHeight="1">
      <c r="Q400" s="15">
        <f t="shared" si="17"/>
        <v>0</v>
      </c>
      <c r="W400" s="22">
        <f t="shared" si="23"/>
        <v>0</v>
      </c>
      <c r="X400" s="19">
        <f t="shared" si="24"/>
        <v>0</v>
      </c>
    </row>
    <row r="401" ht="15.75" customHeight="1">
      <c r="Q401" s="15">
        <f t="shared" si="17"/>
        <v>0</v>
      </c>
      <c r="W401" s="22">
        <f t="shared" si="23"/>
        <v>0</v>
      </c>
      <c r="X401" s="19">
        <f t="shared" si="24"/>
        <v>0</v>
      </c>
    </row>
    <row r="402" ht="15.75" customHeight="1">
      <c r="Q402" s="15">
        <f t="shared" si="17"/>
        <v>0</v>
      </c>
      <c r="W402" s="22">
        <f t="shared" si="23"/>
        <v>0</v>
      </c>
      <c r="X402" s="19">
        <f t="shared" si="24"/>
        <v>0</v>
      </c>
    </row>
    <row r="403" ht="15.75" customHeight="1">
      <c r="Q403" s="15">
        <f t="shared" si="17"/>
        <v>0</v>
      </c>
      <c r="W403" s="22">
        <f t="shared" si="23"/>
        <v>0</v>
      </c>
      <c r="X403" s="19">
        <f t="shared" si="24"/>
        <v>0</v>
      </c>
    </row>
    <row r="404" ht="15.75" customHeight="1">
      <c r="Q404" s="15">
        <f t="shared" si="17"/>
        <v>0</v>
      </c>
      <c r="W404" s="22">
        <f t="shared" si="23"/>
        <v>0</v>
      </c>
      <c r="X404" s="19">
        <f t="shared" si="24"/>
        <v>0</v>
      </c>
    </row>
    <row r="405" ht="15.75" customHeight="1">
      <c r="Q405" s="15">
        <f t="shared" si="17"/>
        <v>0</v>
      </c>
      <c r="W405" s="22">
        <f t="shared" si="23"/>
        <v>0</v>
      </c>
      <c r="X405" s="19">
        <f t="shared" si="24"/>
        <v>0</v>
      </c>
    </row>
    <row r="406" ht="15.75" customHeight="1">
      <c r="Q406" s="15">
        <f t="shared" si="17"/>
        <v>0</v>
      </c>
      <c r="W406" s="22">
        <f t="shared" si="23"/>
        <v>0</v>
      </c>
      <c r="X406" s="19">
        <f t="shared" si="24"/>
        <v>0</v>
      </c>
    </row>
    <row r="407" ht="15.75" customHeight="1">
      <c r="Q407" s="15">
        <f t="shared" si="17"/>
        <v>0</v>
      </c>
      <c r="W407" s="22">
        <f t="shared" si="23"/>
        <v>0</v>
      </c>
      <c r="X407" s="19">
        <f t="shared" si="24"/>
        <v>0</v>
      </c>
    </row>
    <row r="408" ht="15.75" customHeight="1">
      <c r="Q408" s="15">
        <f t="shared" si="17"/>
        <v>0</v>
      </c>
      <c r="W408" s="22">
        <f t="shared" si="23"/>
        <v>0</v>
      </c>
      <c r="X408" s="19">
        <f t="shared" si="24"/>
        <v>0</v>
      </c>
    </row>
    <row r="409" ht="15.75" customHeight="1">
      <c r="Q409" s="15">
        <f t="shared" si="17"/>
        <v>0</v>
      </c>
      <c r="W409" s="22">
        <f t="shared" si="23"/>
        <v>0</v>
      </c>
      <c r="X409" s="19">
        <f t="shared" si="24"/>
        <v>0</v>
      </c>
    </row>
    <row r="410" ht="15.75" customHeight="1">
      <c r="Q410" s="15">
        <f t="shared" si="17"/>
        <v>0</v>
      </c>
      <c r="W410" s="22">
        <f t="shared" si="23"/>
        <v>0</v>
      </c>
      <c r="X410" s="19">
        <f t="shared" si="24"/>
        <v>0</v>
      </c>
    </row>
    <row r="411" ht="15.75" customHeight="1">
      <c r="Q411" s="15">
        <f t="shared" si="17"/>
        <v>0</v>
      </c>
      <c r="W411" s="22">
        <f t="shared" si="23"/>
        <v>0</v>
      </c>
      <c r="X411" s="19">
        <f t="shared" si="24"/>
        <v>0</v>
      </c>
    </row>
    <row r="412" ht="15.75" customHeight="1">
      <c r="Q412" s="15">
        <f t="shared" si="17"/>
        <v>0</v>
      </c>
      <c r="W412" s="22">
        <f t="shared" si="23"/>
        <v>0</v>
      </c>
      <c r="X412" s="19">
        <f t="shared" si="24"/>
        <v>0</v>
      </c>
    </row>
    <row r="413" ht="15.75" customHeight="1">
      <c r="Q413" s="15">
        <f t="shared" si="17"/>
        <v>0</v>
      </c>
      <c r="W413" s="22">
        <f t="shared" si="23"/>
        <v>0</v>
      </c>
      <c r="X413" s="19">
        <f t="shared" si="24"/>
        <v>0</v>
      </c>
    </row>
    <row r="414" ht="15.75" customHeight="1">
      <c r="Q414" s="15">
        <f t="shared" si="17"/>
        <v>0</v>
      </c>
      <c r="W414" s="22">
        <f t="shared" si="23"/>
        <v>0</v>
      </c>
      <c r="X414" s="19">
        <f t="shared" si="24"/>
        <v>0</v>
      </c>
    </row>
    <row r="415" ht="15.75" customHeight="1">
      <c r="Q415" s="15">
        <f t="shared" si="17"/>
        <v>0</v>
      </c>
      <c r="W415" s="22">
        <f t="shared" si="23"/>
        <v>0</v>
      </c>
      <c r="X415" s="19">
        <f t="shared" si="24"/>
        <v>0</v>
      </c>
    </row>
    <row r="416" ht="15.75" customHeight="1">
      <c r="Q416" s="15">
        <f t="shared" si="17"/>
        <v>0</v>
      </c>
      <c r="W416" s="22">
        <f t="shared" si="23"/>
        <v>0</v>
      </c>
      <c r="X416" s="19">
        <f t="shared" si="24"/>
        <v>0</v>
      </c>
    </row>
    <row r="417" ht="15.75" customHeight="1">
      <c r="Q417" s="15">
        <f t="shared" si="17"/>
        <v>0</v>
      </c>
      <c r="W417" s="22">
        <f t="shared" si="23"/>
        <v>0</v>
      </c>
      <c r="X417" s="19">
        <f t="shared" si="24"/>
        <v>0</v>
      </c>
    </row>
    <row r="418" ht="15.75" customHeight="1">
      <c r="Q418" s="15">
        <f t="shared" si="17"/>
        <v>0</v>
      </c>
      <c r="W418" s="22">
        <f t="shared" si="23"/>
        <v>0</v>
      </c>
      <c r="X418" s="19">
        <f t="shared" si="24"/>
        <v>0</v>
      </c>
    </row>
    <row r="419" ht="15.75" customHeight="1">
      <c r="Q419" s="15">
        <f t="shared" si="17"/>
        <v>0</v>
      </c>
      <c r="W419" s="22">
        <f t="shared" si="23"/>
        <v>0</v>
      </c>
      <c r="X419" s="19">
        <f t="shared" si="24"/>
        <v>0</v>
      </c>
    </row>
    <row r="420" ht="15.75" customHeight="1">
      <c r="Q420" s="15">
        <f t="shared" si="17"/>
        <v>0</v>
      </c>
      <c r="W420" s="22">
        <f t="shared" si="23"/>
        <v>0</v>
      </c>
      <c r="X420" s="19">
        <f t="shared" si="24"/>
        <v>0</v>
      </c>
    </row>
    <row r="421" ht="15.75" customHeight="1">
      <c r="Q421" s="15">
        <f t="shared" si="17"/>
        <v>0</v>
      </c>
      <c r="W421" s="22">
        <f t="shared" si="23"/>
        <v>0</v>
      </c>
      <c r="X421" s="19">
        <f t="shared" si="24"/>
        <v>0</v>
      </c>
    </row>
    <row r="422" ht="15.75" customHeight="1">
      <c r="Q422" s="15">
        <f t="shared" si="17"/>
        <v>0</v>
      </c>
      <c r="W422" s="22">
        <f t="shared" si="23"/>
        <v>0</v>
      </c>
      <c r="X422" s="19">
        <f t="shared" si="24"/>
        <v>0</v>
      </c>
    </row>
    <row r="423" ht="15.75" customHeight="1">
      <c r="Q423" s="15">
        <f t="shared" si="17"/>
        <v>0</v>
      </c>
      <c r="W423" s="22">
        <f t="shared" si="23"/>
        <v>0</v>
      </c>
      <c r="X423" s="19">
        <f t="shared" si="24"/>
        <v>0</v>
      </c>
    </row>
    <row r="424" ht="15.75" customHeight="1">
      <c r="Q424" s="15">
        <f t="shared" si="17"/>
        <v>0</v>
      </c>
      <c r="W424" s="22">
        <f t="shared" si="23"/>
        <v>0</v>
      </c>
      <c r="X424" s="19">
        <f t="shared" si="24"/>
        <v>0</v>
      </c>
    </row>
    <row r="425" ht="15.75" customHeight="1">
      <c r="Q425" s="15">
        <f t="shared" si="17"/>
        <v>0</v>
      </c>
      <c r="W425" s="22">
        <f t="shared" si="23"/>
        <v>0</v>
      </c>
      <c r="X425" s="19">
        <f t="shared" si="24"/>
        <v>0</v>
      </c>
    </row>
    <row r="426" ht="15.75" customHeight="1">
      <c r="Q426" s="15">
        <f t="shared" si="17"/>
        <v>0</v>
      </c>
      <c r="W426" s="22">
        <f t="shared" si="23"/>
        <v>0</v>
      </c>
      <c r="X426" s="19">
        <f t="shared" si="24"/>
        <v>0</v>
      </c>
    </row>
    <row r="427" ht="15.75" customHeight="1">
      <c r="Q427" s="15">
        <f t="shared" si="17"/>
        <v>0</v>
      </c>
      <c r="W427" s="22">
        <f t="shared" si="23"/>
        <v>0</v>
      </c>
      <c r="X427" s="19">
        <f t="shared" si="24"/>
        <v>0</v>
      </c>
    </row>
    <row r="428" ht="15.75" customHeight="1">
      <c r="Q428" s="15">
        <f t="shared" si="17"/>
        <v>0</v>
      </c>
      <c r="W428" s="22">
        <f t="shared" si="23"/>
        <v>0</v>
      </c>
      <c r="X428" s="19">
        <f t="shared" si="24"/>
        <v>0</v>
      </c>
    </row>
    <row r="429" ht="15.75" customHeight="1">
      <c r="Q429" s="15">
        <f t="shared" si="17"/>
        <v>0</v>
      </c>
      <c r="W429" s="22">
        <f t="shared" si="23"/>
        <v>0</v>
      </c>
      <c r="X429" s="19">
        <f t="shared" si="24"/>
        <v>0</v>
      </c>
    </row>
    <row r="430" ht="15.75" customHeight="1">
      <c r="Q430" s="15">
        <f t="shared" si="17"/>
        <v>0</v>
      </c>
      <c r="W430" s="22">
        <f t="shared" si="23"/>
        <v>0</v>
      </c>
      <c r="X430" s="19">
        <f t="shared" si="24"/>
        <v>0</v>
      </c>
    </row>
    <row r="431" ht="15.75" customHeight="1">
      <c r="Q431" s="15">
        <f t="shared" si="17"/>
        <v>0</v>
      </c>
      <c r="W431" s="22">
        <f t="shared" si="23"/>
        <v>0</v>
      </c>
      <c r="X431" s="19">
        <f t="shared" si="24"/>
        <v>0</v>
      </c>
    </row>
    <row r="432" ht="15.75" customHeight="1">
      <c r="Q432" s="15">
        <f t="shared" si="17"/>
        <v>0</v>
      </c>
      <c r="W432" s="22">
        <f t="shared" si="23"/>
        <v>0</v>
      </c>
      <c r="X432" s="19">
        <f t="shared" si="24"/>
        <v>0</v>
      </c>
    </row>
    <row r="433" ht="15.75" customHeight="1">
      <c r="Q433" s="15">
        <f t="shared" si="17"/>
        <v>0</v>
      </c>
      <c r="W433" s="22">
        <f t="shared" si="23"/>
        <v>0</v>
      </c>
      <c r="X433" s="19">
        <f t="shared" si="24"/>
        <v>0</v>
      </c>
    </row>
    <row r="434" ht="15.75" customHeight="1">
      <c r="Q434" s="15">
        <f t="shared" si="17"/>
        <v>0</v>
      </c>
      <c r="W434" s="22">
        <f t="shared" si="23"/>
        <v>0</v>
      </c>
      <c r="X434" s="19">
        <f t="shared" si="24"/>
        <v>0</v>
      </c>
    </row>
    <row r="435" ht="15.75" customHeight="1">
      <c r="Q435" s="15">
        <f t="shared" si="17"/>
        <v>0</v>
      </c>
      <c r="W435" s="22">
        <f t="shared" si="23"/>
        <v>0</v>
      </c>
      <c r="X435" s="19">
        <f t="shared" si="24"/>
        <v>0</v>
      </c>
    </row>
    <row r="436" ht="15.75" customHeight="1">
      <c r="Q436" s="15">
        <f t="shared" si="17"/>
        <v>0</v>
      </c>
      <c r="W436" s="22">
        <f t="shared" si="23"/>
        <v>0</v>
      </c>
      <c r="X436" s="19">
        <f t="shared" si="24"/>
        <v>0</v>
      </c>
    </row>
    <row r="437" ht="15.75" customHeight="1">
      <c r="Q437" s="15">
        <f t="shared" si="17"/>
        <v>0</v>
      </c>
      <c r="W437" s="22">
        <f t="shared" si="23"/>
        <v>0</v>
      </c>
      <c r="X437" s="19">
        <f t="shared" si="24"/>
        <v>0</v>
      </c>
    </row>
    <row r="438" ht="15.75" customHeight="1">
      <c r="Q438" s="15">
        <f t="shared" si="17"/>
        <v>0</v>
      </c>
      <c r="W438" s="22">
        <f t="shared" si="23"/>
        <v>0</v>
      </c>
      <c r="X438" s="19">
        <f t="shared" si="24"/>
        <v>0</v>
      </c>
    </row>
    <row r="439" ht="15.75" customHeight="1">
      <c r="Q439" s="15">
        <f t="shared" si="17"/>
        <v>0</v>
      </c>
      <c r="W439" s="22">
        <f t="shared" si="23"/>
        <v>0</v>
      </c>
      <c r="X439" s="19">
        <f t="shared" si="24"/>
        <v>0</v>
      </c>
    </row>
    <row r="440" ht="15.75" customHeight="1">
      <c r="Q440" s="15">
        <f t="shared" si="17"/>
        <v>0</v>
      </c>
      <c r="W440" s="22">
        <f t="shared" si="23"/>
        <v>0</v>
      </c>
      <c r="X440" s="19">
        <f t="shared" si="24"/>
        <v>0</v>
      </c>
    </row>
    <row r="441" ht="15.75" customHeight="1">
      <c r="Q441" s="15">
        <f t="shared" si="17"/>
        <v>0</v>
      </c>
      <c r="W441" s="22">
        <f t="shared" si="23"/>
        <v>0</v>
      </c>
      <c r="X441" s="19">
        <f t="shared" si="24"/>
        <v>0</v>
      </c>
    </row>
    <row r="442" ht="15.75" customHeight="1">
      <c r="Q442" s="15">
        <f t="shared" si="17"/>
        <v>0</v>
      </c>
      <c r="W442" s="22">
        <f t="shared" si="23"/>
        <v>0</v>
      </c>
      <c r="X442" s="19">
        <f t="shared" si="24"/>
        <v>0</v>
      </c>
    </row>
    <row r="443" ht="15.75" customHeight="1">
      <c r="Q443" s="15">
        <f t="shared" si="17"/>
        <v>0</v>
      </c>
      <c r="W443" s="22">
        <f t="shared" si="23"/>
        <v>0</v>
      </c>
      <c r="X443" s="19">
        <f t="shared" si="24"/>
        <v>0</v>
      </c>
    </row>
    <row r="444" ht="15.75" customHeight="1">
      <c r="Q444" s="15">
        <f t="shared" si="17"/>
        <v>0</v>
      </c>
      <c r="W444" s="22">
        <f t="shared" si="23"/>
        <v>0</v>
      </c>
      <c r="X444" s="19">
        <f t="shared" si="24"/>
        <v>0</v>
      </c>
    </row>
    <row r="445" ht="15.75" customHeight="1">
      <c r="Q445" s="15">
        <f t="shared" si="17"/>
        <v>0</v>
      </c>
      <c r="W445" s="22">
        <f t="shared" si="23"/>
        <v>0</v>
      </c>
      <c r="X445" s="19">
        <f t="shared" si="24"/>
        <v>0</v>
      </c>
    </row>
    <row r="446" ht="15.75" customHeight="1">
      <c r="Q446" s="15">
        <f t="shared" si="17"/>
        <v>0</v>
      </c>
      <c r="W446" s="22">
        <f t="shared" si="23"/>
        <v>0</v>
      </c>
      <c r="X446" s="19">
        <f t="shared" si="24"/>
        <v>0</v>
      </c>
    </row>
    <row r="447" ht="15.75" customHeight="1">
      <c r="Q447" s="15">
        <f t="shared" si="17"/>
        <v>0</v>
      </c>
      <c r="W447" s="22">
        <f t="shared" si="23"/>
        <v>0</v>
      </c>
      <c r="X447" s="19">
        <f t="shared" si="24"/>
        <v>0</v>
      </c>
    </row>
    <row r="448" ht="15.75" customHeight="1">
      <c r="Q448" s="15">
        <f t="shared" si="17"/>
        <v>0</v>
      </c>
      <c r="W448" s="22">
        <f t="shared" si="23"/>
        <v>0</v>
      </c>
      <c r="X448" s="19">
        <f t="shared" si="24"/>
        <v>0</v>
      </c>
    </row>
    <row r="449" ht="15.75" customHeight="1">
      <c r="Q449" s="15">
        <f t="shared" si="17"/>
        <v>0</v>
      </c>
      <c r="W449" s="22">
        <f t="shared" si="23"/>
        <v>0</v>
      </c>
      <c r="X449" s="19">
        <f t="shared" si="24"/>
        <v>0</v>
      </c>
    </row>
    <row r="450" ht="15.75" customHeight="1">
      <c r="Q450" s="15">
        <f t="shared" si="17"/>
        <v>0</v>
      </c>
      <c r="W450" s="22">
        <f t="shared" si="23"/>
        <v>0</v>
      </c>
      <c r="X450" s="19">
        <f t="shared" si="24"/>
        <v>0</v>
      </c>
    </row>
    <row r="451" ht="15.75" customHeight="1">
      <c r="Q451" s="15">
        <f t="shared" si="17"/>
        <v>0</v>
      </c>
      <c r="W451" s="22">
        <f t="shared" si="23"/>
        <v>0</v>
      </c>
      <c r="X451" s="19">
        <f t="shared" si="24"/>
        <v>0</v>
      </c>
    </row>
    <row r="452" ht="15.75" customHeight="1">
      <c r="Q452" s="15">
        <f t="shared" si="17"/>
        <v>0</v>
      </c>
      <c r="W452" s="22">
        <f t="shared" si="23"/>
        <v>0</v>
      </c>
      <c r="X452" s="19">
        <f t="shared" si="24"/>
        <v>0</v>
      </c>
    </row>
    <row r="453" ht="15.75" customHeight="1">
      <c r="Q453" s="15">
        <f t="shared" si="17"/>
        <v>0</v>
      </c>
      <c r="W453" s="22">
        <f t="shared" si="23"/>
        <v>0</v>
      </c>
      <c r="X453" s="19">
        <f t="shared" si="24"/>
        <v>0</v>
      </c>
    </row>
    <row r="454" ht="15.75" customHeight="1">
      <c r="Q454" s="15">
        <f t="shared" si="17"/>
        <v>0</v>
      </c>
      <c r="W454" s="22">
        <f t="shared" si="23"/>
        <v>0</v>
      </c>
      <c r="X454" s="19">
        <f t="shared" si="24"/>
        <v>0</v>
      </c>
    </row>
    <row r="455" ht="15.75" customHeight="1">
      <c r="Q455" s="15">
        <f t="shared" si="17"/>
        <v>0</v>
      </c>
      <c r="W455" s="22">
        <f t="shared" si="23"/>
        <v>0</v>
      </c>
      <c r="X455" s="19">
        <f t="shared" si="24"/>
        <v>0</v>
      </c>
    </row>
    <row r="456" ht="15.75" customHeight="1">
      <c r="Q456" s="15">
        <f t="shared" si="17"/>
        <v>0</v>
      </c>
      <c r="W456" s="22">
        <f t="shared" si="23"/>
        <v>0</v>
      </c>
      <c r="X456" s="19">
        <f t="shared" si="24"/>
        <v>0</v>
      </c>
    </row>
    <row r="457" ht="15.75" customHeight="1">
      <c r="Q457" s="15">
        <f t="shared" si="17"/>
        <v>0</v>
      </c>
      <c r="W457" s="22">
        <f t="shared" si="23"/>
        <v>0</v>
      </c>
      <c r="X457" s="19">
        <f t="shared" si="24"/>
        <v>0</v>
      </c>
    </row>
    <row r="458" ht="15.75" customHeight="1">
      <c r="Q458" s="15">
        <f t="shared" si="17"/>
        <v>0</v>
      </c>
      <c r="W458" s="22">
        <f t="shared" si="23"/>
        <v>0</v>
      </c>
      <c r="X458" s="19">
        <f t="shared" si="24"/>
        <v>0</v>
      </c>
    </row>
    <row r="459" ht="15.75" customHeight="1">
      <c r="Q459" s="15">
        <f t="shared" si="17"/>
        <v>0</v>
      </c>
      <c r="W459" s="22">
        <f t="shared" si="23"/>
        <v>0</v>
      </c>
      <c r="X459" s="19">
        <f t="shared" si="24"/>
        <v>0</v>
      </c>
    </row>
    <row r="460" ht="15.75" customHeight="1">
      <c r="Q460" s="15">
        <f t="shared" si="17"/>
        <v>0</v>
      </c>
      <c r="W460" s="22">
        <f t="shared" si="23"/>
        <v>0</v>
      </c>
      <c r="X460" s="19">
        <f t="shared" si="24"/>
        <v>0</v>
      </c>
    </row>
    <row r="461" ht="15.75" customHeight="1">
      <c r="Q461" s="15">
        <f t="shared" si="17"/>
        <v>0</v>
      </c>
      <c r="W461" s="22">
        <f t="shared" si="23"/>
        <v>0</v>
      </c>
      <c r="X461" s="19">
        <f t="shared" si="24"/>
        <v>0</v>
      </c>
    </row>
    <row r="462" ht="15.75" customHeight="1">
      <c r="Q462" s="15">
        <f t="shared" si="17"/>
        <v>0</v>
      </c>
      <c r="W462" s="22">
        <f t="shared" si="23"/>
        <v>0</v>
      </c>
      <c r="X462" s="19">
        <f t="shared" si="24"/>
        <v>0</v>
      </c>
    </row>
    <row r="463" ht="15.75" customHeight="1">
      <c r="Q463" s="15">
        <f t="shared" si="17"/>
        <v>0</v>
      </c>
      <c r="W463" s="22">
        <f t="shared" si="23"/>
        <v>0</v>
      </c>
      <c r="X463" s="19">
        <f t="shared" si="24"/>
        <v>0</v>
      </c>
    </row>
    <row r="464" ht="15.75" customHeight="1">
      <c r="Q464" s="15">
        <f t="shared" si="17"/>
        <v>0</v>
      </c>
      <c r="W464" s="22">
        <f t="shared" si="23"/>
        <v>0</v>
      </c>
      <c r="X464" s="19">
        <f t="shared" si="24"/>
        <v>0</v>
      </c>
    </row>
    <row r="465" ht="15.75" customHeight="1">
      <c r="Q465" s="15">
        <f t="shared" si="17"/>
        <v>0</v>
      </c>
      <c r="W465" s="22">
        <f t="shared" si="23"/>
        <v>0</v>
      </c>
      <c r="X465" s="19">
        <f t="shared" si="24"/>
        <v>0</v>
      </c>
    </row>
    <row r="466" ht="15.75" customHeight="1">
      <c r="Q466" s="15">
        <f t="shared" si="17"/>
        <v>0</v>
      </c>
      <c r="W466" s="22">
        <f t="shared" si="23"/>
        <v>0</v>
      </c>
      <c r="X466" s="19">
        <f t="shared" si="24"/>
        <v>0</v>
      </c>
    </row>
    <row r="467" ht="15.75" customHeight="1">
      <c r="Q467" s="15">
        <f t="shared" si="17"/>
        <v>0</v>
      </c>
      <c r="W467" s="22">
        <f t="shared" si="23"/>
        <v>0</v>
      </c>
      <c r="X467" s="19">
        <f t="shared" si="24"/>
        <v>0</v>
      </c>
    </row>
    <row r="468" ht="15.75" customHeight="1">
      <c r="Q468" s="15">
        <f t="shared" si="17"/>
        <v>0</v>
      </c>
      <c r="W468" s="22">
        <f t="shared" si="23"/>
        <v>0</v>
      </c>
      <c r="X468" s="19">
        <f t="shared" si="24"/>
        <v>0</v>
      </c>
    </row>
    <row r="469" ht="15.75" customHeight="1">
      <c r="Q469" s="15">
        <f t="shared" si="17"/>
        <v>0</v>
      </c>
      <c r="W469" s="22">
        <f t="shared" si="23"/>
        <v>0</v>
      </c>
      <c r="X469" s="19">
        <f t="shared" si="24"/>
        <v>0</v>
      </c>
    </row>
    <row r="470" ht="15.75" customHeight="1">
      <c r="Q470" s="15">
        <f t="shared" si="17"/>
        <v>0</v>
      </c>
      <c r="W470" s="22">
        <f t="shared" si="23"/>
        <v>0</v>
      </c>
      <c r="X470" s="19">
        <f t="shared" si="24"/>
        <v>0</v>
      </c>
    </row>
    <row r="471" ht="15.75" customHeight="1">
      <c r="Q471" s="15">
        <f t="shared" si="17"/>
        <v>0</v>
      </c>
      <c r="W471" s="22">
        <f t="shared" si="23"/>
        <v>0</v>
      </c>
      <c r="X471" s="19">
        <f t="shared" si="24"/>
        <v>0</v>
      </c>
    </row>
    <row r="472" ht="15.75" customHeight="1">
      <c r="Q472" s="15">
        <f t="shared" si="17"/>
        <v>0</v>
      </c>
      <c r="W472" s="22">
        <f t="shared" si="23"/>
        <v>0</v>
      </c>
      <c r="X472" s="19">
        <f t="shared" si="24"/>
        <v>0</v>
      </c>
    </row>
    <row r="473" ht="15.75" customHeight="1">
      <c r="Q473" s="15">
        <f t="shared" si="17"/>
        <v>0</v>
      </c>
      <c r="W473" s="22">
        <f t="shared" si="23"/>
        <v>0</v>
      </c>
      <c r="X473" s="19">
        <f t="shared" si="24"/>
        <v>0</v>
      </c>
    </row>
    <row r="474" ht="15.75" customHeight="1">
      <c r="Q474" s="15">
        <f t="shared" si="17"/>
        <v>0</v>
      </c>
      <c r="W474" s="22">
        <f t="shared" si="23"/>
        <v>0</v>
      </c>
      <c r="X474" s="19">
        <f t="shared" si="24"/>
        <v>0</v>
      </c>
    </row>
    <row r="475" ht="15.75" customHeight="1">
      <c r="Q475" s="15">
        <f t="shared" si="17"/>
        <v>0</v>
      </c>
      <c r="W475" s="22">
        <f t="shared" si="23"/>
        <v>0</v>
      </c>
      <c r="X475" s="19">
        <f t="shared" si="24"/>
        <v>0</v>
      </c>
    </row>
    <row r="476" ht="15.75" customHeight="1">
      <c r="Q476" s="15">
        <f t="shared" si="17"/>
        <v>0</v>
      </c>
      <c r="W476" s="22">
        <f t="shared" si="23"/>
        <v>0</v>
      </c>
      <c r="X476" s="19">
        <f t="shared" si="24"/>
        <v>0</v>
      </c>
    </row>
    <row r="477" ht="15.75" customHeight="1">
      <c r="Q477" s="15">
        <f t="shared" si="17"/>
        <v>0</v>
      </c>
      <c r="W477" s="22">
        <f t="shared" si="23"/>
        <v>0</v>
      </c>
      <c r="X477" s="19">
        <f t="shared" si="24"/>
        <v>0</v>
      </c>
    </row>
    <row r="478" ht="15.75" customHeight="1">
      <c r="Q478" s="15">
        <f t="shared" si="17"/>
        <v>0</v>
      </c>
      <c r="W478" s="22">
        <f t="shared" si="23"/>
        <v>0</v>
      </c>
      <c r="X478" s="19">
        <f t="shared" si="24"/>
        <v>0</v>
      </c>
    </row>
    <row r="479" ht="15.75" customHeight="1">
      <c r="Q479" s="15">
        <f t="shared" si="17"/>
        <v>0</v>
      </c>
      <c r="W479" s="22">
        <f t="shared" si="23"/>
        <v>0</v>
      </c>
      <c r="X479" s="19">
        <f t="shared" si="24"/>
        <v>0</v>
      </c>
    </row>
    <row r="480" ht="15.75" customHeight="1">
      <c r="Q480" s="15">
        <f t="shared" si="17"/>
        <v>0</v>
      </c>
      <c r="W480" s="22">
        <f t="shared" si="23"/>
        <v>0</v>
      </c>
      <c r="X480" s="19">
        <f t="shared" si="24"/>
        <v>0</v>
      </c>
    </row>
    <row r="481" ht="15.75" customHeight="1">
      <c r="Q481" s="15">
        <f t="shared" si="17"/>
        <v>0</v>
      </c>
      <c r="W481" s="22">
        <f t="shared" si="23"/>
        <v>0</v>
      </c>
      <c r="X481" s="19">
        <f t="shared" si="24"/>
        <v>0</v>
      </c>
    </row>
    <row r="482" ht="15.75" customHeight="1">
      <c r="Q482" s="15">
        <f t="shared" si="17"/>
        <v>0</v>
      </c>
      <c r="W482" s="22">
        <f t="shared" si="23"/>
        <v>0</v>
      </c>
      <c r="X482" s="19">
        <f t="shared" si="24"/>
        <v>0</v>
      </c>
    </row>
    <row r="483" ht="15.75" customHeight="1">
      <c r="Q483" s="15">
        <f t="shared" si="17"/>
        <v>0</v>
      </c>
      <c r="W483" s="22">
        <f t="shared" si="23"/>
        <v>0</v>
      </c>
      <c r="X483" s="19">
        <f t="shared" si="24"/>
        <v>0</v>
      </c>
    </row>
    <row r="484" ht="15.75" customHeight="1">
      <c r="Q484" s="15">
        <f t="shared" si="17"/>
        <v>0</v>
      </c>
      <c r="W484" s="22">
        <f t="shared" si="23"/>
        <v>0</v>
      </c>
      <c r="X484" s="19">
        <f t="shared" si="24"/>
        <v>0</v>
      </c>
    </row>
    <row r="485" ht="15.75" customHeight="1">
      <c r="Q485" s="15">
        <f t="shared" si="17"/>
        <v>0</v>
      </c>
      <c r="W485" s="22">
        <f t="shared" si="23"/>
        <v>0</v>
      </c>
      <c r="X485" s="19">
        <f t="shared" si="24"/>
        <v>0</v>
      </c>
    </row>
    <row r="486" ht="15.75" customHeight="1">
      <c r="Q486" s="15">
        <f t="shared" si="17"/>
        <v>0</v>
      </c>
      <c r="W486" s="22">
        <f t="shared" si="23"/>
        <v>0</v>
      </c>
      <c r="X486" s="19">
        <f t="shared" si="24"/>
        <v>0</v>
      </c>
    </row>
    <row r="487" ht="15.75" customHeight="1">
      <c r="Q487" s="15">
        <f t="shared" si="17"/>
        <v>0</v>
      </c>
      <c r="W487" s="22">
        <f t="shared" si="23"/>
        <v>0</v>
      </c>
      <c r="X487" s="19">
        <f t="shared" si="24"/>
        <v>0</v>
      </c>
    </row>
    <row r="488" ht="15.75" customHeight="1">
      <c r="Q488" s="15">
        <f t="shared" si="17"/>
        <v>0</v>
      </c>
      <c r="W488" s="22">
        <f t="shared" si="23"/>
        <v>0</v>
      </c>
      <c r="X488" s="19">
        <f t="shared" si="24"/>
        <v>0</v>
      </c>
    </row>
    <row r="489" ht="15.75" customHeight="1">
      <c r="Q489" s="15">
        <f t="shared" si="17"/>
        <v>0</v>
      </c>
      <c r="W489" s="22">
        <f t="shared" si="23"/>
        <v>0</v>
      </c>
      <c r="X489" s="19">
        <f t="shared" si="24"/>
        <v>0</v>
      </c>
    </row>
    <row r="490" ht="15.75" customHeight="1">
      <c r="Q490" s="15">
        <f t="shared" si="17"/>
        <v>0</v>
      </c>
      <c r="W490" s="22">
        <f t="shared" si="23"/>
        <v>0</v>
      </c>
      <c r="X490" s="19">
        <f t="shared" si="24"/>
        <v>0</v>
      </c>
    </row>
    <row r="491" ht="15.75" customHeight="1">
      <c r="Q491" s="15">
        <f t="shared" si="17"/>
        <v>0</v>
      </c>
      <c r="W491" s="22">
        <f t="shared" si="23"/>
        <v>0</v>
      </c>
      <c r="X491" s="19">
        <f t="shared" si="24"/>
        <v>0</v>
      </c>
    </row>
    <row r="492" ht="15.75" customHeight="1">
      <c r="Q492" s="15">
        <f t="shared" si="17"/>
        <v>0</v>
      </c>
      <c r="W492" s="22">
        <f t="shared" si="23"/>
        <v>0</v>
      </c>
      <c r="X492" s="19">
        <f t="shared" si="24"/>
        <v>0</v>
      </c>
    </row>
    <row r="493" ht="15.75" customHeight="1">
      <c r="Q493" s="15">
        <f t="shared" si="17"/>
        <v>0</v>
      </c>
      <c r="W493" s="22">
        <f t="shared" si="23"/>
        <v>0</v>
      </c>
      <c r="X493" s="19">
        <f t="shared" si="24"/>
        <v>0</v>
      </c>
    </row>
    <row r="494" ht="15.75" customHeight="1">
      <c r="Q494" s="15">
        <f t="shared" si="17"/>
        <v>0</v>
      </c>
      <c r="W494" s="22">
        <f t="shared" si="23"/>
        <v>0</v>
      </c>
      <c r="X494" s="19">
        <f t="shared" si="24"/>
        <v>0</v>
      </c>
    </row>
    <row r="495" ht="15.75" customHeight="1">
      <c r="Q495" s="15">
        <f t="shared" si="17"/>
        <v>0</v>
      </c>
      <c r="W495" s="22">
        <f t="shared" si="23"/>
        <v>0</v>
      </c>
      <c r="X495" s="19">
        <f t="shared" si="24"/>
        <v>0</v>
      </c>
    </row>
    <row r="496" ht="15.75" customHeight="1">
      <c r="Q496" s="15">
        <f t="shared" si="17"/>
        <v>0</v>
      </c>
      <c r="W496" s="22">
        <f t="shared" si="23"/>
        <v>0</v>
      </c>
      <c r="X496" s="19">
        <f t="shared" si="24"/>
        <v>0</v>
      </c>
    </row>
    <row r="497" ht="15.75" customHeight="1">
      <c r="Q497" s="15">
        <f t="shared" si="17"/>
        <v>0</v>
      </c>
      <c r="W497" s="22">
        <f t="shared" si="23"/>
        <v>0</v>
      </c>
      <c r="X497" s="19">
        <f t="shared" si="24"/>
        <v>0</v>
      </c>
    </row>
    <row r="498" ht="15.75" customHeight="1">
      <c r="Q498" s="15">
        <f t="shared" si="17"/>
        <v>0</v>
      </c>
      <c r="W498" s="22">
        <f t="shared" si="23"/>
        <v>0</v>
      </c>
      <c r="X498" s="19">
        <f t="shared" si="24"/>
        <v>0</v>
      </c>
    </row>
    <row r="499" ht="15.75" customHeight="1">
      <c r="Q499" s="15">
        <f t="shared" si="17"/>
        <v>0</v>
      </c>
      <c r="W499" s="22">
        <f t="shared" si="23"/>
        <v>0</v>
      </c>
      <c r="X499" s="19">
        <f t="shared" si="24"/>
        <v>0</v>
      </c>
    </row>
    <row r="500" ht="15.75" customHeight="1">
      <c r="Q500" s="15">
        <f t="shared" si="17"/>
        <v>0</v>
      </c>
      <c r="W500" s="22">
        <f t="shared" si="23"/>
        <v>0</v>
      </c>
      <c r="X500" s="19">
        <f t="shared" si="24"/>
        <v>0</v>
      </c>
    </row>
    <row r="501" ht="15.75" customHeight="1">
      <c r="Q501" s="15">
        <f t="shared" si="17"/>
        <v>0</v>
      </c>
      <c r="W501" s="22">
        <f t="shared" si="23"/>
        <v>0</v>
      </c>
      <c r="X501" s="19">
        <f t="shared" si="24"/>
        <v>0</v>
      </c>
    </row>
    <row r="502" ht="15.75" customHeight="1">
      <c r="Q502" s="15">
        <f t="shared" si="17"/>
        <v>0</v>
      </c>
      <c r="W502" s="22">
        <f t="shared" si="23"/>
        <v>0</v>
      </c>
      <c r="X502" s="19">
        <f t="shared" si="24"/>
        <v>0</v>
      </c>
    </row>
    <row r="503" ht="15.75" customHeight="1">
      <c r="Q503" s="15">
        <f t="shared" si="17"/>
        <v>0</v>
      </c>
      <c r="W503" s="22">
        <f t="shared" si="23"/>
        <v>0</v>
      </c>
      <c r="X503" s="19">
        <f t="shared" si="24"/>
        <v>0</v>
      </c>
    </row>
    <row r="504" ht="15.75" customHeight="1">
      <c r="Q504" s="15">
        <f t="shared" si="17"/>
        <v>0</v>
      </c>
      <c r="W504" s="22">
        <f t="shared" si="23"/>
        <v>0</v>
      </c>
      <c r="X504" s="19">
        <f t="shared" si="24"/>
        <v>0</v>
      </c>
    </row>
    <row r="505" ht="15.75" customHeight="1">
      <c r="Q505" s="15">
        <f t="shared" si="17"/>
        <v>0</v>
      </c>
      <c r="W505" s="22">
        <f t="shared" si="23"/>
        <v>0</v>
      </c>
      <c r="X505" s="19">
        <f t="shared" si="24"/>
        <v>0</v>
      </c>
    </row>
    <row r="506" ht="15.75" customHeight="1">
      <c r="Q506" s="15">
        <f t="shared" si="17"/>
        <v>0</v>
      </c>
      <c r="W506" s="22">
        <f t="shared" si="23"/>
        <v>0</v>
      </c>
      <c r="X506" s="19">
        <f t="shared" si="24"/>
        <v>0</v>
      </c>
    </row>
    <row r="507" ht="15.75" customHeight="1">
      <c r="Q507" s="15">
        <f t="shared" si="17"/>
        <v>0</v>
      </c>
      <c r="W507" s="22">
        <f t="shared" si="23"/>
        <v>0</v>
      </c>
      <c r="X507" s="19">
        <f t="shared" si="24"/>
        <v>0</v>
      </c>
    </row>
    <row r="508" ht="15.75" customHeight="1">
      <c r="Q508" s="15">
        <f t="shared" si="17"/>
        <v>0</v>
      </c>
      <c r="W508" s="22">
        <f t="shared" si="23"/>
        <v>0</v>
      </c>
      <c r="X508" s="19">
        <f t="shared" si="24"/>
        <v>0</v>
      </c>
    </row>
    <row r="509" ht="15.75" customHeight="1">
      <c r="Q509" s="15">
        <f t="shared" si="17"/>
        <v>0</v>
      </c>
      <c r="W509" s="22">
        <f t="shared" si="23"/>
        <v>0</v>
      </c>
      <c r="X509" s="19">
        <f t="shared" si="24"/>
        <v>0</v>
      </c>
    </row>
    <row r="510" ht="15.75" customHeight="1">
      <c r="Q510" s="15">
        <f t="shared" si="17"/>
        <v>0</v>
      </c>
      <c r="W510" s="22">
        <f t="shared" si="23"/>
        <v>0</v>
      </c>
      <c r="X510" s="19">
        <f t="shared" si="24"/>
        <v>0</v>
      </c>
    </row>
    <row r="511" ht="15.75" customHeight="1">
      <c r="Q511" s="15">
        <f t="shared" si="17"/>
        <v>0</v>
      </c>
      <c r="W511" s="22">
        <f t="shared" si="23"/>
        <v>0</v>
      </c>
      <c r="X511" s="19">
        <f t="shared" si="24"/>
        <v>0</v>
      </c>
    </row>
    <row r="512" ht="15.75" customHeight="1">
      <c r="Q512" s="15">
        <f t="shared" si="17"/>
        <v>0</v>
      </c>
      <c r="W512" s="22">
        <f t="shared" si="23"/>
        <v>0</v>
      </c>
      <c r="X512" s="19">
        <f t="shared" si="24"/>
        <v>0</v>
      </c>
    </row>
    <row r="513" ht="15.75" customHeight="1">
      <c r="Q513" s="15">
        <f t="shared" si="17"/>
        <v>0</v>
      </c>
      <c r="W513" s="22">
        <f t="shared" si="23"/>
        <v>0</v>
      </c>
      <c r="X513" s="19">
        <f t="shared" si="24"/>
        <v>0</v>
      </c>
    </row>
    <row r="514" ht="15.75" customHeight="1">
      <c r="Q514" s="15">
        <f t="shared" si="17"/>
        <v>0</v>
      </c>
      <c r="W514" s="22">
        <f t="shared" si="23"/>
        <v>0</v>
      </c>
      <c r="X514" s="19">
        <f t="shared" si="24"/>
        <v>0</v>
      </c>
    </row>
    <row r="515" ht="15.75" customHeight="1">
      <c r="Q515" s="15">
        <f t="shared" si="17"/>
        <v>0</v>
      </c>
      <c r="W515" s="22">
        <f t="shared" si="23"/>
        <v>0</v>
      </c>
      <c r="X515" s="19">
        <f t="shared" si="24"/>
        <v>0</v>
      </c>
    </row>
    <row r="516" ht="15.75" customHeight="1">
      <c r="Q516" s="15">
        <f t="shared" si="17"/>
        <v>0</v>
      </c>
      <c r="W516" s="22">
        <f t="shared" si="23"/>
        <v>0</v>
      </c>
      <c r="X516" s="19">
        <f t="shared" si="24"/>
        <v>0</v>
      </c>
    </row>
    <row r="517" ht="15.75" customHeight="1">
      <c r="Q517" s="15">
        <f t="shared" si="17"/>
        <v>0</v>
      </c>
      <c r="W517" s="22">
        <f t="shared" si="23"/>
        <v>0</v>
      </c>
      <c r="X517" s="19">
        <f t="shared" si="24"/>
        <v>0</v>
      </c>
    </row>
    <row r="518" ht="15.75" customHeight="1">
      <c r="Q518" s="15">
        <f t="shared" si="17"/>
        <v>0</v>
      </c>
      <c r="W518" s="22">
        <f t="shared" si="23"/>
        <v>0</v>
      </c>
      <c r="X518" s="19">
        <f t="shared" si="24"/>
        <v>0</v>
      </c>
    </row>
    <row r="519" ht="15.75" customHeight="1">
      <c r="Q519" s="15">
        <f t="shared" si="17"/>
        <v>0</v>
      </c>
      <c r="W519" s="22">
        <f t="shared" si="23"/>
        <v>0</v>
      </c>
      <c r="X519" s="19">
        <f t="shared" si="24"/>
        <v>0</v>
      </c>
    </row>
    <row r="520" ht="15.75" customHeight="1">
      <c r="Q520" s="15">
        <f t="shared" si="17"/>
        <v>0</v>
      </c>
      <c r="W520" s="22">
        <f t="shared" si="23"/>
        <v>0</v>
      </c>
      <c r="X520" s="19">
        <f t="shared" si="24"/>
        <v>0</v>
      </c>
    </row>
    <row r="521" ht="15.75" customHeight="1">
      <c r="Q521" s="15">
        <f t="shared" si="17"/>
        <v>0</v>
      </c>
      <c r="W521" s="22">
        <f t="shared" si="23"/>
        <v>0</v>
      </c>
      <c r="X521" s="19">
        <f t="shared" si="24"/>
        <v>0</v>
      </c>
    </row>
    <row r="522" ht="15.75" customHeight="1">
      <c r="Q522" s="15">
        <f t="shared" si="17"/>
        <v>0</v>
      </c>
      <c r="W522" s="22">
        <f t="shared" si="23"/>
        <v>0</v>
      </c>
      <c r="X522" s="19">
        <f t="shared" si="24"/>
        <v>0</v>
      </c>
    </row>
    <row r="523" ht="15.75" customHeight="1">
      <c r="Q523" s="15">
        <f t="shared" si="17"/>
        <v>0</v>
      </c>
      <c r="W523" s="22">
        <f t="shared" si="23"/>
        <v>0</v>
      </c>
      <c r="X523" s="19">
        <f t="shared" si="24"/>
        <v>0</v>
      </c>
    </row>
    <row r="524" ht="15.75" customHeight="1">
      <c r="Q524" s="15">
        <f t="shared" si="17"/>
        <v>0</v>
      </c>
      <c r="W524" s="22">
        <f t="shared" si="23"/>
        <v>0</v>
      </c>
      <c r="X524" s="19">
        <f t="shared" si="24"/>
        <v>0</v>
      </c>
    </row>
    <row r="525" ht="15.75" customHeight="1">
      <c r="Q525" s="15">
        <f t="shared" si="17"/>
        <v>0</v>
      </c>
      <c r="W525" s="22">
        <f t="shared" si="23"/>
        <v>0</v>
      </c>
      <c r="X525" s="19">
        <f t="shared" si="24"/>
        <v>0</v>
      </c>
    </row>
    <row r="526" ht="15.75" customHeight="1">
      <c r="Q526" s="15">
        <f t="shared" si="17"/>
        <v>0</v>
      </c>
      <c r="W526" s="22">
        <f t="shared" si="23"/>
        <v>0</v>
      </c>
      <c r="X526" s="19">
        <f t="shared" si="24"/>
        <v>0</v>
      </c>
    </row>
    <row r="527" ht="15.75" customHeight="1">
      <c r="Q527" s="15">
        <f t="shared" si="17"/>
        <v>0</v>
      </c>
      <c r="W527" s="22">
        <f t="shared" si="23"/>
        <v>0</v>
      </c>
      <c r="X527" s="19">
        <f t="shared" si="24"/>
        <v>0</v>
      </c>
    </row>
    <row r="528" ht="15.75" customHeight="1">
      <c r="Q528" s="15">
        <f t="shared" si="17"/>
        <v>0</v>
      </c>
      <c r="W528" s="22">
        <f t="shared" si="23"/>
        <v>0</v>
      </c>
      <c r="X528" s="19">
        <f t="shared" si="24"/>
        <v>0</v>
      </c>
    </row>
    <row r="529" ht="15.75" customHeight="1">
      <c r="Q529" s="15">
        <f t="shared" si="17"/>
        <v>0</v>
      </c>
      <c r="W529" s="22">
        <f t="shared" si="23"/>
        <v>0</v>
      </c>
      <c r="X529" s="19">
        <f t="shared" si="24"/>
        <v>0</v>
      </c>
    </row>
    <row r="530" ht="15.75" customHeight="1">
      <c r="Q530" s="15">
        <f t="shared" si="17"/>
        <v>0</v>
      </c>
      <c r="W530" s="22">
        <f t="shared" si="23"/>
        <v>0</v>
      </c>
      <c r="X530" s="19">
        <f t="shared" si="24"/>
        <v>0</v>
      </c>
    </row>
    <row r="531" ht="15.75" customHeight="1">
      <c r="Q531" s="15">
        <f t="shared" si="17"/>
        <v>0</v>
      </c>
      <c r="W531" s="22">
        <f t="shared" si="23"/>
        <v>0</v>
      </c>
      <c r="X531" s="19">
        <f t="shared" si="24"/>
        <v>0</v>
      </c>
    </row>
    <row r="532" ht="15.75" customHeight="1">
      <c r="Q532" s="15">
        <f t="shared" si="17"/>
        <v>0</v>
      </c>
      <c r="W532" s="22">
        <f t="shared" si="23"/>
        <v>0</v>
      </c>
      <c r="X532" s="19">
        <f t="shared" si="24"/>
        <v>0</v>
      </c>
    </row>
    <row r="533" ht="15.75" customHeight="1">
      <c r="Q533" s="15">
        <f t="shared" si="17"/>
        <v>0</v>
      </c>
      <c r="W533" s="22">
        <f t="shared" si="23"/>
        <v>0</v>
      </c>
      <c r="X533" s="19">
        <f t="shared" si="24"/>
        <v>0</v>
      </c>
    </row>
    <row r="534" ht="15.75" customHeight="1">
      <c r="Q534" s="15">
        <f t="shared" si="17"/>
        <v>0</v>
      </c>
      <c r="W534" s="22">
        <f t="shared" si="23"/>
        <v>0</v>
      </c>
      <c r="X534" s="19">
        <f t="shared" si="24"/>
        <v>0</v>
      </c>
    </row>
    <row r="535" ht="15.75" customHeight="1">
      <c r="Q535" s="15">
        <f t="shared" si="17"/>
        <v>0</v>
      </c>
      <c r="W535" s="22">
        <f t="shared" si="23"/>
        <v>0</v>
      </c>
      <c r="X535" s="19">
        <f t="shared" si="24"/>
        <v>0</v>
      </c>
    </row>
    <row r="536" ht="15.75" customHeight="1">
      <c r="Q536" s="15">
        <f t="shared" si="17"/>
        <v>0</v>
      </c>
      <c r="W536" s="22">
        <f t="shared" si="23"/>
        <v>0</v>
      </c>
      <c r="X536" s="19">
        <f t="shared" si="24"/>
        <v>0</v>
      </c>
    </row>
    <row r="537" ht="15.75" customHeight="1">
      <c r="Q537" s="15">
        <f t="shared" si="17"/>
        <v>0</v>
      </c>
      <c r="W537" s="22">
        <f t="shared" si="23"/>
        <v>0</v>
      </c>
      <c r="X537" s="19">
        <f t="shared" si="24"/>
        <v>0</v>
      </c>
    </row>
    <row r="538" ht="15.75" customHeight="1">
      <c r="Q538" s="15">
        <f t="shared" si="17"/>
        <v>0</v>
      </c>
      <c r="W538" s="22">
        <f t="shared" si="23"/>
        <v>0</v>
      </c>
      <c r="X538" s="19">
        <f t="shared" si="24"/>
        <v>0</v>
      </c>
    </row>
    <row r="539" ht="15.75" customHeight="1">
      <c r="Q539" s="15">
        <f t="shared" si="17"/>
        <v>0</v>
      </c>
      <c r="W539" s="22">
        <f t="shared" si="23"/>
        <v>0</v>
      </c>
      <c r="X539" s="19">
        <f t="shared" si="24"/>
        <v>0</v>
      </c>
    </row>
    <row r="540" ht="15.75" customHeight="1">
      <c r="Q540" s="15">
        <f t="shared" si="17"/>
        <v>0</v>
      </c>
      <c r="W540" s="22">
        <f t="shared" si="23"/>
        <v>0</v>
      </c>
      <c r="X540" s="19">
        <f t="shared" si="24"/>
        <v>0</v>
      </c>
    </row>
    <row r="541" ht="15.75" customHeight="1">
      <c r="Q541" s="15">
        <f t="shared" si="17"/>
        <v>0</v>
      </c>
      <c r="W541" s="22">
        <f t="shared" si="23"/>
        <v>0</v>
      </c>
      <c r="X541" s="19">
        <f t="shared" si="24"/>
        <v>0</v>
      </c>
    </row>
    <row r="542" ht="15.75" customHeight="1">
      <c r="Q542" s="15">
        <f t="shared" si="17"/>
        <v>0</v>
      </c>
      <c r="W542" s="22">
        <f t="shared" si="23"/>
        <v>0</v>
      </c>
      <c r="X542" s="19">
        <f t="shared" si="24"/>
        <v>0</v>
      </c>
    </row>
    <row r="543" ht="15.75" customHeight="1">
      <c r="Q543" s="15">
        <f t="shared" si="17"/>
        <v>0</v>
      </c>
      <c r="W543" s="22">
        <f t="shared" si="23"/>
        <v>0</v>
      </c>
      <c r="X543" s="19">
        <f t="shared" si="24"/>
        <v>0</v>
      </c>
    </row>
    <row r="544" ht="15.75" customHeight="1">
      <c r="Q544" s="15">
        <f t="shared" si="17"/>
        <v>0</v>
      </c>
      <c r="W544" s="22">
        <f t="shared" si="23"/>
        <v>0</v>
      </c>
      <c r="X544" s="19">
        <f t="shared" si="24"/>
        <v>0</v>
      </c>
    </row>
    <row r="545" ht="15.75" customHeight="1">
      <c r="Q545" s="15">
        <f t="shared" si="17"/>
        <v>0</v>
      </c>
      <c r="W545" s="22">
        <f t="shared" si="23"/>
        <v>0</v>
      </c>
      <c r="X545" s="19">
        <f t="shared" si="24"/>
        <v>0</v>
      </c>
    </row>
    <row r="546" ht="15.75" customHeight="1">
      <c r="Q546" s="15">
        <f t="shared" si="17"/>
        <v>0</v>
      </c>
      <c r="W546" s="22">
        <f t="shared" si="23"/>
        <v>0</v>
      </c>
      <c r="X546" s="19">
        <f t="shared" si="24"/>
        <v>0</v>
      </c>
    </row>
    <row r="547" ht="15.75" customHeight="1">
      <c r="Q547" s="15">
        <f t="shared" si="17"/>
        <v>0</v>
      </c>
      <c r="W547" s="22">
        <f t="shared" si="23"/>
        <v>0</v>
      </c>
      <c r="X547" s="19">
        <f t="shared" si="24"/>
        <v>0</v>
      </c>
    </row>
    <row r="548" ht="15.75" customHeight="1">
      <c r="Q548" s="15">
        <f t="shared" si="17"/>
        <v>0</v>
      </c>
      <c r="W548" s="22">
        <f t="shared" si="23"/>
        <v>0</v>
      </c>
      <c r="X548" s="19">
        <f t="shared" si="24"/>
        <v>0</v>
      </c>
    </row>
    <row r="549" ht="15.75" customHeight="1">
      <c r="Q549" s="15">
        <f t="shared" si="17"/>
        <v>0</v>
      </c>
      <c r="W549" s="22">
        <f t="shared" si="23"/>
        <v>0</v>
      </c>
      <c r="X549" s="19">
        <f t="shared" si="24"/>
        <v>0</v>
      </c>
    </row>
    <row r="550" ht="15.75" customHeight="1">
      <c r="Q550" s="15">
        <f t="shared" si="17"/>
        <v>0</v>
      </c>
      <c r="W550" s="22">
        <f t="shared" si="23"/>
        <v>0</v>
      </c>
      <c r="X550" s="19">
        <f t="shared" si="24"/>
        <v>0</v>
      </c>
    </row>
    <row r="551" ht="15.75" customHeight="1">
      <c r="Q551" s="15">
        <f t="shared" si="17"/>
        <v>0</v>
      </c>
      <c r="W551" s="22">
        <f t="shared" si="23"/>
        <v>0</v>
      </c>
      <c r="X551" s="19">
        <f t="shared" si="24"/>
        <v>0</v>
      </c>
    </row>
    <row r="552" ht="15.75" customHeight="1">
      <c r="Q552" s="15">
        <f t="shared" si="17"/>
        <v>0</v>
      </c>
      <c r="W552" s="22">
        <f t="shared" si="23"/>
        <v>0</v>
      </c>
      <c r="X552" s="19">
        <f t="shared" si="24"/>
        <v>0</v>
      </c>
    </row>
    <row r="553" ht="15.75" customHeight="1">
      <c r="Q553" s="15">
        <f t="shared" si="17"/>
        <v>0</v>
      </c>
      <c r="W553" s="22">
        <f t="shared" si="23"/>
        <v>0</v>
      </c>
      <c r="X553" s="19">
        <f t="shared" si="24"/>
        <v>0</v>
      </c>
    </row>
    <row r="554" ht="15.75" customHeight="1">
      <c r="Q554" s="15">
        <f t="shared" si="17"/>
        <v>0</v>
      </c>
      <c r="W554" s="22">
        <f t="shared" si="23"/>
        <v>0</v>
      </c>
      <c r="X554" s="19">
        <f t="shared" si="24"/>
        <v>0</v>
      </c>
    </row>
    <row r="555" ht="15.75" customHeight="1">
      <c r="Q555" s="15">
        <f t="shared" si="17"/>
        <v>0</v>
      </c>
      <c r="W555" s="22">
        <f t="shared" si="23"/>
        <v>0</v>
      </c>
      <c r="X555" s="19">
        <f t="shared" si="24"/>
        <v>0</v>
      </c>
    </row>
    <row r="556" ht="15.75" customHeight="1">
      <c r="Q556" s="15">
        <f t="shared" si="17"/>
        <v>0</v>
      </c>
      <c r="W556" s="22">
        <f t="shared" si="23"/>
        <v>0</v>
      </c>
      <c r="X556" s="19">
        <f t="shared" si="24"/>
        <v>0</v>
      </c>
    </row>
    <row r="557" ht="15.75" customHeight="1">
      <c r="Q557" s="15">
        <f t="shared" si="17"/>
        <v>0</v>
      </c>
      <c r="W557" s="22">
        <f t="shared" si="23"/>
        <v>0</v>
      </c>
      <c r="X557" s="19">
        <f t="shared" si="24"/>
        <v>0</v>
      </c>
    </row>
    <row r="558" ht="15.75" customHeight="1">
      <c r="Q558" s="15">
        <f t="shared" si="17"/>
        <v>0</v>
      </c>
      <c r="W558" s="22">
        <f t="shared" si="23"/>
        <v>0</v>
      </c>
      <c r="X558" s="19">
        <f t="shared" si="24"/>
        <v>0</v>
      </c>
    </row>
    <row r="559" ht="15.75" customHeight="1">
      <c r="Q559" s="15">
        <f t="shared" si="17"/>
        <v>0</v>
      </c>
      <c r="W559" s="22">
        <f t="shared" si="23"/>
        <v>0</v>
      </c>
      <c r="X559" s="19">
        <f t="shared" si="24"/>
        <v>0</v>
      </c>
    </row>
    <row r="560" ht="15.75" customHeight="1">
      <c r="Q560" s="15">
        <f t="shared" si="17"/>
        <v>0</v>
      </c>
      <c r="W560" s="22">
        <f t="shared" si="23"/>
        <v>0</v>
      </c>
      <c r="X560" s="19">
        <f t="shared" si="24"/>
        <v>0</v>
      </c>
    </row>
    <row r="561" ht="15.75" customHeight="1">
      <c r="Q561" s="15">
        <f t="shared" si="17"/>
        <v>0</v>
      </c>
      <c r="W561" s="22">
        <f t="shared" si="23"/>
        <v>0</v>
      </c>
      <c r="X561" s="19">
        <f t="shared" si="24"/>
        <v>0</v>
      </c>
    </row>
    <row r="562" ht="15.75" customHeight="1">
      <c r="Q562" s="15">
        <f t="shared" si="17"/>
        <v>0</v>
      </c>
      <c r="W562" s="22">
        <f t="shared" si="23"/>
        <v>0</v>
      </c>
      <c r="X562" s="19">
        <f t="shared" si="24"/>
        <v>0</v>
      </c>
    </row>
    <row r="563" ht="15.75" customHeight="1">
      <c r="Q563" s="15">
        <f t="shared" si="17"/>
        <v>0</v>
      </c>
      <c r="W563" s="22">
        <f t="shared" si="23"/>
        <v>0</v>
      </c>
      <c r="X563" s="19">
        <f t="shared" si="24"/>
        <v>0</v>
      </c>
    </row>
    <row r="564" ht="15.75" customHeight="1">
      <c r="Q564" s="15">
        <f t="shared" si="17"/>
        <v>0</v>
      </c>
      <c r="W564" s="22">
        <f t="shared" si="23"/>
        <v>0</v>
      </c>
      <c r="X564" s="19">
        <f t="shared" si="24"/>
        <v>0</v>
      </c>
    </row>
    <row r="565" ht="15.75" customHeight="1">
      <c r="Q565" s="15">
        <f t="shared" si="17"/>
        <v>0</v>
      </c>
      <c r="W565" s="22">
        <f t="shared" si="23"/>
        <v>0</v>
      </c>
      <c r="X565" s="19">
        <f t="shared" si="24"/>
        <v>0</v>
      </c>
    </row>
    <row r="566" ht="15.75" customHeight="1">
      <c r="Q566" s="15">
        <f t="shared" si="17"/>
        <v>0</v>
      </c>
      <c r="W566" s="22">
        <f t="shared" si="23"/>
        <v>0</v>
      </c>
      <c r="X566" s="19">
        <f t="shared" si="24"/>
        <v>0</v>
      </c>
    </row>
    <row r="567" ht="15.75" customHeight="1">
      <c r="Q567" s="15">
        <f t="shared" si="17"/>
        <v>0</v>
      </c>
      <c r="W567" s="22">
        <f t="shared" si="23"/>
        <v>0</v>
      </c>
      <c r="X567" s="19">
        <f t="shared" si="24"/>
        <v>0</v>
      </c>
    </row>
    <row r="568" ht="15.75" customHeight="1">
      <c r="Q568" s="15">
        <f t="shared" si="17"/>
        <v>0</v>
      </c>
      <c r="W568" s="22">
        <f t="shared" si="23"/>
        <v>0</v>
      </c>
      <c r="X568" s="19">
        <f t="shared" si="24"/>
        <v>0</v>
      </c>
    </row>
    <row r="569" ht="15.75" customHeight="1">
      <c r="Q569" s="15">
        <f t="shared" si="17"/>
        <v>0</v>
      </c>
      <c r="W569" s="22">
        <f t="shared" si="23"/>
        <v>0</v>
      </c>
      <c r="X569" s="19">
        <f t="shared" si="24"/>
        <v>0</v>
      </c>
    </row>
    <row r="570" ht="15.75" customHeight="1">
      <c r="Q570" s="15">
        <f t="shared" si="17"/>
        <v>0</v>
      </c>
      <c r="W570" s="22">
        <f t="shared" si="23"/>
        <v>0</v>
      </c>
      <c r="X570" s="19">
        <f t="shared" si="24"/>
        <v>0</v>
      </c>
    </row>
    <row r="571" ht="15.75" customHeight="1">
      <c r="Q571" s="15">
        <f t="shared" si="17"/>
        <v>0</v>
      </c>
      <c r="W571" s="22">
        <f t="shared" si="23"/>
        <v>0</v>
      </c>
      <c r="X571" s="19">
        <f t="shared" si="24"/>
        <v>0</v>
      </c>
    </row>
    <row r="572" ht="15.75" customHeight="1">
      <c r="Q572" s="15">
        <f t="shared" si="17"/>
        <v>0</v>
      </c>
      <c r="W572" s="22">
        <f t="shared" si="23"/>
        <v>0</v>
      </c>
      <c r="X572" s="19">
        <f t="shared" si="24"/>
        <v>0</v>
      </c>
    </row>
    <row r="573" ht="15.75" customHeight="1">
      <c r="Q573" s="15">
        <f t="shared" si="17"/>
        <v>0</v>
      </c>
      <c r="W573" s="22">
        <f t="shared" si="23"/>
        <v>0</v>
      </c>
      <c r="X573" s="19">
        <f t="shared" si="24"/>
        <v>0</v>
      </c>
    </row>
    <row r="574" ht="15.75" customHeight="1">
      <c r="Q574" s="15">
        <f t="shared" si="17"/>
        <v>0</v>
      </c>
      <c r="W574" s="22">
        <f t="shared" si="23"/>
        <v>0</v>
      </c>
      <c r="X574" s="19">
        <f t="shared" si="24"/>
        <v>0</v>
      </c>
    </row>
    <row r="575" ht="15.75" customHeight="1">
      <c r="Q575" s="15">
        <f t="shared" si="17"/>
        <v>0</v>
      </c>
      <c r="W575" s="22">
        <f t="shared" si="23"/>
        <v>0</v>
      </c>
      <c r="X575" s="19">
        <f t="shared" si="24"/>
        <v>0</v>
      </c>
    </row>
    <row r="576" ht="15.75" customHeight="1">
      <c r="Q576" s="15">
        <f t="shared" si="17"/>
        <v>0</v>
      </c>
      <c r="W576" s="22">
        <f t="shared" si="23"/>
        <v>0</v>
      </c>
      <c r="X576" s="19">
        <f t="shared" si="24"/>
        <v>0</v>
      </c>
    </row>
    <row r="577" ht="15.75" customHeight="1">
      <c r="Q577" s="15">
        <f t="shared" si="17"/>
        <v>0</v>
      </c>
      <c r="W577" s="22">
        <f t="shared" si="23"/>
        <v>0</v>
      </c>
      <c r="X577" s="19">
        <f t="shared" si="24"/>
        <v>0</v>
      </c>
    </row>
    <row r="578" ht="15.75" customHeight="1">
      <c r="Q578" s="15">
        <f t="shared" si="17"/>
        <v>0</v>
      </c>
      <c r="W578" s="22">
        <f t="shared" si="23"/>
        <v>0</v>
      </c>
      <c r="X578" s="19">
        <f t="shared" si="24"/>
        <v>0</v>
      </c>
    </row>
    <row r="579" ht="15.75" customHeight="1">
      <c r="Q579" s="15">
        <f t="shared" si="17"/>
        <v>0</v>
      </c>
      <c r="W579" s="22">
        <f t="shared" si="23"/>
        <v>0</v>
      </c>
      <c r="X579" s="19">
        <f t="shared" si="24"/>
        <v>0</v>
      </c>
    </row>
    <row r="580" ht="15.75" customHeight="1">
      <c r="Q580" s="15">
        <f t="shared" si="17"/>
        <v>0</v>
      </c>
      <c r="W580" s="22">
        <f t="shared" si="23"/>
        <v>0</v>
      </c>
      <c r="X580" s="19">
        <f t="shared" si="24"/>
        <v>0</v>
      </c>
    </row>
    <row r="581" ht="15.75" customHeight="1">
      <c r="Q581" s="15">
        <f t="shared" si="17"/>
        <v>0</v>
      </c>
      <c r="W581" s="22">
        <f t="shared" si="23"/>
        <v>0</v>
      </c>
      <c r="X581" s="19">
        <f t="shared" si="24"/>
        <v>0</v>
      </c>
    </row>
    <row r="582" ht="15.75" customHeight="1">
      <c r="Q582" s="15">
        <f t="shared" si="17"/>
        <v>0</v>
      </c>
      <c r="W582" s="22">
        <f t="shared" si="23"/>
        <v>0</v>
      </c>
      <c r="X582" s="19">
        <f t="shared" si="24"/>
        <v>0</v>
      </c>
    </row>
    <row r="583" ht="15.75" customHeight="1">
      <c r="Q583" s="15">
        <f t="shared" si="17"/>
        <v>0</v>
      </c>
      <c r="W583" s="22">
        <f t="shared" si="23"/>
        <v>0</v>
      </c>
      <c r="X583" s="19">
        <f t="shared" si="24"/>
        <v>0</v>
      </c>
    </row>
    <row r="584" ht="15.75" customHeight="1">
      <c r="Q584" s="15">
        <f t="shared" si="17"/>
        <v>0</v>
      </c>
      <c r="W584" s="22">
        <f t="shared" si="23"/>
        <v>0</v>
      </c>
      <c r="X584" s="19">
        <f t="shared" si="24"/>
        <v>0</v>
      </c>
    </row>
    <row r="585" ht="15.75" customHeight="1">
      <c r="Q585" s="15">
        <f t="shared" si="17"/>
        <v>0</v>
      </c>
      <c r="W585" s="22">
        <f t="shared" si="23"/>
        <v>0</v>
      </c>
      <c r="X585" s="19">
        <f t="shared" si="24"/>
        <v>0</v>
      </c>
    </row>
    <row r="586" ht="15.75" customHeight="1">
      <c r="Q586" s="15">
        <f t="shared" si="17"/>
        <v>0</v>
      </c>
      <c r="W586" s="22">
        <f t="shared" si="23"/>
        <v>0</v>
      </c>
      <c r="X586" s="19">
        <f t="shared" si="24"/>
        <v>0</v>
      </c>
    </row>
    <row r="587" ht="15.75" customHeight="1">
      <c r="Q587" s="15">
        <f t="shared" si="17"/>
        <v>0</v>
      </c>
      <c r="W587" s="22">
        <f t="shared" si="23"/>
        <v>0</v>
      </c>
      <c r="X587" s="19">
        <f t="shared" si="24"/>
        <v>0</v>
      </c>
    </row>
    <row r="588" ht="15.75" customHeight="1">
      <c r="Q588" s="15">
        <f t="shared" si="17"/>
        <v>0</v>
      </c>
      <c r="W588" s="22">
        <f t="shared" si="23"/>
        <v>0</v>
      </c>
      <c r="X588" s="19">
        <f t="shared" si="24"/>
        <v>0</v>
      </c>
    </row>
    <row r="589" ht="15.75" customHeight="1">
      <c r="Q589" s="15">
        <f t="shared" si="17"/>
        <v>0</v>
      </c>
      <c r="W589" s="22">
        <f t="shared" si="23"/>
        <v>0</v>
      </c>
      <c r="X589" s="19">
        <f t="shared" si="24"/>
        <v>0</v>
      </c>
    </row>
    <row r="590" ht="15.75" customHeight="1">
      <c r="Q590" s="15">
        <f t="shared" si="17"/>
        <v>0</v>
      </c>
      <c r="W590" s="22">
        <f t="shared" si="23"/>
        <v>0</v>
      </c>
      <c r="X590" s="19">
        <f t="shared" si="24"/>
        <v>0</v>
      </c>
    </row>
    <row r="591" ht="15.75" customHeight="1">
      <c r="Q591" s="15">
        <f t="shared" si="17"/>
        <v>0</v>
      </c>
      <c r="W591" s="22">
        <f t="shared" si="23"/>
        <v>0</v>
      </c>
      <c r="X591" s="19">
        <f t="shared" si="24"/>
        <v>0</v>
      </c>
    </row>
    <row r="592" ht="15.75" customHeight="1">
      <c r="Q592" s="15">
        <f t="shared" si="17"/>
        <v>0</v>
      </c>
      <c r="W592" s="22">
        <f t="shared" si="23"/>
        <v>0</v>
      </c>
      <c r="X592" s="19">
        <f t="shared" si="24"/>
        <v>0</v>
      </c>
    </row>
    <row r="593" ht="15.75" customHeight="1">
      <c r="Q593" s="15">
        <f t="shared" si="17"/>
        <v>0</v>
      </c>
      <c r="W593" s="22">
        <f t="shared" si="23"/>
        <v>0</v>
      </c>
      <c r="X593" s="19">
        <f t="shared" si="24"/>
        <v>0</v>
      </c>
    </row>
    <row r="594" ht="15.75" customHeight="1">
      <c r="Q594" s="15">
        <f t="shared" si="17"/>
        <v>0</v>
      </c>
      <c r="W594" s="22">
        <f t="shared" si="23"/>
        <v>0</v>
      </c>
      <c r="X594" s="19">
        <f t="shared" si="24"/>
        <v>0</v>
      </c>
    </row>
    <row r="595" ht="15.75" customHeight="1">
      <c r="Q595" s="15">
        <f t="shared" si="17"/>
        <v>0</v>
      </c>
      <c r="W595" s="22">
        <f t="shared" si="23"/>
        <v>0</v>
      </c>
      <c r="X595" s="19">
        <f t="shared" si="24"/>
        <v>0</v>
      </c>
    </row>
    <row r="596" ht="15.75" customHeight="1">
      <c r="Q596" s="15">
        <f t="shared" si="17"/>
        <v>0</v>
      </c>
      <c r="W596" s="22">
        <f t="shared" si="23"/>
        <v>0</v>
      </c>
      <c r="X596" s="19">
        <f t="shared" si="24"/>
        <v>0</v>
      </c>
    </row>
    <row r="597" ht="15.75" customHeight="1">
      <c r="Q597" s="15">
        <f t="shared" si="17"/>
        <v>0</v>
      </c>
      <c r="W597" s="22">
        <f t="shared" si="23"/>
        <v>0</v>
      </c>
      <c r="X597" s="19">
        <f t="shared" si="24"/>
        <v>0</v>
      </c>
    </row>
    <row r="598" ht="15.75" customHeight="1">
      <c r="Q598" s="15">
        <f t="shared" si="17"/>
        <v>0</v>
      </c>
      <c r="W598" s="22">
        <f t="shared" si="23"/>
        <v>0</v>
      </c>
      <c r="X598" s="19">
        <f t="shared" si="24"/>
        <v>0</v>
      </c>
    </row>
    <row r="599" ht="15.75" customHeight="1">
      <c r="Q599" s="15">
        <f t="shared" si="17"/>
        <v>0</v>
      </c>
      <c r="W599" s="22">
        <f t="shared" si="23"/>
        <v>0</v>
      </c>
      <c r="X599" s="19">
        <f t="shared" si="24"/>
        <v>0</v>
      </c>
    </row>
    <row r="600" ht="15.75" customHeight="1">
      <c r="Q600" s="15">
        <f t="shared" si="17"/>
        <v>0</v>
      </c>
      <c r="W600" s="22">
        <f t="shared" si="23"/>
        <v>0</v>
      </c>
      <c r="X600" s="19">
        <f t="shared" si="24"/>
        <v>0</v>
      </c>
    </row>
    <row r="601" ht="15.75" customHeight="1">
      <c r="Q601" s="15">
        <f t="shared" si="17"/>
        <v>0</v>
      </c>
      <c r="W601" s="22">
        <f t="shared" si="23"/>
        <v>0</v>
      </c>
      <c r="X601" s="19">
        <f t="shared" si="24"/>
        <v>0</v>
      </c>
    </row>
    <row r="602" ht="15.75" customHeight="1">
      <c r="Q602" s="15">
        <f t="shared" si="17"/>
        <v>0</v>
      </c>
      <c r="W602" s="22">
        <f t="shared" si="23"/>
        <v>0</v>
      </c>
      <c r="X602" s="19">
        <f t="shared" si="24"/>
        <v>0</v>
      </c>
    </row>
    <row r="603" ht="15.75" customHeight="1">
      <c r="Q603" s="15">
        <f t="shared" si="17"/>
        <v>0</v>
      </c>
      <c r="W603" s="22">
        <f t="shared" si="23"/>
        <v>0</v>
      </c>
      <c r="X603" s="19">
        <f t="shared" si="24"/>
        <v>0</v>
      </c>
    </row>
    <row r="604" ht="15.75" customHeight="1">
      <c r="Q604" s="15">
        <f t="shared" si="17"/>
        <v>0</v>
      </c>
      <c r="W604" s="22">
        <f t="shared" si="23"/>
        <v>0</v>
      </c>
      <c r="X604" s="19">
        <f t="shared" si="24"/>
        <v>0</v>
      </c>
    </row>
    <row r="605" ht="15.75" customHeight="1">
      <c r="Q605" s="15">
        <f t="shared" si="17"/>
        <v>0</v>
      </c>
      <c r="W605" s="22">
        <f t="shared" si="23"/>
        <v>0</v>
      </c>
      <c r="X605" s="19">
        <f t="shared" si="24"/>
        <v>0</v>
      </c>
    </row>
    <row r="606" ht="15.75" customHeight="1">
      <c r="Q606" s="15">
        <f t="shared" si="17"/>
        <v>0</v>
      </c>
      <c r="W606" s="22">
        <f t="shared" si="23"/>
        <v>0</v>
      </c>
      <c r="X606" s="19">
        <f t="shared" si="24"/>
        <v>0</v>
      </c>
    </row>
    <row r="607" ht="15.75" customHeight="1">
      <c r="Q607" s="15">
        <f t="shared" si="17"/>
        <v>0</v>
      </c>
      <c r="W607" s="22">
        <f t="shared" si="23"/>
        <v>0</v>
      </c>
      <c r="X607" s="19">
        <f t="shared" si="24"/>
        <v>0</v>
      </c>
    </row>
    <row r="608" ht="15.75" customHeight="1">
      <c r="Q608" s="15">
        <f t="shared" si="17"/>
        <v>0</v>
      </c>
      <c r="W608" s="22">
        <f t="shared" si="23"/>
        <v>0</v>
      </c>
      <c r="X608" s="19">
        <f t="shared" si="24"/>
        <v>0</v>
      </c>
    </row>
    <row r="609" ht="15.75" customHeight="1">
      <c r="Q609" s="15">
        <f t="shared" si="17"/>
        <v>0</v>
      </c>
      <c r="W609" s="22">
        <f t="shared" si="23"/>
        <v>0</v>
      </c>
      <c r="X609" s="19">
        <f t="shared" si="24"/>
        <v>0</v>
      </c>
    </row>
    <row r="610" ht="15.75" customHeight="1">
      <c r="Q610" s="15">
        <f t="shared" si="17"/>
        <v>0</v>
      </c>
      <c r="W610" s="22">
        <f t="shared" si="23"/>
        <v>0</v>
      </c>
      <c r="X610" s="19">
        <f t="shared" si="24"/>
        <v>0</v>
      </c>
    </row>
    <row r="611" ht="15.75" customHeight="1">
      <c r="Q611" s="15">
        <f t="shared" si="17"/>
        <v>0</v>
      </c>
      <c r="W611" s="22">
        <f t="shared" si="23"/>
        <v>0</v>
      </c>
      <c r="X611" s="19">
        <f t="shared" si="24"/>
        <v>0</v>
      </c>
    </row>
    <row r="612" ht="15.75" customHeight="1">
      <c r="Q612" s="15">
        <f t="shared" si="17"/>
        <v>0</v>
      </c>
      <c r="W612" s="22">
        <f t="shared" si="23"/>
        <v>0</v>
      </c>
      <c r="X612" s="19">
        <f t="shared" si="24"/>
        <v>0</v>
      </c>
    </row>
    <row r="613" ht="15.75" customHeight="1">
      <c r="Q613" s="15">
        <f t="shared" si="17"/>
        <v>0</v>
      </c>
      <c r="W613" s="22">
        <f t="shared" si="23"/>
        <v>0</v>
      </c>
      <c r="X613" s="19">
        <f t="shared" si="24"/>
        <v>0</v>
      </c>
    </row>
    <row r="614" ht="15.75" customHeight="1">
      <c r="Q614" s="15">
        <f t="shared" si="17"/>
        <v>0</v>
      </c>
      <c r="W614" s="22">
        <f t="shared" si="23"/>
        <v>0</v>
      </c>
      <c r="X614" s="19">
        <f t="shared" si="24"/>
        <v>0</v>
      </c>
    </row>
    <row r="615" ht="15.75" customHeight="1">
      <c r="Q615" s="15">
        <f t="shared" si="17"/>
        <v>0</v>
      </c>
      <c r="W615" s="22">
        <f t="shared" si="23"/>
        <v>0</v>
      </c>
      <c r="X615" s="19">
        <f t="shared" si="24"/>
        <v>0</v>
      </c>
    </row>
    <row r="616" ht="15.75" customHeight="1">
      <c r="Q616" s="15">
        <f t="shared" si="17"/>
        <v>0</v>
      </c>
      <c r="W616" s="22">
        <f t="shared" si="23"/>
        <v>0</v>
      </c>
      <c r="X616" s="19">
        <f t="shared" si="24"/>
        <v>0</v>
      </c>
    </row>
    <row r="617" ht="15.75" customHeight="1">
      <c r="Q617" s="15">
        <f t="shared" si="17"/>
        <v>0</v>
      </c>
      <c r="W617" s="22">
        <f t="shared" si="23"/>
        <v>0</v>
      </c>
      <c r="X617" s="19">
        <f t="shared" si="24"/>
        <v>0</v>
      </c>
    </row>
    <row r="618" ht="15.75" customHeight="1">
      <c r="Q618" s="15">
        <f t="shared" si="17"/>
        <v>0</v>
      </c>
      <c r="W618" s="22">
        <f t="shared" si="23"/>
        <v>0</v>
      </c>
      <c r="X618" s="19">
        <f t="shared" si="24"/>
        <v>0</v>
      </c>
    </row>
    <row r="619" ht="15.75" customHeight="1">
      <c r="Q619" s="15">
        <f t="shared" si="17"/>
        <v>0</v>
      </c>
      <c r="W619" s="22">
        <f t="shared" si="23"/>
        <v>0</v>
      </c>
      <c r="X619" s="19">
        <f t="shared" si="24"/>
        <v>0</v>
      </c>
    </row>
    <row r="620" ht="15.75" customHeight="1">
      <c r="Q620" s="15">
        <f t="shared" si="17"/>
        <v>0</v>
      </c>
      <c r="W620" s="22">
        <f t="shared" si="23"/>
        <v>0</v>
      </c>
      <c r="X620" s="19">
        <f t="shared" si="24"/>
        <v>0</v>
      </c>
    </row>
    <row r="621" ht="15.75" customHeight="1">
      <c r="Q621" s="15">
        <f t="shared" si="17"/>
        <v>0</v>
      </c>
      <c r="W621" s="22">
        <f t="shared" si="23"/>
        <v>0</v>
      </c>
      <c r="X621" s="19">
        <f t="shared" si="24"/>
        <v>0</v>
      </c>
    </row>
    <row r="622" ht="15.75" customHeight="1">
      <c r="Q622" s="15">
        <f t="shared" si="17"/>
        <v>0</v>
      </c>
      <c r="W622" s="22">
        <f t="shared" si="23"/>
        <v>0</v>
      </c>
      <c r="X622" s="19">
        <f t="shared" si="24"/>
        <v>0</v>
      </c>
    </row>
    <row r="623" ht="15.75" customHeight="1">
      <c r="Q623" s="15">
        <f t="shared" si="17"/>
        <v>0</v>
      </c>
      <c r="W623" s="22">
        <f t="shared" si="23"/>
        <v>0</v>
      </c>
      <c r="X623" s="19">
        <f t="shared" si="24"/>
        <v>0</v>
      </c>
    </row>
    <row r="624" ht="15.75" customHeight="1">
      <c r="Q624" s="15">
        <f t="shared" si="17"/>
        <v>0</v>
      </c>
      <c r="W624" s="22">
        <f t="shared" si="23"/>
        <v>0</v>
      </c>
      <c r="X624" s="19">
        <f t="shared" si="24"/>
        <v>0</v>
      </c>
    </row>
    <row r="625" ht="15.75" customHeight="1">
      <c r="Q625" s="15">
        <f t="shared" si="17"/>
        <v>0</v>
      </c>
      <c r="W625" s="22">
        <f t="shared" si="23"/>
        <v>0</v>
      </c>
      <c r="X625" s="19">
        <f t="shared" si="24"/>
        <v>0</v>
      </c>
    </row>
    <row r="626" ht="15.75" customHeight="1">
      <c r="Q626" s="15">
        <f t="shared" si="17"/>
        <v>0</v>
      </c>
      <c r="W626" s="22">
        <f t="shared" si="23"/>
        <v>0</v>
      </c>
      <c r="X626" s="19">
        <f t="shared" si="24"/>
        <v>0</v>
      </c>
    </row>
    <row r="627" ht="15.75" customHeight="1">
      <c r="Q627" s="15">
        <f t="shared" si="17"/>
        <v>0</v>
      </c>
      <c r="W627" s="22">
        <f t="shared" si="23"/>
        <v>0</v>
      </c>
      <c r="X627" s="19">
        <f t="shared" si="24"/>
        <v>0</v>
      </c>
    </row>
    <row r="628" ht="15.75" customHeight="1">
      <c r="Q628" s="15">
        <f t="shared" si="17"/>
        <v>0</v>
      </c>
      <c r="W628" s="22">
        <f t="shared" si="23"/>
        <v>0</v>
      </c>
      <c r="X628" s="19">
        <f t="shared" si="24"/>
        <v>0</v>
      </c>
    </row>
    <row r="629" ht="15.75" customHeight="1">
      <c r="Q629" s="15">
        <f t="shared" si="17"/>
        <v>0</v>
      </c>
      <c r="W629" s="22">
        <f t="shared" si="23"/>
        <v>0</v>
      </c>
      <c r="X629" s="19">
        <f t="shared" si="24"/>
        <v>0</v>
      </c>
    </row>
    <row r="630" ht="15.75" customHeight="1">
      <c r="Q630" s="15">
        <f t="shared" si="17"/>
        <v>0</v>
      </c>
      <c r="W630" s="22">
        <f t="shared" si="23"/>
        <v>0</v>
      </c>
      <c r="X630" s="19">
        <f t="shared" si="24"/>
        <v>0</v>
      </c>
    </row>
    <row r="631" ht="15.75" customHeight="1">
      <c r="Q631" s="15">
        <f t="shared" si="17"/>
        <v>0</v>
      </c>
      <c r="W631" s="22">
        <f t="shared" si="23"/>
        <v>0</v>
      </c>
      <c r="X631" s="19">
        <f t="shared" si="24"/>
        <v>0</v>
      </c>
    </row>
    <row r="632" ht="15.75" customHeight="1">
      <c r="Q632" s="15">
        <f t="shared" si="17"/>
        <v>0</v>
      </c>
      <c r="W632" s="22">
        <f t="shared" si="23"/>
        <v>0</v>
      </c>
      <c r="X632" s="19">
        <f t="shared" si="24"/>
        <v>0</v>
      </c>
    </row>
    <row r="633" ht="15.75" customHeight="1">
      <c r="Q633" s="15">
        <f t="shared" si="17"/>
        <v>0</v>
      </c>
      <c r="W633" s="22">
        <f t="shared" si="23"/>
        <v>0</v>
      </c>
      <c r="X633" s="19">
        <f t="shared" si="24"/>
        <v>0</v>
      </c>
    </row>
    <row r="634" ht="15.75" customHeight="1">
      <c r="Q634" s="15">
        <f t="shared" si="17"/>
        <v>0</v>
      </c>
      <c r="W634" s="22">
        <f t="shared" si="23"/>
        <v>0</v>
      </c>
      <c r="X634" s="19">
        <f t="shared" si="24"/>
        <v>0</v>
      </c>
    </row>
    <row r="635" ht="15.75" customHeight="1">
      <c r="Q635" s="15">
        <f t="shared" si="17"/>
        <v>0</v>
      </c>
      <c r="W635" s="22">
        <f t="shared" si="23"/>
        <v>0</v>
      </c>
      <c r="X635" s="19">
        <f t="shared" si="24"/>
        <v>0</v>
      </c>
    </row>
    <row r="636" ht="15.75" customHeight="1">
      <c r="Q636" s="15">
        <f t="shared" si="17"/>
        <v>0</v>
      </c>
      <c r="W636" s="22">
        <f t="shared" si="23"/>
        <v>0</v>
      </c>
      <c r="X636" s="19">
        <f t="shared" si="24"/>
        <v>0</v>
      </c>
    </row>
    <row r="637" ht="15.75" customHeight="1">
      <c r="Q637" s="15">
        <f t="shared" si="17"/>
        <v>0</v>
      </c>
      <c r="W637" s="22">
        <f t="shared" si="23"/>
        <v>0</v>
      </c>
      <c r="X637" s="19">
        <f t="shared" si="24"/>
        <v>0</v>
      </c>
    </row>
    <row r="638" ht="15.75" customHeight="1">
      <c r="Q638" s="15">
        <f t="shared" si="17"/>
        <v>0</v>
      </c>
      <c r="W638" s="22">
        <f t="shared" si="23"/>
        <v>0</v>
      </c>
      <c r="X638" s="19">
        <f t="shared" si="24"/>
        <v>0</v>
      </c>
    </row>
    <row r="639" ht="15.75" customHeight="1">
      <c r="Q639" s="15">
        <f t="shared" si="17"/>
        <v>0</v>
      </c>
      <c r="W639" s="22">
        <f t="shared" si="23"/>
        <v>0</v>
      </c>
      <c r="X639" s="19">
        <f t="shared" si="24"/>
        <v>0</v>
      </c>
    </row>
    <row r="640" ht="15.75" customHeight="1">
      <c r="Q640" s="15">
        <f t="shared" si="17"/>
        <v>0</v>
      </c>
      <c r="W640" s="22">
        <f t="shared" si="23"/>
        <v>0</v>
      </c>
      <c r="X640" s="19">
        <f t="shared" si="24"/>
        <v>0</v>
      </c>
    </row>
    <row r="641" ht="15.75" customHeight="1">
      <c r="Q641" s="15">
        <f t="shared" si="17"/>
        <v>0</v>
      </c>
      <c r="W641" s="22">
        <f t="shared" si="23"/>
        <v>0</v>
      </c>
      <c r="X641" s="19">
        <f t="shared" si="24"/>
        <v>0</v>
      </c>
    </row>
    <row r="642" ht="15.75" customHeight="1">
      <c r="Q642" s="15">
        <f t="shared" si="17"/>
        <v>0</v>
      </c>
      <c r="W642" s="22">
        <f t="shared" si="23"/>
        <v>0</v>
      </c>
      <c r="X642" s="19">
        <f t="shared" si="24"/>
        <v>0</v>
      </c>
    </row>
    <row r="643" ht="15.75" customHeight="1">
      <c r="Q643" s="15">
        <f t="shared" si="17"/>
        <v>0</v>
      </c>
      <c r="W643" s="22">
        <f t="shared" si="23"/>
        <v>0</v>
      </c>
      <c r="X643" s="19">
        <f t="shared" si="24"/>
        <v>0</v>
      </c>
    </row>
    <row r="644" ht="15.75" customHeight="1">
      <c r="Q644" s="15">
        <f t="shared" si="17"/>
        <v>0</v>
      </c>
      <c r="W644" s="22">
        <f t="shared" si="23"/>
        <v>0</v>
      </c>
      <c r="X644" s="19">
        <f t="shared" si="24"/>
        <v>0</v>
      </c>
    </row>
    <row r="645" ht="15.75" customHeight="1">
      <c r="Q645" s="15">
        <f t="shared" si="17"/>
        <v>0</v>
      </c>
      <c r="W645" s="22">
        <f t="shared" si="23"/>
        <v>0</v>
      </c>
      <c r="X645" s="19">
        <f t="shared" si="24"/>
        <v>0</v>
      </c>
    </row>
    <row r="646" ht="15.75" customHeight="1">
      <c r="Q646" s="15">
        <f t="shared" si="17"/>
        <v>0</v>
      </c>
      <c r="W646" s="22">
        <f t="shared" si="23"/>
        <v>0</v>
      </c>
      <c r="X646" s="19">
        <f t="shared" si="24"/>
        <v>0</v>
      </c>
    </row>
    <row r="647" ht="15.75" customHeight="1">
      <c r="Q647" s="15">
        <f t="shared" si="17"/>
        <v>0</v>
      </c>
      <c r="W647" s="22">
        <f t="shared" si="23"/>
        <v>0</v>
      </c>
      <c r="X647" s="19">
        <f t="shared" si="24"/>
        <v>0</v>
      </c>
    </row>
    <row r="648" ht="15.75" customHeight="1">
      <c r="Q648" s="15">
        <f t="shared" si="17"/>
        <v>0</v>
      </c>
      <c r="W648" s="22">
        <f t="shared" si="23"/>
        <v>0</v>
      </c>
      <c r="X648" s="19">
        <f t="shared" si="24"/>
        <v>0</v>
      </c>
    </row>
    <row r="649" ht="15.75" customHeight="1">
      <c r="Q649" s="15">
        <f t="shared" si="17"/>
        <v>0</v>
      </c>
      <c r="W649" s="22">
        <f t="shared" si="23"/>
        <v>0</v>
      </c>
      <c r="X649" s="19">
        <f t="shared" si="24"/>
        <v>0</v>
      </c>
    </row>
    <row r="650" ht="15.75" customHeight="1">
      <c r="Q650" s="15">
        <f t="shared" si="17"/>
        <v>0</v>
      </c>
      <c r="W650" s="22">
        <f t="shared" si="23"/>
        <v>0</v>
      </c>
      <c r="X650" s="19">
        <f t="shared" si="24"/>
        <v>0</v>
      </c>
    </row>
    <row r="651" ht="15.75" customHeight="1">
      <c r="Q651" s="15">
        <f t="shared" si="17"/>
        <v>0</v>
      </c>
      <c r="W651" s="22">
        <f t="shared" si="23"/>
        <v>0</v>
      </c>
      <c r="X651" s="19">
        <f t="shared" si="24"/>
        <v>0</v>
      </c>
    </row>
    <row r="652" ht="15.75" customHeight="1">
      <c r="Q652" s="15">
        <f t="shared" si="17"/>
        <v>0</v>
      </c>
      <c r="W652" s="22">
        <f t="shared" si="23"/>
        <v>0</v>
      </c>
      <c r="X652" s="19">
        <f t="shared" si="24"/>
        <v>0</v>
      </c>
    </row>
    <row r="653" ht="15.75" customHeight="1">
      <c r="Q653" s="15">
        <f t="shared" si="17"/>
        <v>0</v>
      </c>
      <c r="W653" s="22">
        <f t="shared" si="23"/>
        <v>0</v>
      </c>
      <c r="X653" s="19">
        <f t="shared" si="24"/>
        <v>0</v>
      </c>
    </row>
    <row r="654" ht="15.75" customHeight="1">
      <c r="Q654" s="15">
        <f t="shared" si="17"/>
        <v>0</v>
      </c>
      <c r="W654" s="22">
        <f t="shared" si="23"/>
        <v>0</v>
      </c>
      <c r="X654" s="19">
        <f t="shared" si="24"/>
        <v>0</v>
      </c>
    </row>
    <row r="655" ht="15.75" customHeight="1">
      <c r="Q655" s="15">
        <f t="shared" si="17"/>
        <v>0</v>
      </c>
      <c r="W655" s="22">
        <f t="shared" si="23"/>
        <v>0</v>
      </c>
      <c r="X655" s="19">
        <f t="shared" si="24"/>
        <v>0</v>
      </c>
    </row>
    <row r="656" ht="15.75" customHeight="1">
      <c r="Q656" s="15">
        <f t="shared" si="17"/>
        <v>0</v>
      </c>
      <c r="W656" s="22">
        <f t="shared" si="23"/>
        <v>0</v>
      </c>
      <c r="X656" s="19">
        <f t="shared" si="24"/>
        <v>0</v>
      </c>
    </row>
    <row r="657" ht="15.75" customHeight="1">
      <c r="Q657" s="15">
        <f t="shared" si="17"/>
        <v>0</v>
      </c>
      <c r="W657" s="22">
        <f t="shared" si="23"/>
        <v>0</v>
      </c>
      <c r="X657" s="19">
        <f t="shared" si="24"/>
        <v>0</v>
      </c>
    </row>
    <row r="658" ht="15.75" customHeight="1">
      <c r="Q658" s="15">
        <f t="shared" si="17"/>
        <v>0</v>
      </c>
      <c r="W658" s="22">
        <f t="shared" si="23"/>
        <v>0</v>
      </c>
      <c r="X658" s="19">
        <f t="shared" si="24"/>
        <v>0</v>
      </c>
    </row>
    <row r="659" ht="15.75" customHeight="1">
      <c r="Q659" s="15">
        <f t="shared" si="17"/>
        <v>0</v>
      </c>
      <c r="W659" s="22">
        <f t="shared" si="23"/>
        <v>0</v>
      </c>
      <c r="X659" s="19">
        <f t="shared" si="24"/>
        <v>0</v>
      </c>
    </row>
    <row r="660" ht="15.75" customHeight="1">
      <c r="Q660" s="15">
        <f t="shared" si="17"/>
        <v>0</v>
      </c>
      <c r="W660" s="22">
        <f t="shared" si="23"/>
        <v>0</v>
      </c>
      <c r="X660" s="19">
        <f t="shared" si="24"/>
        <v>0</v>
      </c>
    </row>
    <row r="661" ht="15.75" customHeight="1">
      <c r="Q661" s="15">
        <f t="shared" si="17"/>
        <v>0</v>
      </c>
      <c r="W661" s="22">
        <f t="shared" si="23"/>
        <v>0</v>
      </c>
      <c r="X661" s="19">
        <f t="shared" si="24"/>
        <v>0</v>
      </c>
    </row>
    <row r="662" ht="15.75" customHeight="1">
      <c r="Q662" s="15">
        <f t="shared" si="17"/>
        <v>0</v>
      </c>
      <c r="W662" s="22">
        <f t="shared" si="23"/>
        <v>0</v>
      </c>
      <c r="X662" s="19">
        <f t="shared" si="24"/>
        <v>0</v>
      </c>
    </row>
    <row r="663" ht="15.75" customHeight="1">
      <c r="Q663" s="15">
        <f t="shared" si="17"/>
        <v>0</v>
      </c>
      <c r="W663" s="22">
        <f t="shared" si="23"/>
        <v>0</v>
      </c>
      <c r="X663" s="19">
        <f t="shared" si="24"/>
        <v>0</v>
      </c>
    </row>
    <row r="664" ht="15.75" customHeight="1">
      <c r="Q664" s="15">
        <f t="shared" si="17"/>
        <v>0</v>
      </c>
      <c r="W664" s="22">
        <f t="shared" si="23"/>
        <v>0</v>
      </c>
      <c r="X664" s="19">
        <f t="shared" si="24"/>
        <v>0</v>
      </c>
    </row>
    <row r="665" ht="15.75" customHeight="1">
      <c r="Q665" s="15">
        <f t="shared" si="17"/>
        <v>0</v>
      </c>
      <c r="W665" s="22">
        <f t="shared" si="23"/>
        <v>0</v>
      </c>
      <c r="X665" s="19">
        <f t="shared" si="24"/>
        <v>0</v>
      </c>
    </row>
    <row r="666" ht="15.75" customHeight="1">
      <c r="Q666" s="15">
        <f t="shared" si="17"/>
        <v>0</v>
      </c>
      <c r="W666" s="22">
        <f t="shared" si="23"/>
        <v>0</v>
      </c>
      <c r="X666" s="19">
        <f t="shared" si="24"/>
        <v>0</v>
      </c>
    </row>
    <row r="667" ht="15.75" customHeight="1">
      <c r="Q667" s="15">
        <f t="shared" si="17"/>
        <v>0</v>
      </c>
      <c r="W667" s="22">
        <f t="shared" si="23"/>
        <v>0</v>
      </c>
      <c r="X667" s="19">
        <f t="shared" si="24"/>
        <v>0</v>
      </c>
    </row>
    <row r="668" ht="15.75" customHeight="1">
      <c r="Q668" s="15">
        <f t="shared" si="17"/>
        <v>0</v>
      </c>
      <c r="W668" s="22">
        <f t="shared" si="23"/>
        <v>0</v>
      </c>
      <c r="X668" s="19">
        <f t="shared" si="24"/>
        <v>0</v>
      </c>
    </row>
    <row r="669" ht="15.75" customHeight="1">
      <c r="Q669" s="15">
        <f t="shared" si="17"/>
        <v>0</v>
      </c>
      <c r="W669" s="22">
        <f t="shared" si="23"/>
        <v>0</v>
      </c>
      <c r="X669" s="19">
        <f t="shared" si="24"/>
        <v>0</v>
      </c>
    </row>
    <row r="670" ht="15.75" customHeight="1">
      <c r="Q670" s="15">
        <f t="shared" si="17"/>
        <v>0</v>
      </c>
      <c r="W670" s="22">
        <f t="shared" si="23"/>
        <v>0</v>
      </c>
      <c r="X670" s="19">
        <f t="shared" si="24"/>
        <v>0</v>
      </c>
    </row>
    <row r="671" ht="15.75" customHeight="1">
      <c r="Q671" s="15">
        <f t="shared" si="17"/>
        <v>0</v>
      </c>
      <c r="W671" s="22">
        <f t="shared" si="23"/>
        <v>0</v>
      </c>
      <c r="X671" s="19">
        <f t="shared" si="24"/>
        <v>0</v>
      </c>
    </row>
    <row r="672" ht="15.75" customHeight="1">
      <c r="Q672" s="15">
        <f t="shared" si="17"/>
        <v>0</v>
      </c>
      <c r="W672" s="22">
        <f t="shared" si="23"/>
        <v>0</v>
      </c>
      <c r="X672" s="19">
        <f t="shared" si="24"/>
        <v>0</v>
      </c>
    </row>
    <row r="673" ht="15.75" customHeight="1">
      <c r="Q673" s="15">
        <f t="shared" si="17"/>
        <v>0</v>
      </c>
      <c r="W673" s="22">
        <f t="shared" si="23"/>
        <v>0</v>
      </c>
      <c r="X673" s="19">
        <f t="shared" si="24"/>
        <v>0</v>
      </c>
    </row>
    <row r="674" ht="15.75" customHeight="1">
      <c r="Q674" s="15">
        <f t="shared" si="17"/>
        <v>0</v>
      </c>
      <c r="W674" s="22">
        <f t="shared" si="23"/>
        <v>0</v>
      </c>
      <c r="X674" s="19">
        <f t="shared" si="24"/>
        <v>0</v>
      </c>
    </row>
    <row r="675" ht="15.75" customHeight="1">
      <c r="Q675" s="15">
        <f t="shared" si="17"/>
        <v>0</v>
      </c>
      <c r="W675" s="22">
        <f t="shared" si="23"/>
        <v>0</v>
      </c>
      <c r="X675" s="19">
        <f t="shared" si="24"/>
        <v>0</v>
      </c>
    </row>
    <row r="676" ht="15.75" customHeight="1">
      <c r="Q676" s="15">
        <f t="shared" si="17"/>
        <v>0</v>
      </c>
      <c r="W676" s="22">
        <f t="shared" si="23"/>
        <v>0</v>
      </c>
      <c r="X676" s="19">
        <f t="shared" si="24"/>
        <v>0</v>
      </c>
    </row>
    <row r="677" ht="15.75" customHeight="1">
      <c r="Q677" s="15">
        <f t="shared" si="17"/>
        <v>0</v>
      </c>
      <c r="W677" s="22">
        <f t="shared" si="23"/>
        <v>0</v>
      </c>
      <c r="X677" s="19">
        <f t="shared" si="24"/>
        <v>0</v>
      </c>
    </row>
    <row r="678" ht="15.75" customHeight="1">
      <c r="Q678" s="15">
        <f t="shared" si="17"/>
        <v>0</v>
      </c>
      <c r="W678" s="22">
        <f t="shared" si="23"/>
        <v>0</v>
      </c>
      <c r="X678" s="19">
        <f t="shared" si="24"/>
        <v>0</v>
      </c>
    </row>
    <row r="679" ht="15.75" customHeight="1">
      <c r="Q679" s="15">
        <f t="shared" si="17"/>
        <v>0</v>
      </c>
      <c r="W679" s="22">
        <f t="shared" si="23"/>
        <v>0</v>
      </c>
      <c r="X679" s="19">
        <f t="shared" si="24"/>
        <v>0</v>
      </c>
    </row>
    <row r="680" ht="15.75" customHeight="1">
      <c r="Q680" s="15">
        <f t="shared" si="17"/>
        <v>0</v>
      </c>
      <c r="W680" s="22">
        <f t="shared" si="23"/>
        <v>0</v>
      </c>
      <c r="X680" s="19">
        <f t="shared" si="24"/>
        <v>0</v>
      </c>
    </row>
    <row r="681" ht="15.75" customHeight="1">
      <c r="Q681" s="15">
        <f t="shared" si="17"/>
        <v>0</v>
      </c>
      <c r="W681" s="22">
        <f t="shared" si="23"/>
        <v>0</v>
      </c>
      <c r="X681" s="19">
        <f t="shared" si="24"/>
        <v>0</v>
      </c>
    </row>
    <row r="682" ht="15.75" customHeight="1">
      <c r="Q682" s="15">
        <f t="shared" si="17"/>
        <v>0</v>
      </c>
      <c r="W682" s="22">
        <f t="shared" si="23"/>
        <v>0</v>
      </c>
      <c r="X682" s="19">
        <f t="shared" si="24"/>
        <v>0</v>
      </c>
    </row>
    <row r="683" ht="15.75" customHeight="1">
      <c r="Q683" s="15">
        <f t="shared" si="17"/>
        <v>0</v>
      </c>
      <c r="W683" s="22">
        <f t="shared" si="23"/>
        <v>0</v>
      </c>
      <c r="X683" s="19">
        <f t="shared" si="24"/>
        <v>0</v>
      </c>
    </row>
    <row r="684" ht="15.75" customHeight="1">
      <c r="Q684" s="15">
        <f t="shared" si="17"/>
        <v>0</v>
      </c>
      <c r="W684" s="22">
        <f t="shared" si="23"/>
        <v>0</v>
      </c>
      <c r="X684" s="19">
        <f t="shared" si="24"/>
        <v>0</v>
      </c>
    </row>
    <row r="685" ht="15.75" customHeight="1">
      <c r="Q685" s="15">
        <f t="shared" si="17"/>
        <v>0</v>
      </c>
      <c r="W685" s="22">
        <f t="shared" si="23"/>
        <v>0</v>
      </c>
      <c r="X685" s="19">
        <f t="shared" si="24"/>
        <v>0</v>
      </c>
    </row>
    <row r="686" ht="15.75" customHeight="1">
      <c r="Q686" s="15">
        <f t="shared" si="17"/>
        <v>0</v>
      </c>
      <c r="W686" s="22">
        <f t="shared" si="23"/>
        <v>0</v>
      </c>
      <c r="X686" s="19">
        <f t="shared" si="24"/>
        <v>0</v>
      </c>
    </row>
    <row r="687" ht="15.75" customHeight="1">
      <c r="Q687" s="15">
        <f t="shared" si="17"/>
        <v>0</v>
      </c>
      <c r="W687" s="22">
        <f t="shared" si="23"/>
        <v>0</v>
      </c>
      <c r="X687" s="19">
        <f t="shared" si="24"/>
        <v>0</v>
      </c>
    </row>
    <row r="688" ht="15.75" customHeight="1">
      <c r="Q688" s="15">
        <f t="shared" si="17"/>
        <v>0</v>
      </c>
      <c r="W688" s="22">
        <f t="shared" si="23"/>
        <v>0</v>
      </c>
      <c r="X688" s="19">
        <f t="shared" si="24"/>
        <v>0</v>
      </c>
    </row>
    <row r="689" ht="15.75" customHeight="1">
      <c r="Q689" s="15">
        <f t="shared" si="17"/>
        <v>0</v>
      </c>
      <c r="W689" s="22">
        <f t="shared" si="23"/>
        <v>0</v>
      </c>
      <c r="X689" s="19">
        <f t="shared" si="24"/>
        <v>0</v>
      </c>
    </row>
    <row r="690" ht="15.75" customHeight="1">
      <c r="Q690" s="15">
        <f t="shared" si="17"/>
        <v>0</v>
      </c>
      <c r="W690" s="22">
        <f t="shared" si="23"/>
        <v>0</v>
      </c>
      <c r="X690" s="19">
        <f t="shared" si="24"/>
        <v>0</v>
      </c>
    </row>
    <row r="691" ht="15.75" customHeight="1">
      <c r="Q691" s="15">
        <f t="shared" si="17"/>
        <v>0</v>
      </c>
      <c r="W691" s="22">
        <f t="shared" si="23"/>
        <v>0</v>
      </c>
      <c r="X691" s="19">
        <f t="shared" si="24"/>
        <v>0</v>
      </c>
    </row>
    <row r="692" ht="15.75" customHeight="1">
      <c r="Q692" s="15">
        <f t="shared" si="17"/>
        <v>0</v>
      </c>
      <c r="W692" s="22">
        <f t="shared" si="23"/>
        <v>0</v>
      </c>
      <c r="X692" s="19">
        <f t="shared" si="24"/>
        <v>0</v>
      </c>
    </row>
    <row r="693" ht="15.75" customHeight="1">
      <c r="Q693" s="15">
        <f t="shared" si="17"/>
        <v>0</v>
      </c>
      <c r="W693" s="22">
        <f t="shared" si="23"/>
        <v>0</v>
      </c>
      <c r="X693" s="19">
        <f t="shared" si="24"/>
        <v>0</v>
      </c>
    </row>
    <row r="694" ht="15.75" customHeight="1">
      <c r="Q694" s="15">
        <f t="shared" si="17"/>
        <v>0</v>
      </c>
      <c r="W694" s="22">
        <f t="shared" si="23"/>
        <v>0</v>
      </c>
      <c r="X694" s="19">
        <f t="shared" si="24"/>
        <v>0</v>
      </c>
    </row>
    <row r="695" ht="15.75" customHeight="1">
      <c r="Q695" s="15">
        <f t="shared" si="17"/>
        <v>0</v>
      </c>
      <c r="W695" s="22">
        <f t="shared" si="23"/>
        <v>0</v>
      </c>
      <c r="X695" s="19">
        <f t="shared" si="24"/>
        <v>0</v>
      </c>
    </row>
    <row r="696" ht="15.75" customHeight="1">
      <c r="Q696" s="15">
        <f t="shared" si="17"/>
        <v>0</v>
      </c>
      <c r="W696" s="22">
        <f t="shared" si="23"/>
        <v>0</v>
      </c>
      <c r="X696" s="19">
        <f t="shared" si="24"/>
        <v>0</v>
      </c>
    </row>
    <row r="697" ht="15.75" customHeight="1">
      <c r="Q697" s="15">
        <f t="shared" si="17"/>
        <v>0</v>
      </c>
      <c r="W697" s="22">
        <f t="shared" si="23"/>
        <v>0</v>
      </c>
      <c r="X697" s="19">
        <f t="shared" si="24"/>
        <v>0</v>
      </c>
    </row>
    <row r="698" ht="15.75" customHeight="1">
      <c r="Q698" s="15">
        <f t="shared" si="17"/>
        <v>0</v>
      </c>
      <c r="W698" s="22">
        <f t="shared" si="23"/>
        <v>0</v>
      </c>
      <c r="X698" s="19">
        <f t="shared" si="24"/>
        <v>0</v>
      </c>
    </row>
    <row r="699" ht="15.75" customHeight="1">
      <c r="Q699" s="15">
        <f t="shared" si="17"/>
        <v>0</v>
      </c>
      <c r="W699" s="22">
        <f t="shared" si="23"/>
        <v>0</v>
      </c>
      <c r="X699" s="19">
        <f t="shared" si="24"/>
        <v>0</v>
      </c>
    </row>
    <row r="700" ht="15.75" customHeight="1">
      <c r="Q700" s="15">
        <f t="shared" si="17"/>
        <v>0</v>
      </c>
      <c r="W700" s="22">
        <f t="shared" si="23"/>
        <v>0</v>
      </c>
      <c r="X700" s="19">
        <f t="shared" si="24"/>
        <v>0</v>
      </c>
    </row>
    <row r="701" ht="15.75" customHeight="1">
      <c r="Q701" s="15">
        <f t="shared" si="17"/>
        <v>0</v>
      </c>
      <c r="W701" s="22">
        <f t="shared" si="23"/>
        <v>0</v>
      </c>
      <c r="X701" s="19">
        <f t="shared" si="24"/>
        <v>0</v>
      </c>
    </row>
    <row r="702" ht="15.75" customHeight="1">
      <c r="Q702" s="15">
        <f t="shared" si="17"/>
        <v>0</v>
      </c>
      <c r="W702" s="22">
        <f t="shared" si="23"/>
        <v>0</v>
      </c>
      <c r="X702" s="19">
        <f t="shared" si="24"/>
        <v>0</v>
      </c>
    </row>
    <row r="703" ht="15.75" customHeight="1">
      <c r="Q703" s="15">
        <f t="shared" si="17"/>
        <v>0</v>
      </c>
      <c r="W703" s="22">
        <f t="shared" si="23"/>
        <v>0</v>
      </c>
      <c r="X703" s="19">
        <f t="shared" si="24"/>
        <v>0</v>
      </c>
    </row>
    <row r="704" ht="15.75" customHeight="1">
      <c r="Q704" s="15">
        <f t="shared" si="17"/>
        <v>0</v>
      </c>
      <c r="W704" s="22">
        <f t="shared" si="23"/>
        <v>0</v>
      </c>
      <c r="X704" s="19">
        <f t="shared" si="24"/>
        <v>0</v>
      </c>
    </row>
    <row r="705" ht="15.75" customHeight="1">
      <c r="Q705" s="15">
        <f t="shared" si="17"/>
        <v>0</v>
      </c>
      <c r="W705" s="22">
        <f t="shared" si="23"/>
        <v>0</v>
      </c>
      <c r="X705" s="19">
        <f t="shared" si="24"/>
        <v>0</v>
      </c>
    </row>
    <row r="706" ht="15.75" customHeight="1">
      <c r="Q706" s="15">
        <f t="shared" si="17"/>
        <v>0</v>
      </c>
      <c r="W706" s="22">
        <f t="shared" si="23"/>
        <v>0</v>
      </c>
      <c r="X706" s="19">
        <f t="shared" si="24"/>
        <v>0</v>
      </c>
    </row>
    <row r="707" ht="15.75" customHeight="1">
      <c r="Q707" s="15">
        <f t="shared" si="17"/>
        <v>0</v>
      </c>
      <c r="W707" s="22">
        <f t="shared" si="23"/>
        <v>0</v>
      </c>
      <c r="X707" s="19">
        <f t="shared" si="24"/>
        <v>0</v>
      </c>
    </row>
    <row r="708" ht="15.75" customHeight="1">
      <c r="Q708" s="15">
        <f t="shared" si="17"/>
        <v>0</v>
      </c>
      <c r="W708" s="22">
        <f t="shared" si="23"/>
        <v>0</v>
      </c>
      <c r="X708" s="19">
        <f t="shared" si="24"/>
        <v>0</v>
      </c>
    </row>
    <row r="709" ht="15.75" customHeight="1">
      <c r="Q709" s="15">
        <f t="shared" si="17"/>
        <v>0</v>
      </c>
      <c r="W709" s="22">
        <f t="shared" si="23"/>
        <v>0</v>
      </c>
      <c r="X709" s="19">
        <f t="shared" si="24"/>
        <v>0</v>
      </c>
    </row>
    <row r="710" ht="15.75" customHeight="1">
      <c r="Q710" s="15">
        <f t="shared" si="17"/>
        <v>0</v>
      </c>
      <c r="W710" s="22">
        <f t="shared" si="23"/>
        <v>0</v>
      </c>
      <c r="X710" s="19">
        <f t="shared" si="24"/>
        <v>0</v>
      </c>
    </row>
    <row r="711" ht="15.75" customHeight="1">
      <c r="Q711" s="15">
        <f t="shared" si="17"/>
        <v>0</v>
      </c>
      <c r="W711" s="22">
        <f t="shared" si="23"/>
        <v>0</v>
      </c>
      <c r="X711" s="19">
        <f t="shared" si="24"/>
        <v>0</v>
      </c>
    </row>
    <row r="712" ht="15.75" customHeight="1">
      <c r="Q712" s="15">
        <f t="shared" si="17"/>
        <v>0</v>
      </c>
      <c r="W712" s="22">
        <f t="shared" si="23"/>
        <v>0</v>
      </c>
      <c r="X712" s="19">
        <f t="shared" si="24"/>
        <v>0</v>
      </c>
    </row>
    <row r="713" ht="15.75" customHeight="1">
      <c r="Q713" s="15">
        <f t="shared" si="17"/>
        <v>0</v>
      </c>
      <c r="W713" s="22">
        <f t="shared" si="23"/>
        <v>0</v>
      </c>
      <c r="X713" s="19">
        <f t="shared" si="24"/>
        <v>0</v>
      </c>
    </row>
    <row r="714" ht="15.75" customHeight="1">
      <c r="Q714" s="15">
        <f t="shared" si="17"/>
        <v>0</v>
      </c>
      <c r="W714" s="22">
        <f t="shared" si="23"/>
        <v>0</v>
      </c>
      <c r="X714" s="19">
        <f t="shared" si="24"/>
        <v>0</v>
      </c>
    </row>
    <row r="715" ht="15.75" customHeight="1">
      <c r="Q715" s="15">
        <f t="shared" si="17"/>
        <v>0</v>
      </c>
      <c r="W715" s="22">
        <f t="shared" si="23"/>
        <v>0</v>
      </c>
      <c r="X715" s="19">
        <f t="shared" si="24"/>
        <v>0</v>
      </c>
    </row>
    <row r="716" ht="15.75" customHeight="1">
      <c r="Q716" s="15">
        <f t="shared" si="17"/>
        <v>0</v>
      </c>
      <c r="W716" s="22">
        <f t="shared" si="23"/>
        <v>0</v>
      </c>
      <c r="X716" s="19">
        <f t="shared" si="24"/>
        <v>0</v>
      </c>
    </row>
    <row r="717" ht="15.75" customHeight="1">
      <c r="Q717" s="15">
        <f t="shared" si="17"/>
        <v>0</v>
      </c>
      <c r="W717" s="22">
        <f t="shared" si="23"/>
        <v>0</v>
      </c>
      <c r="X717" s="19">
        <f t="shared" si="24"/>
        <v>0</v>
      </c>
    </row>
    <row r="718" ht="15.75" customHeight="1">
      <c r="Q718" s="15">
        <f t="shared" si="17"/>
        <v>0</v>
      </c>
      <c r="W718" s="22">
        <f t="shared" si="23"/>
        <v>0</v>
      </c>
      <c r="X718" s="19">
        <f t="shared" si="24"/>
        <v>0</v>
      </c>
    </row>
    <row r="719" ht="15.75" customHeight="1">
      <c r="Q719" s="15">
        <f t="shared" si="17"/>
        <v>0</v>
      </c>
      <c r="W719" s="22">
        <f t="shared" si="23"/>
        <v>0</v>
      </c>
      <c r="X719" s="19">
        <f t="shared" si="24"/>
        <v>0</v>
      </c>
    </row>
    <row r="720" ht="15.75" customHeight="1">
      <c r="Q720" s="15">
        <f t="shared" si="17"/>
        <v>0</v>
      </c>
      <c r="W720" s="22">
        <f t="shared" si="23"/>
        <v>0</v>
      </c>
      <c r="X720" s="19">
        <f t="shared" si="24"/>
        <v>0</v>
      </c>
    </row>
    <row r="721" ht="15.75" customHeight="1">
      <c r="Q721" s="15">
        <f t="shared" si="17"/>
        <v>0</v>
      </c>
      <c r="W721" s="22">
        <f t="shared" si="23"/>
        <v>0</v>
      </c>
      <c r="X721" s="19">
        <f t="shared" si="24"/>
        <v>0</v>
      </c>
    </row>
    <row r="722" ht="15.75" customHeight="1">
      <c r="Q722" s="15">
        <f t="shared" si="17"/>
        <v>0</v>
      </c>
      <c r="W722" s="22">
        <f t="shared" si="23"/>
        <v>0</v>
      </c>
      <c r="X722" s="19">
        <f t="shared" si="24"/>
        <v>0</v>
      </c>
    </row>
    <row r="723" ht="15.75" customHeight="1">
      <c r="Q723" s="15">
        <f t="shared" si="17"/>
        <v>0</v>
      </c>
      <c r="W723" s="22">
        <f t="shared" si="23"/>
        <v>0</v>
      </c>
      <c r="X723" s="19">
        <f t="shared" si="24"/>
        <v>0</v>
      </c>
    </row>
    <row r="724" ht="15.75" customHeight="1">
      <c r="Q724" s="15">
        <f t="shared" si="17"/>
        <v>0</v>
      </c>
      <c r="W724" s="22">
        <f t="shared" si="23"/>
        <v>0</v>
      </c>
      <c r="X724" s="19">
        <f t="shared" si="24"/>
        <v>0</v>
      </c>
    </row>
    <row r="725" ht="15.75" customHeight="1">
      <c r="Q725" s="15">
        <f t="shared" si="17"/>
        <v>0</v>
      </c>
      <c r="W725" s="22">
        <f t="shared" si="23"/>
        <v>0</v>
      </c>
      <c r="X725" s="19">
        <f t="shared" si="24"/>
        <v>0</v>
      </c>
    </row>
    <row r="726" ht="15.75" customHeight="1">
      <c r="Q726" s="15">
        <f t="shared" si="17"/>
        <v>0</v>
      </c>
      <c r="W726" s="22">
        <f t="shared" si="23"/>
        <v>0</v>
      </c>
      <c r="X726" s="19">
        <f t="shared" si="24"/>
        <v>0</v>
      </c>
    </row>
    <row r="727" ht="15.75" customHeight="1">
      <c r="Q727" s="15">
        <f t="shared" si="17"/>
        <v>0</v>
      </c>
      <c r="W727" s="22">
        <f t="shared" si="23"/>
        <v>0</v>
      </c>
      <c r="X727" s="19">
        <f t="shared" si="24"/>
        <v>0</v>
      </c>
    </row>
    <row r="728" ht="15.75" customHeight="1">
      <c r="Q728" s="15">
        <f t="shared" si="17"/>
        <v>0</v>
      </c>
      <c r="W728" s="22">
        <f t="shared" si="23"/>
        <v>0</v>
      </c>
      <c r="X728" s="19">
        <f t="shared" si="24"/>
        <v>0</v>
      </c>
    </row>
    <row r="729" ht="15.75" customHeight="1">
      <c r="Q729" s="15">
        <f t="shared" si="17"/>
        <v>0</v>
      </c>
      <c r="W729" s="22">
        <f t="shared" si="23"/>
        <v>0</v>
      </c>
      <c r="X729" s="19">
        <f t="shared" si="24"/>
        <v>0</v>
      </c>
    </row>
    <row r="730" ht="15.75" customHeight="1">
      <c r="Q730" s="15">
        <f t="shared" si="17"/>
        <v>0</v>
      </c>
      <c r="W730" s="22">
        <f t="shared" si="23"/>
        <v>0</v>
      </c>
      <c r="X730" s="19">
        <f t="shared" si="24"/>
        <v>0</v>
      </c>
    </row>
    <row r="731" ht="15.75" customHeight="1">
      <c r="Q731" s="15">
        <f t="shared" si="17"/>
        <v>0</v>
      </c>
      <c r="W731" s="22">
        <f t="shared" si="23"/>
        <v>0</v>
      </c>
      <c r="X731" s="19">
        <f t="shared" si="24"/>
        <v>0</v>
      </c>
    </row>
    <row r="732" ht="15.75" customHeight="1">
      <c r="Q732" s="15">
        <f t="shared" si="17"/>
        <v>0</v>
      </c>
      <c r="W732" s="22">
        <f t="shared" si="23"/>
        <v>0</v>
      </c>
      <c r="X732" s="19">
        <f t="shared" si="24"/>
        <v>0</v>
      </c>
    </row>
    <row r="733" ht="15.75" customHeight="1">
      <c r="Q733" s="15">
        <f t="shared" si="17"/>
        <v>0</v>
      </c>
      <c r="W733" s="22">
        <f t="shared" si="23"/>
        <v>0</v>
      </c>
      <c r="X733" s="19">
        <f t="shared" si="24"/>
        <v>0</v>
      </c>
    </row>
    <row r="734" ht="15.75" customHeight="1">
      <c r="Q734" s="15">
        <f t="shared" si="17"/>
        <v>0</v>
      </c>
      <c r="W734" s="22">
        <f t="shared" si="23"/>
        <v>0</v>
      </c>
      <c r="X734" s="19">
        <f t="shared" si="24"/>
        <v>0</v>
      </c>
    </row>
    <row r="735" ht="15.75" customHeight="1">
      <c r="Q735" s="15">
        <f t="shared" si="17"/>
        <v>0</v>
      </c>
      <c r="W735" s="22">
        <f t="shared" si="23"/>
        <v>0</v>
      </c>
      <c r="X735" s="19">
        <f t="shared" si="24"/>
        <v>0</v>
      </c>
    </row>
    <row r="736" ht="15.75" customHeight="1">
      <c r="Q736" s="15">
        <f t="shared" si="17"/>
        <v>0</v>
      </c>
      <c r="W736" s="22">
        <f t="shared" si="23"/>
        <v>0</v>
      </c>
      <c r="X736" s="19">
        <f t="shared" si="24"/>
        <v>0</v>
      </c>
    </row>
    <row r="737" ht="15.75" customHeight="1">
      <c r="Q737" s="15">
        <f t="shared" si="17"/>
        <v>0</v>
      </c>
      <c r="W737" s="22">
        <f t="shared" si="23"/>
        <v>0</v>
      </c>
      <c r="X737" s="19">
        <f t="shared" si="24"/>
        <v>0</v>
      </c>
    </row>
    <row r="738" ht="15.75" customHeight="1">
      <c r="Q738" s="15">
        <f t="shared" si="17"/>
        <v>0</v>
      </c>
      <c r="W738" s="22">
        <f t="shared" si="23"/>
        <v>0</v>
      </c>
      <c r="X738" s="19">
        <f t="shared" si="24"/>
        <v>0</v>
      </c>
    </row>
    <row r="739" ht="15.75" customHeight="1">
      <c r="Q739" s="15">
        <f t="shared" si="17"/>
        <v>0</v>
      </c>
      <c r="W739" s="22">
        <f t="shared" si="23"/>
        <v>0</v>
      </c>
      <c r="X739" s="19">
        <f t="shared" si="24"/>
        <v>0</v>
      </c>
    </row>
    <row r="740" ht="15.75" customHeight="1">
      <c r="Q740" s="15">
        <f t="shared" si="17"/>
        <v>0</v>
      </c>
      <c r="W740" s="22">
        <f t="shared" si="23"/>
        <v>0</v>
      </c>
      <c r="X740" s="19">
        <f t="shared" si="24"/>
        <v>0</v>
      </c>
    </row>
    <row r="741" ht="15.75" customHeight="1">
      <c r="Q741" s="15">
        <f t="shared" si="17"/>
        <v>0</v>
      </c>
      <c r="W741" s="22">
        <f t="shared" si="23"/>
        <v>0</v>
      </c>
      <c r="X741" s="19">
        <f t="shared" si="24"/>
        <v>0</v>
      </c>
    </row>
    <row r="742" ht="15.75" customHeight="1">
      <c r="Q742" s="15">
        <f t="shared" si="17"/>
        <v>0</v>
      </c>
      <c r="W742" s="22">
        <f t="shared" si="23"/>
        <v>0</v>
      </c>
      <c r="X742" s="19">
        <f t="shared" si="24"/>
        <v>0</v>
      </c>
    </row>
    <row r="743" ht="15.75" customHeight="1">
      <c r="Q743" s="15">
        <f t="shared" si="17"/>
        <v>0</v>
      </c>
      <c r="W743" s="22">
        <f t="shared" si="23"/>
        <v>0</v>
      </c>
      <c r="X743" s="19">
        <f t="shared" si="24"/>
        <v>0</v>
      </c>
    </row>
    <row r="744" ht="15.75" customHeight="1">
      <c r="Q744" s="15">
        <f t="shared" si="17"/>
        <v>0</v>
      </c>
      <c r="W744" s="22">
        <f t="shared" si="23"/>
        <v>0</v>
      </c>
      <c r="X744" s="19">
        <f t="shared" si="24"/>
        <v>0</v>
      </c>
    </row>
    <row r="745" ht="15.75" customHeight="1">
      <c r="Q745" s="15">
        <f t="shared" si="17"/>
        <v>0</v>
      </c>
      <c r="W745" s="22">
        <f t="shared" si="23"/>
        <v>0</v>
      </c>
      <c r="X745" s="19">
        <f t="shared" si="24"/>
        <v>0</v>
      </c>
    </row>
    <row r="746" ht="15.75" customHeight="1">
      <c r="Q746" s="15">
        <f t="shared" si="17"/>
        <v>0</v>
      </c>
      <c r="W746" s="22">
        <f t="shared" si="23"/>
        <v>0</v>
      </c>
      <c r="X746" s="19">
        <f t="shared" si="24"/>
        <v>0</v>
      </c>
    </row>
    <row r="747" ht="15.75" customHeight="1">
      <c r="Q747" s="15">
        <f t="shared" si="17"/>
        <v>0</v>
      </c>
      <c r="W747" s="22">
        <f t="shared" si="23"/>
        <v>0</v>
      </c>
      <c r="X747" s="19">
        <f t="shared" si="24"/>
        <v>0</v>
      </c>
    </row>
    <row r="748" ht="15.75" customHeight="1">
      <c r="Q748" s="15">
        <f t="shared" si="17"/>
        <v>0</v>
      </c>
      <c r="W748" s="22">
        <f t="shared" si="23"/>
        <v>0</v>
      </c>
      <c r="X748" s="19">
        <f t="shared" si="24"/>
        <v>0</v>
      </c>
    </row>
    <row r="749" ht="15.75" customHeight="1">
      <c r="Q749" s="15">
        <f t="shared" si="17"/>
        <v>0</v>
      </c>
      <c r="W749" s="22">
        <f t="shared" si="23"/>
        <v>0</v>
      </c>
      <c r="X749" s="19">
        <f t="shared" si="24"/>
        <v>0</v>
      </c>
    </row>
    <row r="750" ht="15.75" customHeight="1">
      <c r="Q750" s="15">
        <f t="shared" si="17"/>
        <v>0</v>
      </c>
      <c r="W750" s="22">
        <f t="shared" si="23"/>
        <v>0</v>
      </c>
      <c r="X750" s="19">
        <f t="shared" si="24"/>
        <v>0</v>
      </c>
    </row>
    <row r="751" ht="15.75" customHeight="1">
      <c r="Q751" s="15">
        <f t="shared" si="17"/>
        <v>0</v>
      </c>
      <c r="W751" s="22">
        <f t="shared" si="23"/>
        <v>0</v>
      </c>
      <c r="X751" s="19">
        <f t="shared" si="24"/>
        <v>0</v>
      </c>
    </row>
    <row r="752" ht="15.75" customHeight="1">
      <c r="Q752" s="15">
        <f t="shared" si="17"/>
        <v>0</v>
      </c>
      <c r="W752" s="22">
        <f t="shared" si="23"/>
        <v>0</v>
      </c>
      <c r="X752" s="19">
        <f t="shared" si="24"/>
        <v>0</v>
      </c>
    </row>
    <row r="753" ht="15.75" customHeight="1">
      <c r="Q753" s="15">
        <f t="shared" si="17"/>
        <v>0</v>
      </c>
      <c r="W753" s="22">
        <f t="shared" si="23"/>
        <v>0</v>
      </c>
      <c r="X753" s="19">
        <f t="shared" si="24"/>
        <v>0</v>
      </c>
    </row>
    <row r="754" ht="15.75" customHeight="1">
      <c r="Q754" s="15">
        <f t="shared" si="17"/>
        <v>0</v>
      </c>
      <c r="W754" s="22">
        <f t="shared" si="23"/>
        <v>0</v>
      </c>
      <c r="X754" s="19">
        <f t="shared" si="24"/>
        <v>0</v>
      </c>
    </row>
    <row r="755" ht="15.75" customHeight="1">
      <c r="Q755" s="15">
        <f t="shared" si="17"/>
        <v>0</v>
      </c>
      <c r="W755" s="22">
        <f t="shared" si="23"/>
        <v>0</v>
      </c>
      <c r="X755" s="19">
        <f t="shared" si="24"/>
        <v>0</v>
      </c>
    </row>
    <row r="756" ht="15.75" customHeight="1">
      <c r="Q756" s="15">
        <f t="shared" si="17"/>
        <v>0</v>
      </c>
      <c r="W756" s="22">
        <f t="shared" si="23"/>
        <v>0</v>
      </c>
      <c r="X756" s="19">
        <f t="shared" si="24"/>
        <v>0</v>
      </c>
    </row>
    <row r="757" ht="15.75" customHeight="1">
      <c r="Q757" s="15">
        <f t="shared" si="17"/>
        <v>0</v>
      </c>
      <c r="W757" s="22">
        <f t="shared" si="23"/>
        <v>0</v>
      </c>
      <c r="X757" s="19">
        <f t="shared" si="24"/>
        <v>0</v>
      </c>
    </row>
    <row r="758" ht="15.75" customHeight="1">
      <c r="Q758" s="15">
        <f t="shared" si="17"/>
        <v>0</v>
      </c>
      <c r="W758" s="22">
        <f t="shared" si="23"/>
        <v>0</v>
      </c>
      <c r="X758" s="19">
        <f t="shared" si="24"/>
        <v>0</v>
      </c>
    </row>
    <row r="759" ht="15.75" customHeight="1">
      <c r="Q759" s="15">
        <f t="shared" si="17"/>
        <v>0</v>
      </c>
      <c r="W759" s="22">
        <f t="shared" si="23"/>
        <v>0</v>
      </c>
      <c r="X759" s="19">
        <f t="shared" si="24"/>
        <v>0</v>
      </c>
    </row>
    <row r="760" ht="15.75" customHeight="1">
      <c r="Q760" s="15">
        <f t="shared" si="17"/>
        <v>0</v>
      </c>
      <c r="W760" s="22">
        <f t="shared" si="23"/>
        <v>0</v>
      </c>
      <c r="X760" s="19">
        <f t="shared" si="24"/>
        <v>0</v>
      </c>
    </row>
    <row r="761" ht="15.75" customHeight="1">
      <c r="Q761" s="15">
        <f t="shared" si="17"/>
        <v>0</v>
      </c>
      <c r="W761" s="22">
        <f t="shared" si="23"/>
        <v>0</v>
      </c>
      <c r="X761" s="19">
        <f t="shared" si="24"/>
        <v>0</v>
      </c>
    </row>
    <row r="762" ht="15.75" customHeight="1">
      <c r="Q762" s="15">
        <f t="shared" si="17"/>
        <v>0</v>
      </c>
      <c r="W762" s="22">
        <f t="shared" si="23"/>
        <v>0</v>
      </c>
      <c r="X762" s="19">
        <f t="shared" si="24"/>
        <v>0</v>
      </c>
    </row>
    <row r="763" ht="15.75" customHeight="1">
      <c r="Q763" s="15">
        <f t="shared" si="17"/>
        <v>0</v>
      </c>
      <c r="W763" s="22">
        <f t="shared" si="23"/>
        <v>0</v>
      </c>
      <c r="X763" s="19">
        <f t="shared" si="24"/>
        <v>0</v>
      </c>
    </row>
    <row r="764" ht="15.75" customHeight="1">
      <c r="Q764" s="15">
        <f t="shared" si="17"/>
        <v>0</v>
      </c>
      <c r="W764" s="22">
        <f t="shared" si="23"/>
        <v>0</v>
      </c>
      <c r="X764" s="19">
        <f t="shared" si="24"/>
        <v>0</v>
      </c>
    </row>
    <row r="765" ht="15.75" customHeight="1">
      <c r="Q765" s="15">
        <f t="shared" si="17"/>
        <v>0</v>
      </c>
      <c r="W765" s="22">
        <f t="shared" si="23"/>
        <v>0</v>
      </c>
      <c r="X765" s="19">
        <f t="shared" si="24"/>
        <v>0</v>
      </c>
    </row>
    <row r="766" ht="15.75" customHeight="1">
      <c r="Q766" s="15">
        <f t="shared" si="17"/>
        <v>0</v>
      </c>
      <c r="W766" s="22">
        <f t="shared" si="23"/>
        <v>0</v>
      </c>
      <c r="X766" s="19">
        <f t="shared" si="24"/>
        <v>0</v>
      </c>
    </row>
    <row r="767" ht="15.75" customHeight="1">
      <c r="Q767" s="15">
        <f t="shared" si="17"/>
        <v>0</v>
      </c>
      <c r="W767" s="22">
        <f t="shared" si="23"/>
        <v>0</v>
      </c>
      <c r="X767" s="19">
        <f t="shared" si="24"/>
        <v>0</v>
      </c>
    </row>
    <row r="768" ht="15.75" customHeight="1">
      <c r="Q768" s="15">
        <f t="shared" si="17"/>
        <v>0</v>
      </c>
      <c r="W768" s="22">
        <f t="shared" si="23"/>
        <v>0</v>
      </c>
      <c r="X768" s="19">
        <f t="shared" si="24"/>
        <v>0</v>
      </c>
    </row>
    <row r="769" ht="15.75" customHeight="1">
      <c r="Q769" s="15">
        <f t="shared" si="17"/>
        <v>0</v>
      </c>
      <c r="W769" s="22">
        <f t="shared" si="23"/>
        <v>0</v>
      </c>
      <c r="X769" s="19">
        <f t="shared" si="24"/>
        <v>0</v>
      </c>
    </row>
    <row r="770" ht="15.75" customHeight="1">
      <c r="Q770" s="15">
        <f t="shared" si="17"/>
        <v>0</v>
      </c>
      <c r="W770" s="22">
        <f t="shared" si="23"/>
        <v>0</v>
      </c>
      <c r="X770" s="19">
        <f t="shared" si="24"/>
        <v>0</v>
      </c>
    </row>
    <row r="771" ht="15.75" customHeight="1">
      <c r="Q771" s="15">
        <f t="shared" si="17"/>
        <v>0</v>
      </c>
      <c r="W771" s="22">
        <f t="shared" si="23"/>
        <v>0</v>
      </c>
      <c r="X771" s="19">
        <f t="shared" si="24"/>
        <v>0</v>
      </c>
    </row>
    <row r="772" ht="15.75" customHeight="1">
      <c r="Q772" s="15">
        <f t="shared" si="17"/>
        <v>0</v>
      </c>
      <c r="W772" s="22">
        <f t="shared" si="23"/>
        <v>0</v>
      </c>
      <c r="X772" s="19">
        <f t="shared" si="24"/>
        <v>0</v>
      </c>
    </row>
    <row r="773" ht="15.75" customHeight="1">
      <c r="Q773" s="15">
        <f t="shared" si="17"/>
        <v>0</v>
      </c>
      <c r="W773" s="22">
        <f t="shared" si="23"/>
        <v>0</v>
      </c>
      <c r="X773" s="19">
        <f t="shared" si="24"/>
        <v>0</v>
      </c>
    </row>
    <row r="774" ht="15.75" customHeight="1">
      <c r="Q774" s="15">
        <f t="shared" si="17"/>
        <v>0</v>
      </c>
      <c r="W774" s="22">
        <f t="shared" si="23"/>
        <v>0</v>
      </c>
      <c r="X774" s="19">
        <f t="shared" si="24"/>
        <v>0</v>
      </c>
    </row>
    <row r="775" ht="15.75" customHeight="1">
      <c r="Q775" s="15">
        <f t="shared" si="17"/>
        <v>0</v>
      </c>
      <c r="W775" s="22">
        <f t="shared" si="23"/>
        <v>0</v>
      </c>
      <c r="X775" s="19">
        <f t="shared" si="24"/>
        <v>0</v>
      </c>
    </row>
    <row r="776" ht="15.75" customHeight="1">
      <c r="Q776" s="15">
        <f t="shared" si="17"/>
        <v>0</v>
      </c>
      <c r="W776" s="22">
        <f t="shared" si="23"/>
        <v>0</v>
      </c>
      <c r="X776" s="19">
        <f t="shared" si="24"/>
        <v>0</v>
      </c>
    </row>
    <row r="777" ht="15.75" customHeight="1">
      <c r="Q777" s="15">
        <f t="shared" si="17"/>
        <v>0</v>
      </c>
      <c r="W777" s="22">
        <f t="shared" si="23"/>
        <v>0</v>
      </c>
      <c r="X777" s="19">
        <f t="shared" si="24"/>
        <v>0</v>
      </c>
    </row>
    <row r="778" ht="15.75" customHeight="1">
      <c r="Q778" s="15">
        <f t="shared" si="17"/>
        <v>0</v>
      </c>
      <c r="W778" s="22">
        <f t="shared" si="23"/>
        <v>0</v>
      </c>
      <c r="X778" s="19">
        <f t="shared" si="24"/>
        <v>0</v>
      </c>
    </row>
    <row r="779" ht="15.75" customHeight="1">
      <c r="Q779" s="15">
        <f t="shared" si="17"/>
        <v>0</v>
      </c>
      <c r="W779" s="22">
        <f t="shared" si="23"/>
        <v>0</v>
      </c>
      <c r="X779" s="19">
        <f t="shared" si="24"/>
        <v>0</v>
      </c>
    </row>
    <row r="780" ht="15.75" customHeight="1">
      <c r="Q780" s="15">
        <f t="shared" si="17"/>
        <v>0</v>
      </c>
      <c r="W780" s="22">
        <f t="shared" si="23"/>
        <v>0</v>
      </c>
      <c r="X780" s="19">
        <f t="shared" si="24"/>
        <v>0</v>
      </c>
    </row>
    <row r="781" ht="15.75" customHeight="1">
      <c r="Q781" s="15">
        <f t="shared" si="17"/>
        <v>0</v>
      </c>
      <c r="W781" s="22">
        <f t="shared" si="23"/>
        <v>0</v>
      </c>
      <c r="X781" s="19">
        <f t="shared" si="24"/>
        <v>0</v>
      </c>
    </row>
    <row r="782" ht="15.75" customHeight="1">
      <c r="Q782" s="15">
        <f t="shared" si="17"/>
        <v>0</v>
      </c>
      <c r="W782" s="22">
        <f t="shared" si="23"/>
        <v>0</v>
      </c>
      <c r="X782" s="19">
        <f t="shared" si="24"/>
        <v>0</v>
      </c>
    </row>
    <row r="783" ht="15.75" customHeight="1">
      <c r="Q783" s="15">
        <f t="shared" si="17"/>
        <v>0</v>
      </c>
      <c r="W783" s="22">
        <f t="shared" si="23"/>
        <v>0</v>
      </c>
      <c r="X783" s="19">
        <f t="shared" si="24"/>
        <v>0</v>
      </c>
    </row>
    <row r="784" ht="15.75" customHeight="1">
      <c r="Q784" s="15">
        <f t="shared" si="17"/>
        <v>0</v>
      </c>
      <c r="W784" s="22">
        <f t="shared" si="23"/>
        <v>0</v>
      </c>
      <c r="X784" s="19">
        <f t="shared" si="24"/>
        <v>0</v>
      </c>
    </row>
    <row r="785" ht="15.75" customHeight="1">
      <c r="Q785" s="15">
        <f t="shared" si="17"/>
        <v>0</v>
      </c>
      <c r="W785" s="22">
        <f t="shared" si="23"/>
        <v>0</v>
      </c>
      <c r="X785" s="19">
        <f t="shared" si="24"/>
        <v>0</v>
      </c>
    </row>
    <row r="786" ht="15.75" customHeight="1">
      <c r="Q786" s="15">
        <f t="shared" si="17"/>
        <v>0</v>
      </c>
      <c r="W786" s="22">
        <f t="shared" si="23"/>
        <v>0</v>
      </c>
      <c r="X786" s="19">
        <f t="shared" si="24"/>
        <v>0</v>
      </c>
    </row>
    <row r="787" ht="15.75" customHeight="1">
      <c r="Q787" s="15">
        <f t="shared" si="17"/>
        <v>0</v>
      </c>
      <c r="W787" s="22">
        <f t="shared" si="23"/>
        <v>0</v>
      </c>
      <c r="X787" s="19">
        <f t="shared" si="24"/>
        <v>0</v>
      </c>
    </row>
    <row r="788" ht="15.75" customHeight="1">
      <c r="Q788" s="15">
        <f t="shared" si="17"/>
        <v>0</v>
      </c>
      <c r="W788" s="22">
        <f t="shared" si="23"/>
        <v>0</v>
      </c>
      <c r="X788" s="19">
        <f t="shared" si="24"/>
        <v>0</v>
      </c>
    </row>
    <row r="789" ht="15.75" customHeight="1">
      <c r="Q789" s="15">
        <f t="shared" si="17"/>
        <v>0</v>
      </c>
      <c r="W789" s="22">
        <f t="shared" si="23"/>
        <v>0</v>
      </c>
      <c r="X789" s="19">
        <f t="shared" si="24"/>
        <v>0</v>
      </c>
    </row>
    <row r="790" ht="15.75" customHeight="1">
      <c r="Q790" s="15">
        <f t="shared" si="17"/>
        <v>0</v>
      </c>
      <c r="W790" s="22">
        <f t="shared" si="23"/>
        <v>0</v>
      </c>
      <c r="X790" s="19">
        <f t="shared" si="24"/>
        <v>0</v>
      </c>
    </row>
    <row r="791" ht="15.75" customHeight="1">
      <c r="Q791" s="15">
        <f t="shared" si="17"/>
        <v>0</v>
      </c>
      <c r="W791" s="22">
        <f t="shared" si="23"/>
        <v>0</v>
      </c>
      <c r="X791" s="19">
        <f t="shared" si="24"/>
        <v>0</v>
      </c>
    </row>
    <row r="792" ht="15.75" customHeight="1">
      <c r="Q792" s="15">
        <f t="shared" si="17"/>
        <v>0</v>
      </c>
      <c r="W792" s="22">
        <f t="shared" si="23"/>
        <v>0</v>
      </c>
      <c r="X792" s="19">
        <f t="shared" si="24"/>
        <v>0</v>
      </c>
    </row>
    <row r="793" ht="15.75" customHeight="1">
      <c r="Q793" s="15">
        <f t="shared" si="17"/>
        <v>0</v>
      </c>
      <c r="W793" s="22">
        <f t="shared" si="23"/>
        <v>0</v>
      </c>
      <c r="X793" s="19">
        <f t="shared" si="24"/>
        <v>0</v>
      </c>
    </row>
    <row r="794" ht="15.75" customHeight="1">
      <c r="Q794" s="15">
        <f t="shared" si="17"/>
        <v>0</v>
      </c>
      <c r="W794" s="22">
        <f t="shared" si="23"/>
        <v>0</v>
      </c>
      <c r="X794" s="19">
        <f t="shared" si="24"/>
        <v>0</v>
      </c>
    </row>
    <row r="795" ht="15.75" customHeight="1">
      <c r="Q795" s="15">
        <f t="shared" si="17"/>
        <v>0</v>
      </c>
      <c r="W795" s="22">
        <f t="shared" si="23"/>
        <v>0</v>
      </c>
      <c r="X795" s="19">
        <f t="shared" si="24"/>
        <v>0</v>
      </c>
    </row>
    <row r="796" ht="15.75" customHeight="1">
      <c r="Q796" s="15">
        <f t="shared" si="17"/>
        <v>0</v>
      </c>
      <c r="W796" s="22">
        <f t="shared" si="23"/>
        <v>0</v>
      </c>
      <c r="X796" s="19">
        <f t="shared" si="24"/>
        <v>0</v>
      </c>
    </row>
    <row r="797" ht="15.75" customHeight="1">
      <c r="Q797" s="15">
        <f t="shared" si="17"/>
        <v>0</v>
      </c>
      <c r="W797" s="22">
        <f t="shared" si="23"/>
        <v>0</v>
      </c>
      <c r="X797" s="19">
        <f t="shared" si="24"/>
        <v>0</v>
      </c>
    </row>
    <row r="798" ht="15.75" customHeight="1">
      <c r="Q798" s="15">
        <f t="shared" si="17"/>
        <v>0</v>
      </c>
      <c r="W798" s="22">
        <f t="shared" si="23"/>
        <v>0</v>
      </c>
      <c r="X798" s="19">
        <f t="shared" si="24"/>
        <v>0</v>
      </c>
    </row>
    <row r="799" ht="15.75" customHeight="1">
      <c r="Q799" s="15">
        <f t="shared" si="17"/>
        <v>0</v>
      </c>
      <c r="W799" s="22">
        <f t="shared" si="23"/>
        <v>0</v>
      </c>
      <c r="X799" s="19">
        <f t="shared" si="24"/>
        <v>0</v>
      </c>
    </row>
    <row r="800" ht="15.75" customHeight="1">
      <c r="Q800" s="15">
        <f t="shared" si="17"/>
        <v>0</v>
      </c>
      <c r="W800" s="22">
        <f t="shared" si="23"/>
        <v>0</v>
      </c>
      <c r="X800" s="19">
        <f t="shared" si="24"/>
        <v>0</v>
      </c>
    </row>
    <row r="801" ht="15.75" customHeight="1">
      <c r="Q801" s="15">
        <f t="shared" si="17"/>
        <v>0</v>
      </c>
      <c r="W801" s="22">
        <f t="shared" si="23"/>
        <v>0</v>
      </c>
      <c r="X801" s="19">
        <f t="shared" si="24"/>
        <v>0</v>
      </c>
    </row>
    <row r="802" ht="15.75" customHeight="1">
      <c r="Q802" s="15">
        <f t="shared" si="17"/>
        <v>0</v>
      </c>
      <c r="W802" s="22">
        <f t="shared" si="23"/>
        <v>0</v>
      </c>
      <c r="X802" s="19">
        <f t="shared" si="24"/>
        <v>0</v>
      </c>
    </row>
    <row r="803" ht="15.75" customHeight="1">
      <c r="Q803" s="15">
        <f t="shared" si="17"/>
        <v>0</v>
      </c>
      <c r="W803" s="22">
        <f t="shared" si="23"/>
        <v>0</v>
      </c>
      <c r="X803" s="19">
        <f t="shared" si="24"/>
        <v>0</v>
      </c>
    </row>
    <row r="804" ht="15.75" customHeight="1">
      <c r="Q804" s="15">
        <f t="shared" si="17"/>
        <v>0</v>
      </c>
      <c r="W804" s="22">
        <f t="shared" si="23"/>
        <v>0</v>
      </c>
      <c r="X804" s="19">
        <f t="shared" si="24"/>
        <v>0</v>
      </c>
    </row>
    <row r="805" ht="15.75" customHeight="1">
      <c r="Q805" s="15">
        <f t="shared" si="17"/>
        <v>0</v>
      </c>
      <c r="W805" s="22">
        <f t="shared" si="23"/>
        <v>0</v>
      </c>
      <c r="X805" s="19">
        <f t="shared" si="24"/>
        <v>0</v>
      </c>
    </row>
    <row r="806" ht="15.75" customHeight="1">
      <c r="Q806" s="15">
        <f t="shared" si="17"/>
        <v>0</v>
      </c>
      <c r="W806" s="22">
        <f t="shared" si="23"/>
        <v>0</v>
      </c>
      <c r="X806" s="19">
        <f t="shared" si="24"/>
        <v>0</v>
      </c>
    </row>
    <row r="807" ht="15.75" customHeight="1">
      <c r="Q807" s="15">
        <f t="shared" si="17"/>
        <v>0</v>
      </c>
      <c r="W807" s="22">
        <f t="shared" si="23"/>
        <v>0</v>
      </c>
      <c r="X807" s="19">
        <f t="shared" si="24"/>
        <v>0</v>
      </c>
    </row>
    <row r="808" ht="15.75" customHeight="1">
      <c r="Q808" s="15">
        <f t="shared" si="17"/>
        <v>0</v>
      </c>
      <c r="W808" s="22">
        <f t="shared" si="23"/>
        <v>0</v>
      </c>
      <c r="X808" s="19">
        <f t="shared" si="24"/>
        <v>0</v>
      </c>
    </row>
    <row r="809" ht="15.75" customHeight="1">
      <c r="Q809" s="15">
        <f t="shared" si="17"/>
        <v>0</v>
      </c>
      <c r="W809" s="22">
        <f t="shared" si="23"/>
        <v>0</v>
      </c>
      <c r="X809" s="19">
        <f t="shared" si="24"/>
        <v>0</v>
      </c>
    </row>
    <row r="810" ht="15.75" customHeight="1">
      <c r="Q810" s="15">
        <f t="shared" si="17"/>
        <v>0</v>
      </c>
      <c r="W810" s="22">
        <f t="shared" si="23"/>
        <v>0</v>
      </c>
      <c r="X810" s="19">
        <f t="shared" si="24"/>
        <v>0</v>
      </c>
    </row>
    <row r="811" ht="15.75" customHeight="1">
      <c r="Q811" s="15">
        <f t="shared" si="17"/>
        <v>0</v>
      </c>
      <c r="W811" s="22">
        <f t="shared" si="23"/>
        <v>0</v>
      </c>
      <c r="X811" s="19">
        <f t="shared" si="24"/>
        <v>0</v>
      </c>
    </row>
    <row r="812" ht="15.75" customHeight="1">
      <c r="Q812" s="15">
        <f t="shared" si="17"/>
        <v>0</v>
      </c>
      <c r="W812" s="22">
        <f t="shared" si="23"/>
        <v>0</v>
      </c>
      <c r="X812" s="19">
        <f t="shared" si="24"/>
        <v>0</v>
      </c>
    </row>
    <row r="813" ht="15.75" customHeight="1">
      <c r="Q813" s="15">
        <f t="shared" si="17"/>
        <v>0</v>
      </c>
      <c r="W813" s="22">
        <f t="shared" si="23"/>
        <v>0</v>
      </c>
      <c r="X813" s="19">
        <f t="shared" si="24"/>
        <v>0</v>
      </c>
    </row>
    <row r="814" ht="15.75" customHeight="1">
      <c r="Q814" s="15">
        <f t="shared" si="17"/>
        <v>0</v>
      </c>
      <c r="W814" s="22">
        <f t="shared" si="23"/>
        <v>0</v>
      </c>
      <c r="X814" s="19">
        <f t="shared" si="24"/>
        <v>0</v>
      </c>
    </row>
    <row r="815" ht="15.75" customHeight="1">
      <c r="Q815" s="15">
        <f t="shared" si="17"/>
        <v>0</v>
      </c>
      <c r="W815" s="22">
        <f t="shared" si="23"/>
        <v>0</v>
      </c>
      <c r="X815" s="19">
        <f t="shared" si="24"/>
        <v>0</v>
      </c>
    </row>
    <row r="816" ht="15.75" customHeight="1">
      <c r="Q816" s="15">
        <f t="shared" si="17"/>
        <v>0</v>
      </c>
      <c r="W816" s="22">
        <f t="shared" si="23"/>
        <v>0</v>
      </c>
      <c r="X816" s="19">
        <f t="shared" si="24"/>
        <v>0</v>
      </c>
    </row>
    <row r="817" ht="15.75" customHeight="1">
      <c r="Q817" s="15">
        <f t="shared" si="17"/>
        <v>0</v>
      </c>
      <c r="W817" s="22">
        <f t="shared" si="23"/>
        <v>0</v>
      </c>
      <c r="X817" s="19">
        <f t="shared" si="24"/>
        <v>0</v>
      </c>
    </row>
    <row r="818" ht="15.75" customHeight="1">
      <c r="Q818" s="15">
        <f t="shared" si="17"/>
        <v>0</v>
      </c>
      <c r="W818" s="22">
        <f t="shared" si="23"/>
        <v>0</v>
      </c>
      <c r="X818" s="19">
        <f t="shared" si="24"/>
        <v>0</v>
      </c>
    </row>
    <row r="819" ht="15.75" customHeight="1">
      <c r="Q819" s="15">
        <f t="shared" si="17"/>
        <v>0</v>
      </c>
      <c r="W819" s="22">
        <f t="shared" si="23"/>
        <v>0</v>
      </c>
      <c r="X819" s="19">
        <f t="shared" si="24"/>
        <v>0</v>
      </c>
    </row>
    <row r="820" ht="15.75" customHeight="1">
      <c r="Q820" s="15">
        <f t="shared" si="17"/>
        <v>0</v>
      </c>
      <c r="W820" s="22">
        <f t="shared" si="23"/>
        <v>0</v>
      </c>
      <c r="X820" s="19">
        <f t="shared" si="24"/>
        <v>0</v>
      </c>
    </row>
    <row r="821" ht="15.75" customHeight="1">
      <c r="Q821" s="15">
        <f t="shared" si="17"/>
        <v>0</v>
      </c>
      <c r="W821" s="22">
        <f t="shared" si="23"/>
        <v>0</v>
      </c>
      <c r="X821" s="19">
        <f t="shared" si="24"/>
        <v>0</v>
      </c>
    </row>
    <row r="822" ht="15.75" customHeight="1">
      <c r="Q822" s="15">
        <f t="shared" si="17"/>
        <v>0</v>
      </c>
      <c r="W822" s="22">
        <f t="shared" si="23"/>
        <v>0</v>
      </c>
      <c r="X822" s="19">
        <f t="shared" si="24"/>
        <v>0</v>
      </c>
    </row>
    <row r="823" ht="15.75" customHeight="1">
      <c r="Q823" s="15">
        <f t="shared" si="17"/>
        <v>0</v>
      </c>
      <c r="W823" s="22">
        <f t="shared" si="23"/>
        <v>0</v>
      </c>
      <c r="X823" s="19">
        <f t="shared" si="24"/>
        <v>0</v>
      </c>
    </row>
    <row r="824" ht="15.75" customHeight="1">
      <c r="Q824" s="15">
        <f t="shared" si="17"/>
        <v>0</v>
      </c>
      <c r="W824" s="22">
        <f t="shared" si="23"/>
        <v>0</v>
      </c>
      <c r="X824" s="19">
        <f t="shared" si="24"/>
        <v>0</v>
      </c>
    </row>
    <row r="825" ht="15.75" customHeight="1">
      <c r="Q825" s="15">
        <f t="shared" si="17"/>
        <v>0</v>
      </c>
      <c r="W825" s="22">
        <f t="shared" si="23"/>
        <v>0</v>
      </c>
      <c r="X825" s="19">
        <f t="shared" si="24"/>
        <v>0</v>
      </c>
    </row>
    <row r="826" ht="15.75" customHeight="1">
      <c r="Q826" s="15">
        <f t="shared" si="17"/>
        <v>0</v>
      </c>
      <c r="W826" s="22">
        <f t="shared" si="23"/>
        <v>0</v>
      </c>
      <c r="X826" s="19">
        <f t="shared" si="24"/>
        <v>0</v>
      </c>
    </row>
    <row r="827" ht="15.75" customHeight="1">
      <c r="Q827" s="15">
        <f t="shared" si="17"/>
        <v>0</v>
      </c>
      <c r="W827" s="22">
        <f t="shared" si="23"/>
        <v>0</v>
      </c>
      <c r="X827" s="19">
        <f t="shared" si="24"/>
        <v>0</v>
      </c>
    </row>
    <row r="828" ht="15.75" customHeight="1">
      <c r="Q828" s="15">
        <f t="shared" si="17"/>
        <v>0</v>
      </c>
      <c r="W828" s="22">
        <f t="shared" si="23"/>
        <v>0</v>
      </c>
      <c r="X828" s="19">
        <f t="shared" si="24"/>
        <v>0</v>
      </c>
    </row>
    <row r="829" ht="15.75" customHeight="1">
      <c r="Q829" s="15">
        <f t="shared" si="17"/>
        <v>0</v>
      </c>
      <c r="W829" s="22">
        <f t="shared" si="23"/>
        <v>0</v>
      </c>
      <c r="X829" s="19">
        <f t="shared" si="24"/>
        <v>0</v>
      </c>
    </row>
    <row r="830" ht="15.75" customHeight="1">
      <c r="Q830" s="15">
        <f t="shared" si="17"/>
        <v>0</v>
      </c>
      <c r="W830" s="22">
        <f t="shared" si="23"/>
        <v>0</v>
      </c>
      <c r="X830" s="19">
        <f t="shared" si="24"/>
        <v>0</v>
      </c>
    </row>
    <row r="831" ht="15.75" customHeight="1">
      <c r="Q831" s="15">
        <f t="shared" si="17"/>
        <v>0</v>
      </c>
      <c r="W831" s="22">
        <f t="shared" si="23"/>
        <v>0</v>
      </c>
      <c r="X831" s="19">
        <f t="shared" si="24"/>
        <v>0</v>
      </c>
    </row>
    <row r="832" ht="15.75" customHeight="1">
      <c r="Q832" s="15">
        <f t="shared" si="17"/>
        <v>0</v>
      </c>
      <c r="W832" s="22">
        <f t="shared" si="23"/>
        <v>0</v>
      </c>
      <c r="X832" s="19">
        <f t="shared" si="24"/>
        <v>0</v>
      </c>
    </row>
    <row r="833" ht="15.75" customHeight="1">
      <c r="Q833" s="15">
        <f t="shared" si="17"/>
        <v>0</v>
      </c>
      <c r="W833" s="22">
        <f t="shared" si="23"/>
        <v>0</v>
      </c>
      <c r="X833" s="19">
        <f t="shared" si="24"/>
        <v>0</v>
      </c>
    </row>
    <row r="834" ht="15.75" customHeight="1">
      <c r="Q834" s="15">
        <f t="shared" si="17"/>
        <v>0</v>
      </c>
      <c r="W834" s="22">
        <f t="shared" si="23"/>
        <v>0</v>
      </c>
      <c r="X834" s="19">
        <f t="shared" si="24"/>
        <v>0</v>
      </c>
    </row>
    <row r="835" ht="15.75" customHeight="1">
      <c r="Q835" s="15">
        <f t="shared" si="17"/>
        <v>0</v>
      </c>
      <c r="W835" s="22">
        <f t="shared" si="23"/>
        <v>0</v>
      </c>
      <c r="X835" s="19">
        <f t="shared" si="24"/>
        <v>0</v>
      </c>
    </row>
    <row r="836" ht="15.75" customHeight="1">
      <c r="Q836" s="15">
        <f t="shared" si="17"/>
        <v>0</v>
      </c>
      <c r="W836" s="22">
        <f t="shared" si="23"/>
        <v>0</v>
      </c>
      <c r="X836" s="19">
        <f t="shared" si="24"/>
        <v>0</v>
      </c>
    </row>
    <row r="837" ht="15.75" customHeight="1">
      <c r="Q837" s="15">
        <f t="shared" si="17"/>
        <v>0</v>
      </c>
      <c r="W837" s="22">
        <f t="shared" si="23"/>
        <v>0</v>
      </c>
      <c r="X837" s="19">
        <f t="shared" si="24"/>
        <v>0</v>
      </c>
    </row>
    <row r="838" ht="15.75" customHeight="1">
      <c r="Q838" s="15">
        <f t="shared" si="17"/>
        <v>0</v>
      </c>
      <c r="W838" s="22">
        <f t="shared" si="23"/>
        <v>0</v>
      </c>
      <c r="X838" s="19">
        <f t="shared" si="24"/>
        <v>0</v>
      </c>
    </row>
    <row r="839" ht="15.75" customHeight="1">
      <c r="Q839" s="15">
        <f t="shared" si="17"/>
        <v>0</v>
      </c>
      <c r="W839" s="22">
        <f t="shared" si="23"/>
        <v>0</v>
      </c>
      <c r="X839" s="19">
        <f t="shared" si="24"/>
        <v>0</v>
      </c>
    </row>
    <row r="840" ht="15.75" customHeight="1">
      <c r="Q840" s="15">
        <f t="shared" si="17"/>
        <v>0</v>
      </c>
      <c r="W840" s="22">
        <f t="shared" si="23"/>
        <v>0</v>
      </c>
      <c r="X840" s="19">
        <f t="shared" si="24"/>
        <v>0</v>
      </c>
    </row>
    <row r="841" ht="15.75" customHeight="1">
      <c r="Q841" s="15">
        <f t="shared" si="17"/>
        <v>0</v>
      </c>
      <c r="W841" s="22">
        <f t="shared" si="23"/>
        <v>0</v>
      </c>
      <c r="X841" s="19">
        <f t="shared" si="24"/>
        <v>0</v>
      </c>
    </row>
    <row r="842" ht="15.75" customHeight="1">
      <c r="Q842" s="15">
        <f t="shared" si="17"/>
        <v>0</v>
      </c>
      <c r="W842" s="22">
        <f t="shared" si="23"/>
        <v>0</v>
      </c>
      <c r="X842" s="19">
        <f t="shared" si="24"/>
        <v>0</v>
      </c>
    </row>
    <row r="843" ht="15.75" customHeight="1">
      <c r="Q843" s="15">
        <f t="shared" si="17"/>
        <v>0</v>
      </c>
      <c r="W843" s="22">
        <f t="shared" si="23"/>
        <v>0</v>
      </c>
      <c r="X843" s="19">
        <f t="shared" si="24"/>
        <v>0</v>
      </c>
    </row>
    <row r="844" ht="15.75" customHeight="1">
      <c r="Q844" s="15">
        <f t="shared" si="17"/>
        <v>0</v>
      </c>
      <c r="W844" s="22">
        <f t="shared" si="23"/>
        <v>0</v>
      </c>
      <c r="X844" s="19">
        <f t="shared" si="24"/>
        <v>0</v>
      </c>
    </row>
    <row r="845" ht="15.75" customHeight="1">
      <c r="Q845" s="15">
        <f t="shared" si="17"/>
        <v>0</v>
      </c>
      <c r="W845" s="22">
        <f t="shared" si="23"/>
        <v>0</v>
      </c>
      <c r="X845" s="19">
        <f t="shared" si="24"/>
        <v>0</v>
      </c>
    </row>
    <row r="846" ht="15.75" customHeight="1">
      <c r="Q846" s="15">
        <f t="shared" si="17"/>
        <v>0</v>
      </c>
      <c r="W846" s="22">
        <f t="shared" si="23"/>
        <v>0</v>
      </c>
      <c r="X846" s="19">
        <f t="shared" si="24"/>
        <v>0</v>
      </c>
    </row>
    <row r="847" ht="15.75" customHeight="1">
      <c r="Q847" s="15">
        <f t="shared" si="17"/>
        <v>0</v>
      </c>
      <c r="W847" s="22">
        <f t="shared" si="23"/>
        <v>0</v>
      </c>
      <c r="X847" s="19">
        <f t="shared" si="24"/>
        <v>0</v>
      </c>
    </row>
    <row r="848" ht="15.75" customHeight="1">
      <c r="Q848" s="15">
        <f t="shared" si="17"/>
        <v>0</v>
      </c>
      <c r="W848" s="22">
        <f t="shared" si="23"/>
        <v>0</v>
      </c>
      <c r="X848" s="19">
        <f t="shared" si="24"/>
        <v>0</v>
      </c>
    </row>
    <row r="849" ht="15.75" customHeight="1">
      <c r="Q849" s="15">
        <f t="shared" si="17"/>
        <v>0</v>
      </c>
      <c r="W849" s="22">
        <f t="shared" si="23"/>
        <v>0</v>
      </c>
      <c r="X849" s="19">
        <f t="shared" si="24"/>
        <v>0</v>
      </c>
    </row>
    <row r="850" ht="15.75" customHeight="1">
      <c r="Q850" s="15">
        <f t="shared" si="17"/>
        <v>0</v>
      </c>
      <c r="W850" s="22">
        <f t="shared" si="23"/>
        <v>0</v>
      </c>
      <c r="X850" s="19">
        <f t="shared" si="24"/>
        <v>0</v>
      </c>
    </row>
    <row r="851" ht="15.75" customHeight="1">
      <c r="Q851" s="15">
        <f t="shared" si="17"/>
        <v>0</v>
      </c>
      <c r="W851" s="22">
        <f t="shared" si="23"/>
        <v>0</v>
      </c>
      <c r="X851" s="19">
        <f t="shared" si="24"/>
        <v>0</v>
      </c>
    </row>
    <row r="852" ht="15.75" customHeight="1">
      <c r="Q852" s="15">
        <f t="shared" si="17"/>
        <v>0</v>
      </c>
      <c r="W852" s="22">
        <f t="shared" si="23"/>
        <v>0</v>
      </c>
      <c r="X852" s="19">
        <f t="shared" si="24"/>
        <v>0</v>
      </c>
    </row>
    <row r="853" ht="15.75" customHeight="1">
      <c r="Q853" s="15">
        <f t="shared" si="17"/>
        <v>0</v>
      </c>
      <c r="W853" s="22">
        <f t="shared" si="23"/>
        <v>0</v>
      </c>
      <c r="X853" s="19">
        <f t="shared" si="24"/>
        <v>0</v>
      </c>
    </row>
    <row r="854" ht="15.75" customHeight="1">
      <c r="Q854" s="15">
        <f t="shared" si="17"/>
        <v>0</v>
      </c>
      <c r="W854" s="22">
        <f t="shared" si="23"/>
        <v>0</v>
      </c>
      <c r="X854" s="19">
        <f t="shared" si="24"/>
        <v>0</v>
      </c>
    </row>
    <row r="855" ht="15.75" customHeight="1">
      <c r="Q855" s="15">
        <f t="shared" si="17"/>
        <v>0</v>
      </c>
      <c r="W855" s="22">
        <f t="shared" si="23"/>
        <v>0</v>
      </c>
      <c r="X855" s="19">
        <f t="shared" si="24"/>
        <v>0</v>
      </c>
    </row>
    <row r="856" ht="15.75" customHeight="1">
      <c r="Q856" s="15">
        <f t="shared" si="17"/>
        <v>0</v>
      </c>
      <c r="W856" s="22">
        <f t="shared" si="23"/>
        <v>0</v>
      </c>
      <c r="X856" s="19">
        <f t="shared" si="24"/>
        <v>0</v>
      </c>
    </row>
    <row r="857" ht="15.75" customHeight="1">
      <c r="Q857" s="15">
        <f t="shared" si="17"/>
        <v>0</v>
      </c>
      <c r="W857" s="22">
        <f t="shared" si="23"/>
        <v>0</v>
      </c>
      <c r="X857" s="19">
        <f t="shared" si="24"/>
        <v>0</v>
      </c>
    </row>
    <row r="858" ht="15.75" customHeight="1">
      <c r="Q858" s="15">
        <f t="shared" si="17"/>
        <v>0</v>
      </c>
      <c r="W858" s="22">
        <f t="shared" si="23"/>
        <v>0</v>
      </c>
      <c r="X858" s="19">
        <f t="shared" si="24"/>
        <v>0</v>
      </c>
    </row>
    <row r="859" ht="15.75" customHeight="1">
      <c r="Q859" s="15">
        <f t="shared" si="17"/>
        <v>0</v>
      </c>
      <c r="W859" s="22">
        <f t="shared" si="23"/>
        <v>0</v>
      </c>
      <c r="X859" s="19">
        <f t="shared" si="24"/>
        <v>0</v>
      </c>
    </row>
    <row r="860" ht="15.75" customHeight="1">
      <c r="Q860" s="15">
        <f t="shared" si="17"/>
        <v>0</v>
      </c>
      <c r="W860" s="22">
        <f t="shared" si="23"/>
        <v>0</v>
      </c>
      <c r="X860" s="19">
        <f t="shared" si="24"/>
        <v>0</v>
      </c>
    </row>
    <row r="861" ht="15.75" customHeight="1">
      <c r="Q861" s="15">
        <f t="shared" si="17"/>
        <v>0</v>
      </c>
      <c r="W861" s="22">
        <f t="shared" si="23"/>
        <v>0</v>
      </c>
      <c r="X861" s="19">
        <f t="shared" si="24"/>
        <v>0</v>
      </c>
    </row>
    <row r="862" ht="15.75" customHeight="1">
      <c r="Q862" s="15">
        <f t="shared" si="17"/>
        <v>0</v>
      </c>
      <c r="W862" s="22">
        <f t="shared" si="23"/>
        <v>0</v>
      </c>
      <c r="X862" s="19">
        <f t="shared" si="24"/>
        <v>0</v>
      </c>
    </row>
    <row r="863" ht="15.75" customHeight="1">
      <c r="Q863" s="15">
        <f t="shared" si="17"/>
        <v>0</v>
      </c>
      <c r="W863" s="22">
        <f t="shared" si="23"/>
        <v>0</v>
      </c>
      <c r="X863" s="19">
        <f t="shared" si="24"/>
        <v>0</v>
      </c>
    </row>
    <row r="864" ht="15.75" customHeight="1">
      <c r="Q864" s="15">
        <f t="shared" si="17"/>
        <v>0</v>
      </c>
      <c r="W864" s="22">
        <f t="shared" si="23"/>
        <v>0</v>
      </c>
      <c r="X864" s="19">
        <f t="shared" si="24"/>
        <v>0</v>
      </c>
    </row>
    <row r="865" ht="15.75" customHeight="1">
      <c r="Q865" s="15">
        <f t="shared" si="17"/>
        <v>0</v>
      </c>
      <c r="W865" s="22">
        <f t="shared" si="23"/>
        <v>0</v>
      </c>
      <c r="X865" s="19">
        <f t="shared" si="24"/>
        <v>0</v>
      </c>
    </row>
    <row r="866" ht="15.75" customHeight="1">
      <c r="Q866" s="15">
        <f t="shared" si="17"/>
        <v>0</v>
      </c>
      <c r="W866" s="22">
        <f t="shared" si="23"/>
        <v>0</v>
      </c>
      <c r="X866" s="19">
        <f t="shared" si="24"/>
        <v>0</v>
      </c>
    </row>
    <row r="867" ht="15.75" customHeight="1">
      <c r="Q867" s="15">
        <f t="shared" si="17"/>
        <v>0</v>
      </c>
      <c r="W867" s="22">
        <f t="shared" si="23"/>
        <v>0</v>
      </c>
      <c r="X867" s="19">
        <f t="shared" si="24"/>
        <v>0</v>
      </c>
    </row>
    <row r="868" ht="15.75" customHeight="1">
      <c r="Q868" s="15">
        <f t="shared" si="17"/>
        <v>0</v>
      </c>
      <c r="W868" s="22">
        <f t="shared" si="23"/>
        <v>0</v>
      </c>
      <c r="X868" s="19">
        <f t="shared" si="24"/>
        <v>0</v>
      </c>
    </row>
    <row r="869" ht="15.75" customHeight="1">
      <c r="Q869" s="15">
        <f t="shared" si="17"/>
        <v>0</v>
      </c>
      <c r="W869" s="22">
        <f t="shared" si="23"/>
        <v>0</v>
      </c>
      <c r="X869" s="19">
        <f t="shared" si="24"/>
        <v>0</v>
      </c>
    </row>
    <row r="870" ht="15.75" customHeight="1">
      <c r="Q870" s="15">
        <f t="shared" si="17"/>
        <v>0</v>
      </c>
      <c r="W870" s="22">
        <f t="shared" si="23"/>
        <v>0</v>
      </c>
      <c r="X870" s="19">
        <f t="shared" si="24"/>
        <v>0</v>
      </c>
    </row>
    <row r="871" ht="15.75" customHeight="1">
      <c r="Q871" s="15">
        <f t="shared" si="17"/>
        <v>0</v>
      </c>
      <c r="W871" s="22">
        <f t="shared" si="23"/>
        <v>0</v>
      </c>
      <c r="X871" s="19">
        <f t="shared" si="24"/>
        <v>0</v>
      </c>
    </row>
    <row r="872" ht="15.75" customHeight="1">
      <c r="Q872" s="15">
        <f t="shared" si="17"/>
        <v>0</v>
      </c>
      <c r="W872" s="22">
        <f t="shared" si="23"/>
        <v>0</v>
      </c>
      <c r="X872" s="19">
        <f t="shared" si="24"/>
        <v>0</v>
      </c>
    </row>
    <row r="873" ht="15.75" customHeight="1">
      <c r="Q873" s="15">
        <f t="shared" si="17"/>
        <v>0</v>
      </c>
      <c r="W873" s="22">
        <f t="shared" si="23"/>
        <v>0</v>
      </c>
      <c r="X873" s="19">
        <f t="shared" si="24"/>
        <v>0</v>
      </c>
    </row>
    <row r="874" ht="15.75" customHeight="1">
      <c r="Q874" s="15">
        <f t="shared" si="17"/>
        <v>0</v>
      </c>
      <c r="W874" s="22">
        <f t="shared" si="23"/>
        <v>0</v>
      </c>
      <c r="X874" s="19">
        <f t="shared" si="24"/>
        <v>0</v>
      </c>
    </row>
    <row r="875" ht="15.75" customHeight="1">
      <c r="Q875" s="15">
        <f t="shared" si="17"/>
        <v>0</v>
      </c>
      <c r="W875" s="22">
        <f t="shared" si="23"/>
        <v>0</v>
      </c>
      <c r="X875" s="19">
        <f t="shared" si="24"/>
        <v>0</v>
      </c>
    </row>
    <row r="876" ht="15.75" customHeight="1">
      <c r="Q876" s="15">
        <f t="shared" si="17"/>
        <v>0</v>
      </c>
      <c r="W876" s="22">
        <f t="shared" si="23"/>
        <v>0</v>
      </c>
      <c r="X876" s="19">
        <f t="shared" si="24"/>
        <v>0</v>
      </c>
    </row>
    <row r="877" ht="15.75" customHeight="1">
      <c r="Q877" s="15">
        <f t="shared" si="17"/>
        <v>0</v>
      </c>
      <c r="W877" s="22">
        <f t="shared" si="23"/>
        <v>0</v>
      </c>
      <c r="X877" s="19">
        <f t="shared" si="24"/>
        <v>0</v>
      </c>
    </row>
    <row r="878" ht="15.75" customHeight="1">
      <c r="Q878" s="15">
        <f t="shared" si="17"/>
        <v>0</v>
      </c>
      <c r="W878" s="22">
        <f t="shared" si="23"/>
        <v>0</v>
      </c>
      <c r="X878" s="19">
        <f t="shared" si="24"/>
        <v>0</v>
      </c>
    </row>
    <row r="879" ht="15.75" customHeight="1">
      <c r="Q879" s="15">
        <f t="shared" si="17"/>
        <v>0</v>
      </c>
      <c r="W879" s="22">
        <f t="shared" si="23"/>
        <v>0</v>
      </c>
      <c r="X879" s="19">
        <f t="shared" si="24"/>
        <v>0</v>
      </c>
    </row>
    <row r="880" ht="15.75" customHeight="1">
      <c r="Q880" s="15">
        <f t="shared" si="17"/>
        <v>0</v>
      </c>
      <c r="W880" s="22">
        <f t="shared" si="23"/>
        <v>0</v>
      </c>
      <c r="X880" s="19">
        <f t="shared" si="24"/>
        <v>0</v>
      </c>
    </row>
    <row r="881" ht="15.75" customHeight="1">
      <c r="Q881" s="15">
        <f t="shared" si="17"/>
        <v>0</v>
      </c>
      <c r="W881" s="22">
        <f t="shared" si="23"/>
        <v>0</v>
      </c>
      <c r="X881" s="19">
        <f t="shared" si="24"/>
        <v>0</v>
      </c>
    </row>
    <row r="882" ht="15.75" customHeight="1">
      <c r="Q882" s="15">
        <f t="shared" si="17"/>
        <v>0</v>
      </c>
      <c r="W882" s="22">
        <f t="shared" si="23"/>
        <v>0</v>
      </c>
      <c r="X882" s="19">
        <f t="shared" si="24"/>
        <v>0</v>
      </c>
    </row>
    <row r="883" ht="15.75" customHeight="1">
      <c r="Q883" s="15">
        <f t="shared" si="17"/>
        <v>0</v>
      </c>
      <c r="W883" s="22">
        <f t="shared" si="23"/>
        <v>0</v>
      </c>
      <c r="X883" s="19">
        <f t="shared" si="24"/>
        <v>0</v>
      </c>
    </row>
    <row r="884" ht="15.75" customHeight="1">
      <c r="Q884" s="15">
        <f t="shared" si="17"/>
        <v>0</v>
      </c>
      <c r="W884" s="22">
        <f t="shared" si="23"/>
        <v>0</v>
      </c>
      <c r="X884" s="19">
        <f t="shared" si="24"/>
        <v>0</v>
      </c>
    </row>
    <row r="885" ht="15.75" customHeight="1">
      <c r="Q885" s="15">
        <f t="shared" si="17"/>
        <v>0</v>
      </c>
      <c r="W885" s="22">
        <f t="shared" si="23"/>
        <v>0</v>
      </c>
      <c r="X885" s="19">
        <f t="shared" si="24"/>
        <v>0</v>
      </c>
    </row>
    <row r="886" ht="15.75" customHeight="1">
      <c r="Q886" s="15">
        <f t="shared" si="17"/>
        <v>0</v>
      </c>
      <c r="W886" s="22">
        <f t="shared" si="23"/>
        <v>0</v>
      </c>
      <c r="X886" s="19">
        <f t="shared" si="24"/>
        <v>0</v>
      </c>
    </row>
    <row r="887" ht="15.75" customHeight="1">
      <c r="Q887" s="15">
        <f t="shared" si="17"/>
        <v>0</v>
      </c>
      <c r="W887" s="22">
        <f t="shared" si="23"/>
        <v>0</v>
      </c>
      <c r="X887" s="19">
        <f t="shared" si="24"/>
        <v>0</v>
      </c>
    </row>
    <row r="888" ht="15.75" customHeight="1">
      <c r="Q888" s="15">
        <f t="shared" si="17"/>
        <v>0</v>
      </c>
      <c r="W888" s="22">
        <f t="shared" si="23"/>
        <v>0</v>
      </c>
      <c r="X888" s="19">
        <f t="shared" si="24"/>
        <v>0</v>
      </c>
    </row>
    <row r="889" ht="15.75" customHeight="1">
      <c r="Q889" s="15">
        <f t="shared" si="17"/>
        <v>0</v>
      </c>
      <c r="W889" s="22">
        <f t="shared" si="23"/>
        <v>0</v>
      </c>
      <c r="X889" s="19">
        <f t="shared" si="24"/>
        <v>0</v>
      </c>
    </row>
    <row r="890" ht="15.75" customHeight="1">
      <c r="Q890" s="15">
        <f t="shared" si="17"/>
        <v>0</v>
      </c>
      <c r="W890" s="22">
        <f t="shared" si="23"/>
        <v>0</v>
      </c>
      <c r="X890" s="19">
        <f t="shared" si="24"/>
        <v>0</v>
      </c>
    </row>
    <row r="891" ht="15.75" customHeight="1">
      <c r="Q891" s="15">
        <f t="shared" si="17"/>
        <v>0</v>
      </c>
      <c r="W891" s="22">
        <f t="shared" si="23"/>
        <v>0</v>
      </c>
      <c r="X891" s="19">
        <f t="shared" si="24"/>
        <v>0</v>
      </c>
    </row>
    <row r="892" ht="15.75" customHeight="1">
      <c r="Q892" s="15">
        <f t="shared" si="17"/>
        <v>0</v>
      </c>
      <c r="W892" s="22">
        <f t="shared" si="23"/>
        <v>0</v>
      </c>
      <c r="X892" s="19">
        <f t="shared" si="24"/>
        <v>0</v>
      </c>
    </row>
    <row r="893" ht="15.75" customHeight="1">
      <c r="Q893" s="15">
        <f t="shared" si="17"/>
        <v>0</v>
      </c>
      <c r="W893" s="22">
        <f t="shared" si="23"/>
        <v>0</v>
      </c>
      <c r="X893" s="19">
        <f t="shared" si="24"/>
        <v>0</v>
      </c>
    </row>
    <row r="894" ht="15.75" customHeight="1">
      <c r="Q894" s="15">
        <f t="shared" si="17"/>
        <v>0</v>
      </c>
      <c r="W894" s="22">
        <f t="shared" si="23"/>
        <v>0</v>
      </c>
      <c r="X894" s="19">
        <f t="shared" si="24"/>
        <v>0</v>
      </c>
    </row>
    <row r="895" ht="15.75" customHeight="1">
      <c r="Q895" s="15">
        <f t="shared" si="17"/>
        <v>0</v>
      </c>
      <c r="W895" s="22">
        <f t="shared" si="23"/>
        <v>0</v>
      </c>
      <c r="X895" s="19">
        <f t="shared" si="24"/>
        <v>0</v>
      </c>
    </row>
    <row r="896" ht="15.75" customHeight="1">
      <c r="Q896" s="15">
        <f t="shared" si="17"/>
        <v>0</v>
      </c>
      <c r="W896" s="22">
        <f t="shared" si="23"/>
        <v>0</v>
      </c>
      <c r="X896" s="19">
        <f t="shared" si="24"/>
        <v>0</v>
      </c>
    </row>
    <row r="897" ht="15.75" customHeight="1">
      <c r="Q897" s="15">
        <f t="shared" si="17"/>
        <v>0</v>
      </c>
      <c r="W897" s="22">
        <f t="shared" si="23"/>
        <v>0</v>
      </c>
      <c r="X897" s="19">
        <f t="shared" si="24"/>
        <v>0</v>
      </c>
    </row>
    <row r="898" ht="15.75" customHeight="1">
      <c r="Q898" s="15">
        <f t="shared" si="17"/>
        <v>0</v>
      </c>
      <c r="W898" s="22">
        <f t="shared" si="23"/>
        <v>0</v>
      </c>
      <c r="X898" s="19">
        <f t="shared" si="24"/>
        <v>0</v>
      </c>
    </row>
    <row r="899" ht="15.75" customHeight="1">
      <c r="Q899" s="15">
        <f t="shared" si="17"/>
        <v>0</v>
      </c>
      <c r="W899" s="22">
        <f t="shared" si="23"/>
        <v>0</v>
      </c>
      <c r="X899" s="19">
        <f t="shared" si="24"/>
        <v>0</v>
      </c>
    </row>
    <row r="900" ht="15.75" customHeight="1">
      <c r="Q900" s="15">
        <f t="shared" si="17"/>
        <v>0</v>
      </c>
      <c r="W900" s="22">
        <f t="shared" si="23"/>
        <v>0</v>
      </c>
      <c r="X900" s="19">
        <f t="shared" si="24"/>
        <v>0</v>
      </c>
    </row>
    <row r="901" ht="15.75" customHeight="1">
      <c r="Q901" s="15">
        <f t="shared" si="17"/>
        <v>0</v>
      </c>
      <c r="W901" s="22">
        <f t="shared" si="23"/>
        <v>0</v>
      </c>
      <c r="X901" s="19">
        <f t="shared" si="24"/>
        <v>0</v>
      </c>
    </row>
    <row r="902" ht="15.75" customHeight="1">
      <c r="Q902" s="15">
        <f t="shared" si="17"/>
        <v>0</v>
      </c>
      <c r="W902" s="22">
        <f t="shared" si="23"/>
        <v>0</v>
      </c>
      <c r="X902" s="19">
        <f t="shared" si="24"/>
        <v>0</v>
      </c>
    </row>
    <row r="903" ht="15.75" customHeight="1">
      <c r="Q903" s="15">
        <f t="shared" si="17"/>
        <v>0</v>
      </c>
      <c r="W903" s="22">
        <f t="shared" si="23"/>
        <v>0</v>
      </c>
      <c r="X903" s="19">
        <f t="shared" si="24"/>
        <v>0</v>
      </c>
    </row>
    <row r="904" ht="15.75" customHeight="1">
      <c r="Q904" s="15">
        <f t="shared" si="17"/>
        <v>0</v>
      </c>
      <c r="W904" s="22">
        <f t="shared" si="23"/>
        <v>0</v>
      </c>
      <c r="X904" s="19">
        <f t="shared" si="24"/>
        <v>0</v>
      </c>
    </row>
    <row r="905" ht="15.75" customHeight="1">
      <c r="Q905" s="15">
        <f t="shared" si="17"/>
        <v>0</v>
      </c>
      <c r="W905" s="22">
        <f t="shared" si="23"/>
        <v>0</v>
      </c>
      <c r="X905" s="19">
        <f t="shared" si="24"/>
        <v>0</v>
      </c>
    </row>
    <row r="906" ht="15.75" customHeight="1">
      <c r="Q906" s="15">
        <f t="shared" si="17"/>
        <v>0</v>
      </c>
      <c r="W906" s="22">
        <f t="shared" si="23"/>
        <v>0</v>
      </c>
      <c r="X906" s="19">
        <f t="shared" si="24"/>
        <v>0</v>
      </c>
    </row>
    <row r="907" ht="15.75" customHeight="1">
      <c r="Q907" s="15">
        <f t="shared" si="17"/>
        <v>0</v>
      </c>
      <c r="W907" s="22">
        <f t="shared" si="23"/>
        <v>0</v>
      </c>
      <c r="X907" s="19">
        <f t="shared" si="24"/>
        <v>0</v>
      </c>
    </row>
    <row r="908" ht="15.75" customHeight="1">
      <c r="Q908" s="15">
        <f t="shared" si="17"/>
        <v>0</v>
      </c>
      <c r="W908" s="22">
        <f t="shared" si="23"/>
        <v>0</v>
      </c>
      <c r="X908" s="19">
        <f t="shared" si="24"/>
        <v>0</v>
      </c>
    </row>
    <row r="909" ht="15.75" customHeight="1">
      <c r="Q909" s="15">
        <f t="shared" si="17"/>
        <v>0</v>
      </c>
      <c r="W909" s="22">
        <f t="shared" si="23"/>
        <v>0</v>
      </c>
      <c r="X909" s="19">
        <f t="shared" si="24"/>
        <v>0</v>
      </c>
    </row>
    <row r="910" ht="15.75" customHeight="1">
      <c r="Q910" s="15">
        <f t="shared" si="17"/>
        <v>0</v>
      </c>
      <c r="W910" s="22">
        <f t="shared" si="23"/>
        <v>0</v>
      </c>
      <c r="X910" s="19">
        <f t="shared" si="24"/>
        <v>0</v>
      </c>
    </row>
    <row r="911" ht="15.75" customHeight="1">
      <c r="Q911" s="15">
        <f t="shared" si="17"/>
        <v>0</v>
      </c>
      <c r="W911" s="22">
        <f t="shared" si="23"/>
        <v>0</v>
      </c>
      <c r="X911" s="19">
        <f t="shared" si="24"/>
        <v>0</v>
      </c>
    </row>
    <row r="912" ht="15.75" customHeight="1">
      <c r="Q912" s="15">
        <f t="shared" si="17"/>
        <v>0</v>
      </c>
      <c r="W912" s="22">
        <f t="shared" si="23"/>
        <v>0</v>
      </c>
      <c r="X912" s="19">
        <f t="shared" si="24"/>
        <v>0</v>
      </c>
    </row>
    <row r="913" ht="15.75" customHeight="1">
      <c r="Q913" s="15">
        <f t="shared" si="17"/>
        <v>0</v>
      </c>
      <c r="W913" s="22">
        <f t="shared" si="23"/>
        <v>0</v>
      </c>
      <c r="X913" s="19">
        <f t="shared" si="24"/>
        <v>0</v>
      </c>
    </row>
    <row r="914" ht="15.75" customHeight="1">
      <c r="Q914" s="15">
        <f t="shared" si="17"/>
        <v>0</v>
      </c>
      <c r="W914" s="22">
        <f t="shared" si="23"/>
        <v>0</v>
      </c>
      <c r="X914" s="19">
        <f t="shared" si="24"/>
        <v>0</v>
      </c>
    </row>
    <row r="915" ht="15.75" customHeight="1">
      <c r="Q915" s="15">
        <f t="shared" si="17"/>
        <v>0</v>
      </c>
      <c r="W915" s="22">
        <f t="shared" si="23"/>
        <v>0</v>
      </c>
      <c r="X915" s="19">
        <f t="shared" si="24"/>
        <v>0</v>
      </c>
    </row>
    <row r="916" ht="15.75" customHeight="1">
      <c r="Q916" s="15">
        <f t="shared" si="17"/>
        <v>0</v>
      </c>
      <c r="W916" s="22">
        <f t="shared" si="23"/>
        <v>0</v>
      </c>
      <c r="X916" s="19">
        <f t="shared" si="24"/>
        <v>0</v>
      </c>
    </row>
    <row r="917" ht="15.75" customHeight="1">
      <c r="Q917" s="15">
        <f t="shared" si="17"/>
        <v>0</v>
      </c>
      <c r="W917" s="22">
        <f t="shared" si="23"/>
        <v>0</v>
      </c>
      <c r="X917" s="19">
        <f t="shared" si="24"/>
        <v>0</v>
      </c>
    </row>
    <row r="918" ht="15.75" customHeight="1">
      <c r="Q918" s="15">
        <f t="shared" si="17"/>
        <v>0</v>
      </c>
      <c r="W918" s="22">
        <f t="shared" si="23"/>
        <v>0</v>
      </c>
      <c r="X918" s="19">
        <f t="shared" si="24"/>
        <v>0</v>
      </c>
    </row>
    <row r="919" ht="15.75" customHeight="1">
      <c r="Q919" s="15">
        <f t="shared" si="17"/>
        <v>0</v>
      </c>
      <c r="W919" s="22">
        <f t="shared" si="23"/>
        <v>0</v>
      </c>
      <c r="X919" s="19">
        <f t="shared" si="24"/>
        <v>0</v>
      </c>
    </row>
    <row r="920" ht="15.75" customHeight="1">
      <c r="Q920" s="15">
        <f t="shared" si="17"/>
        <v>0</v>
      </c>
      <c r="W920" s="22">
        <f t="shared" si="23"/>
        <v>0</v>
      </c>
      <c r="X920" s="19">
        <f t="shared" si="24"/>
        <v>0</v>
      </c>
    </row>
    <row r="921" ht="15.75" customHeight="1">
      <c r="Q921" s="15">
        <f t="shared" si="17"/>
        <v>0</v>
      </c>
      <c r="W921" s="22">
        <f t="shared" si="23"/>
        <v>0</v>
      </c>
      <c r="X921" s="19">
        <f t="shared" si="24"/>
        <v>0</v>
      </c>
    </row>
    <row r="922" ht="15.75" customHeight="1">
      <c r="Q922" s="15">
        <f t="shared" si="17"/>
        <v>0</v>
      </c>
      <c r="W922" s="22">
        <f t="shared" si="23"/>
        <v>0</v>
      </c>
      <c r="X922" s="19">
        <f t="shared" si="24"/>
        <v>0</v>
      </c>
    </row>
    <row r="923" ht="15.75" customHeight="1">
      <c r="Q923" s="15">
        <f t="shared" si="17"/>
        <v>0</v>
      </c>
      <c r="W923" s="22">
        <f t="shared" si="23"/>
        <v>0</v>
      </c>
      <c r="X923" s="19">
        <f t="shared" si="24"/>
        <v>0</v>
      </c>
    </row>
    <row r="924" ht="15.75" customHeight="1">
      <c r="Q924" s="15">
        <f t="shared" si="17"/>
        <v>0</v>
      </c>
      <c r="W924" s="22">
        <f t="shared" si="23"/>
        <v>0</v>
      </c>
      <c r="X924" s="19">
        <f t="shared" si="24"/>
        <v>0</v>
      </c>
    </row>
    <row r="925" ht="15.75" customHeight="1">
      <c r="Q925" s="15">
        <f t="shared" si="17"/>
        <v>0</v>
      </c>
      <c r="W925" s="22">
        <f t="shared" si="23"/>
        <v>0</v>
      </c>
      <c r="X925" s="19">
        <f t="shared" si="24"/>
        <v>0</v>
      </c>
    </row>
    <row r="926" ht="15.75" customHeight="1">
      <c r="Q926" s="15">
        <f t="shared" si="17"/>
        <v>0</v>
      </c>
      <c r="W926" s="22">
        <f t="shared" si="23"/>
        <v>0</v>
      </c>
      <c r="X926" s="19">
        <f t="shared" si="24"/>
        <v>0</v>
      </c>
    </row>
    <row r="927" ht="15.75" customHeight="1">
      <c r="Q927" s="15">
        <f t="shared" si="17"/>
        <v>0</v>
      </c>
      <c r="W927" s="22">
        <f t="shared" si="23"/>
        <v>0</v>
      </c>
      <c r="X927" s="19">
        <f t="shared" si="24"/>
        <v>0</v>
      </c>
    </row>
    <row r="928" ht="15.75" customHeight="1">
      <c r="Q928" s="15">
        <f t="shared" si="17"/>
        <v>0</v>
      </c>
      <c r="W928" s="22">
        <f t="shared" si="23"/>
        <v>0</v>
      </c>
      <c r="X928" s="19">
        <f t="shared" si="24"/>
        <v>0</v>
      </c>
    </row>
    <row r="929" ht="15.75" customHeight="1">
      <c r="Q929" s="15">
        <f t="shared" si="17"/>
        <v>0</v>
      </c>
      <c r="W929" s="22">
        <f t="shared" si="23"/>
        <v>0</v>
      </c>
      <c r="X929" s="19">
        <f t="shared" si="24"/>
        <v>0</v>
      </c>
    </row>
    <row r="930" ht="15.75" customHeight="1">
      <c r="Q930" s="15">
        <f t="shared" si="17"/>
        <v>0</v>
      </c>
      <c r="W930" s="22">
        <f t="shared" si="23"/>
        <v>0</v>
      </c>
      <c r="X930" s="19">
        <f t="shared" si="24"/>
        <v>0</v>
      </c>
    </row>
    <row r="931" ht="15.75" customHeight="1">
      <c r="Q931" s="15">
        <f t="shared" si="17"/>
        <v>0</v>
      </c>
      <c r="W931" s="22">
        <f t="shared" si="23"/>
        <v>0</v>
      </c>
      <c r="X931" s="19">
        <f t="shared" si="24"/>
        <v>0</v>
      </c>
    </row>
    <row r="932" ht="15.75" customHeight="1">
      <c r="Q932" s="15">
        <f t="shared" si="17"/>
        <v>0</v>
      </c>
      <c r="W932" s="22">
        <f t="shared" si="23"/>
        <v>0</v>
      </c>
      <c r="X932" s="19">
        <f t="shared" si="24"/>
        <v>0</v>
      </c>
    </row>
    <row r="933" ht="15.75" customHeight="1">
      <c r="Q933" s="15">
        <f t="shared" si="17"/>
        <v>0</v>
      </c>
      <c r="W933" s="22">
        <f t="shared" si="23"/>
        <v>0</v>
      </c>
      <c r="X933" s="19">
        <f t="shared" si="24"/>
        <v>0</v>
      </c>
    </row>
    <row r="934" ht="15.75" customHeight="1">
      <c r="Q934" s="15">
        <f t="shared" si="17"/>
        <v>0</v>
      </c>
      <c r="W934" s="22">
        <f t="shared" si="23"/>
        <v>0</v>
      </c>
      <c r="X934" s="19">
        <f t="shared" si="24"/>
        <v>0</v>
      </c>
    </row>
    <row r="935" ht="15.75" customHeight="1">
      <c r="Q935" s="15">
        <f t="shared" si="17"/>
        <v>0</v>
      </c>
      <c r="W935" s="22">
        <f t="shared" si="23"/>
        <v>0</v>
      </c>
      <c r="X935" s="19">
        <f t="shared" si="24"/>
        <v>0</v>
      </c>
    </row>
    <row r="936" ht="15.75" customHeight="1">
      <c r="Q936" s="15">
        <f t="shared" si="17"/>
        <v>0</v>
      </c>
      <c r="W936" s="22">
        <f t="shared" si="23"/>
        <v>0</v>
      </c>
      <c r="X936" s="19">
        <f t="shared" si="24"/>
        <v>0</v>
      </c>
    </row>
    <row r="937" ht="15.75" customHeight="1">
      <c r="Q937" s="15">
        <f t="shared" si="17"/>
        <v>0</v>
      </c>
      <c r="W937" s="22">
        <f t="shared" si="23"/>
        <v>0</v>
      </c>
      <c r="X937" s="19">
        <f t="shared" si="24"/>
        <v>0</v>
      </c>
    </row>
    <row r="938" ht="15.75" customHeight="1">
      <c r="Q938" s="15">
        <f t="shared" si="17"/>
        <v>0</v>
      </c>
      <c r="W938" s="22">
        <f t="shared" si="23"/>
        <v>0</v>
      </c>
      <c r="X938" s="19">
        <f t="shared" si="24"/>
        <v>0</v>
      </c>
    </row>
    <row r="939" ht="15.75" customHeight="1">
      <c r="Q939" s="15">
        <f t="shared" si="17"/>
        <v>0</v>
      </c>
      <c r="W939" s="22">
        <f t="shared" si="23"/>
        <v>0</v>
      </c>
      <c r="X939" s="19">
        <f t="shared" si="24"/>
        <v>0</v>
      </c>
    </row>
    <row r="940" ht="15.75" customHeight="1">
      <c r="Q940" s="15">
        <f t="shared" si="17"/>
        <v>0</v>
      </c>
      <c r="W940" s="22">
        <f t="shared" si="23"/>
        <v>0</v>
      </c>
      <c r="X940" s="19">
        <f t="shared" si="24"/>
        <v>0</v>
      </c>
    </row>
    <row r="941" ht="15.75" customHeight="1">
      <c r="Q941" s="15">
        <f t="shared" si="17"/>
        <v>0</v>
      </c>
      <c r="W941" s="22">
        <f t="shared" si="23"/>
        <v>0</v>
      </c>
      <c r="X941" s="19">
        <f t="shared" si="24"/>
        <v>0</v>
      </c>
    </row>
    <row r="942" ht="15.75" customHeight="1">
      <c r="Q942" s="15">
        <f t="shared" si="17"/>
        <v>0</v>
      </c>
      <c r="W942" s="22">
        <f t="shared" si="23"/>
        <v>0</v>
      </c>
      <c r="X942" s="19">
        <f t="shared" si="24"/>
        <v>0</v>
      </c>
    </row>
    <row r="943" ht="15.75" customHeight="1">
      <c r="Q943" s="15">
        <f t="shared" si="17"/>
        <v>0</v>
      </c>
      <c r="W943" s="22">
        <f t="shared" si="23"/>
        <v>0</v>
      </c>
      <c r="X943" s="19">
        <f t="shared" si="24"/>
        <v>0</v>
      </c>
    </row>
    <row r="944" ht="15.75" customHeight="1">
      <c r="Q944" s="15">
        <f t="shared" si="17"/>
        <v>0</v>
      </c>
      <c r="W944" s="22">
        <f t="shared" si="23"/>
        <v>0</v>
      </c>
      <c r="X944" s="19">
        <f t="shared" si="24"/>
        <v>0</v>
      </c>
    </row>
    <row r="945" ht="15.75" customHeight="1">
      <c r="Q945" s="15">
        <f t="shared" si="17"/>
        <v>0</v>
      </c>
      <c r="W945" s="22">
        <f t="shared" si="23"/>
        <v>0</v>
      </c>
      <c r="X945" s="19">
        <f t="shared" si="24"/>
        <v>0</v>
      </c>
    </row>
    <row r="946" ht="15.75" customHeight="1">
      <c r="Q946" s="15">
        <f t="shared" si="17"/>
        <v>0</v>
      </c>
      <c r="W946" s="22">
        <f t="shared" si="23"/>
        <v>0</v>
      </c>
      <c r="X946" s="19">
        <f t="shared" si="24"/>
        <v>0</v>
      </c>
    </row>
    <row r="947" ht="15.75" customHeight="1">
      <c r="Q947" s="15">
        <f t="shared" si="17"/>
        <v>0</v>
      </c>
      <c r="W947" s="22">
        <f t="shared" si="23"/>
        <v>0</v>
      </c>
      <c r="X947" s="19">
        <f t="shared" si="24"/>
        <v>0</v>
      </c>
    </row>
    <row r="948" ht="15.75" customHeight="1">
      <c r="Q948" s="15">
        <f t="shared" si="17"/>
        <v>0</v>
      </c>
      <c r="W948" s="22">
        <f t="shared" si="23"/>
        <v>0</v>
      </c>
      <c r="X948" s="19">
        <f t="shared" si="24"/>
        <v>0</v>
      </c>
    </row>
    <row r="949" ht="15.75" customHeight="1">
      <c r="Q949" s="15">
        <f t="shared" si="17"/>
        <v>0</v>
      </c>
      <c r="W949" s="22">
        <f t="shared" si="23"/>
        <v>0</v>
      </c>
      <c r="X949" s="19">
        <f t="shared" si="24"/>
        <v>0</v>
      </c>
    </row>
    <row r="950" ht="15.75" customHeight="1">
      <c r="Q950" s="15">
        <f t="shared" si="17"/>
        <v>0</v>
      </c>
      <c r="W950" s="22">
        <f t="shared" si="23"/>
        <v>0</v>
      </c>
      <c r="X950" s="19">
        <f t="shared" si="24"/>
        <v>0</v>
      </c>
    </row>
    <row r="951" ht="15.75" customHeight="1">
      <c r="Q951" s="15">
        <f t="shared" si="17"/>
        <v>0</v>
      </c>
      <c r="W951" s="22">
        <f t="shared" si="23"/>
        <v>0</v>
      </c>
      <c r="X951" s="19">
        <f t="shared" si="24"/>
        <v>0</v>
      </c>
    </row>
    <row r="952" ht="15.75" customHeight="1">
      <c r="Q952" s="15">
        <f t="shared" si="17"/>
        <v>0</v>
      </c>
      <c r="W952" s="22">
        <f t="shared" si="23"/>
        <v>0</v>
      </c>
      <c r="X952" s="19">
        <f t="shared" si="24"/>
        <v>0</v>
      </c>
    </row>
    <row r="953" ht="15.75" customHeight="1">
      <c r="Q953" s="15">
        <f t="shared" si="17"/>
        <v>0</v>
      </c>
      <c r="W953" s="22">
        <f t="shared" si="23"/>
        <v>0</v>
      </c>
      <c r="X953" s="19">
        <f t="shared" si="24"/>
        <v>0</v>
      </c>
    </row>
    <row r="954" ht="15.75" customHeight="1">
      <c r="Q954" s="15">
        <f t="shared" si="17"/>
        <v>0</v>
      </c>
      <c r="W954" s="22">
        <f t="shared" si="23"/>
        <v>0</v>
      </c>
      <c r="X954" s="19">
        <f t="shared" si="24"/>
        <v>0</v>
      </c>
    </row>
    <row r="955" ht="15.75" customHeight="1">
      <c r="Q955" s="15">
        <f t="shared" si="17"/>
        <v>0</v>
      </c>
      <c r="W955" s="22">
        <f t="shared" si="23"/>
        <v>0</v>
      </c>
      <c r="X955" s="19">
        <f t="shared" si="24"/>
        <v>0</v>
      </c>
    </row>
    <row r="956" ht="15.75" customHeight="1">
      <c r="Q956" s="15">
        <f t="shared" si="17"/>
        <v>0</v>
      </c>
      <c r="W956" s="22">
        <f t="shared" si="23"/>
        <v>0</v>
      </c>
      <c r="X956" s="19">
        <f t="shared" si="24"/>
        <v>0</v>
      </c>
    </row>
    <row r="957" ht="15.75" customHeight="1">
      <c r="Q957" s="15">
        <f t="shared" si="17"/>
        <v>0</v>
      </c>
      <c r="W957" s="22">
        <f t="shared" si="23"/>
        <v>0</v>
      </c>
      <c r="X957" s="19">
        <f t="shared" si="24"/>
        <v>0</v>
      </c>
    </row>
    <row r="958" ht="15.75" customHeight="1">
      <c r="Q958" s="15">
        <f t="shared" si="17"/>
        <v>0</v>
      </c>
      <c r="W958" s="22">
        <f t="shared" si="23"/>
        <v>0</v>
      </c>
      <c r="X958" s="19">
        <f t="shared" si="24"/>
        <v>0</v>
      </c>
    </row>
    <row r="959" ht="15.75" customHeight="1">
      <c r="Q959" s="15">
        <f t="shared" si="17"/>
        <v>0</v>
      </c>
      <c r="W959" s="22">
        <f t="shared" si="23"/>
        <v>0</v>
      </c>
      <c r="X959" s="19">
        <f t="shared" si="24"/>
        <v>0</v>
      </c>
    </row>
    <row r="960" ht="15.75" customHeight="1">
      <c r="Q960" s="15">
        <f t="shared" si="17"/>
        <v>0</v>
      </c>
      <c r="W960" s="22">
        <f t="shared" si="23"/>
        <v>0</v>
      </c>
      <c r="X960" s="19">
        <f t="shared" si="24"/>
        <v>0</v>
      </c>
    </row>
    <row r="961" ht="15.75" customHeight="1">
      <c r="Q961" s="15">
        <f t="shared" si="17"/>
        <v>0</v>
      </c>
      <c r="W961" s="22">
        <f t="shared" si="23"/>
        <v>0</v>
      </c>
      <c r="X961" s="19">
        <f t="shared" si="24"/>
        <v>0</v>
      </c>
    </row>
    <row r="962" ht="15.75" customHeight="1">
      <c r="Q962" s="15">
        <f t="shared" si="17"/>
        <v>0</v>
      </c>
      <c r="W962" s="22">
        <f t="shared" si="23"/>
        <v>0</v>
      </c>
      <c r="X962" s="19">
        <f t="shared" si="24"/>
        <v>0</v>
      </c>
    </row>
    <row r="963" ht="15.75" customHeight="1">
      <c r="Q963" s="15">
        <f t="shared" si="17"/>
        <v>0</v>
      </c>
      <c r="W963" s="22">
        <f t="shared" si="23"/>
        <v>0</v>
      </c>
      <c r="X963" s="19">
        <f t="shared" si="24"/>
        <v>0</v>
      </c>
    </row>
    <row r="964" ht="15.75" customHeight="1">
      <c r="Q964" s="15">
        <f t="shared" si="17"/>
        <v>0</v>
      </c>
      <c r="W964" s="22">
        <f t="shared" si="23"/>
        <v>0</v>
      </c>
      <c r="X964" s="19">
        <f t="shared" si="24"/>
        <v>0</v>
      </c>
    </row>
    <row r="965" ht="15.75" customHeight="1">
      <c r="Q965" s="15">
        <f t="shared" si="17"/>
        <v>0</v>
      </c>
      <c r="W965" s="22">
        <f t="shared" si="23"/>
        <v>0</v>
      </c>
      <c r="X965" s="19">
        <f t="shared" si="24"/>
        <v>0</v>
      </c>
    </row>
    <row r="966" ht="15.75" customHeight="1">
      <c r="Q966" s="15">
        <f t="shared" si="17"/>
        <v>0</v>
      </c>
      <c r="W966" s="22">
        <f t="shared" si="23"/>
        <v>0</v>
      </c>
      <c r="X966" s="19">
        <f t="shared" si="24"/>
        <v>0</v>
      </c>
    </row>
    <row r="967" ht="15.75" customHeight="1">
      <c r="Q967" s="15">
        <f t="shared" si="17"/>
        <v>0</v>
      </c>
      <c r="W967" s="22">
        <f t="shared" si="23"/>
        <v>0</v>
      </c>
      <c r="X967" s="19">
        <f t="shared" si="24"/>
        <v>0</v>
      </c>
    </row>
    <row r="968" ht="15.75" customHeight="1">
      <c r="Q968" s="15">
        <f t="shared" si="17"/>
        <v>0</v>
      </c>
      <c r="W968" s="22">
        <f t="shared" si="23"/>
        <v>0</v>
      </c>
      <c r="X968" s="19">
        <f t="shared" si="24"/>
        <v>0</v>
      </c>
    </row>
    <row r="969" ht="15.75" customHeight="1">
      <c r="Q969" s="15">
        <f t="shared" si="17"/>
        <v>0</v>
      </c>
      <c r="W969" s="22">
        <f t="shared" si="23"/>
        <v>0</v>
      </c>
      <c r="X969" s="19">
        <f t="shared" si="24"/>
        <v>0</v>
      </c>
    </row>
    <row r="970" ht="15.75" customHeight="1">
      <c r="Q970" s="15">
        <f t="shared" si="17"/>
        <v>0</v>
      </c>
      <c r="W970" s="22">
        <f t="shared" si="23"/>
        <v>0</v>
      </c>
      <c r="X970" s="19">
        <f t="shared" si="24"/>
        <v>0</v>
      </c>
    </row>
    <row r="971" ht="15.75" customHeight="1">
      <c r="Q971" s="15">
        <f t="shared" si="17"/>
        <v>0</v>
      </c>
      <c r="W971" s="22">
        <f t="shared" si="23"/>
        <v>0</v>
      </c>
      <c r="X971" s="19">
        <f t="shared" si="24"/>
        <v>0</v>
      </c>
    </row>
    <row r="972" ht="15.75" customHeight="1">
      <c r="Q972" s="15">
        <f t="shared" si="17"/>
        <v>0</v>
      </c>
      <c r="W972" s="22">
        <f t="shared" si="23"/>
        <v>0</v>
      </c>
      <c r="X972" s="19">
        <f t="shared" si="24"/>
        <v>0</v>
      </c>
    </row>
    <row r="973" ht="15.75" customHeight="1">
      <c r="Q973" s="15">
        <f t="shared" si="17"/>
        <v>0</v>
      </c>
      <c r="W973" s="22">
        <f t="shared" si="23"/>
        <v>0</v>
      </c>
      <c r="X973" s="19">
        <f t="shared" si="24"/>
        <v>0</v>
      </c>
    </row>
    <row r="974" ht="15.75" customHeight="1">
      <c r="Q974" s="15">
        <f t="shared" si="17"/>
        <v>0</v>
      </c>
      <c r="W974" s="22">
        <f t="shared" si="23"/>
        <v>0</v>
      </c>
      <c r="X974" s="19">
        <f t="shared" si="24"/>
        <v>0</v>
      </c>
    </row>
    <row r="975" ht="15.75" customHeight="1">
      <c r="Q975" s="15">
        <f t="shared" si="17"/>
        <v>0</v>
      </c>
      <c r="W975" s="22">
        <f t="shared" si="23"/>
        <v>0</v>
      </c>
      <c r="X975" s="19">
        <f t="shared" si="24"/>
        <v>0</v>
      </c>
    </row>
    <row r="976" ht="15.75" customHeight="1">
      <c r="Q976" s="15">
        <f t="shared" si="17"/>
        <v>0</v>
      </c>
      <c r="W976" s="22">
        <f t="shared" si="23"/>
        <v>0</v>
      </c>
      <c r="X976" s="19">
        <f t="shared" si="24"/>
        <v>0</v>
      </c>
    </row>
    <row r="977" ht="15.75" customHeight="1">
      <c r="Q977" s="15">
        <f t="shared" si="17"/>
        <v>0</v>
      </c>
      <c r="W977" s="22">
        <f t="shared" si="23"/>
        <v>0</v>
      </c>
      <c r="X977" s="19">
        <f t="shared" si="24"/>
        <v>0</v>
      </c>
    </row>
    <row r="978" ht="15.75" customHeight="1">
      <c r="Q978" s="15">
        <f t="shared" si="17"/>
        <v>0</v>
      </c>
      <c r="W978" s="22">
        <f t="shared" si="23"/>
        <v>0</v>
      </c>
      <c r="X978" s="19">
        <f t="shared" si="24"/>
        <v>0</v>
      </c>
    </row>
    <row r="979" ht="15.75" customHeight="1">
      <c r="Q979" s="15">
        <f t="shared" si="17"/>
        <v>0</v>
      </c>
      <c r="W979" s="22">
        <f t="shared" si="23"/>
        <v>0</v>
      </c>
      <c r="X979" s="19">
        <f t="shared" si="24"/>
        <v>0</v>
      </c>
    </row>
    <row r="980" ht="15.75" customHeight="1">
      <c r="Q980" s="15">
        <f t="shared" si="17"/>
        <v>0</v>
      </c>
      <c r="W980" s="22">
        <f t="shared" si="23"/>
        <v>0</v>
      </c>
      <c r="X980" s="19">
        <f t="shared" si="24"/>
        <v>0</v>
      </c>
    </row>
    <row r="981" ht="15.75" customHeight="1">
      <c r="Q981" s="15">
        <f t="shared" si="17"/>
        <v>0</v>
      </c>
      <c r="W981" s="22">
        <f t="shared" si="23"/>
        <v>0</v>
      </c>
      <c r="X981" s="19">
        <f t="shared" si="24"/>
        <v>0</v>
      </c>
    </row>
    <row r="982" ht="15.75" customHeight="1">
      <c r="Q982" s="15">
        <f t="shared" si="17"/>
        <v>0</v>
      </c>
      <c r="W982" s="22">
        <f t="shared" si="23"/>
        <v>0</v>
      </c>
      <c r="X982" s="19">
        <f t="shared" si="24"/>
        <v>0</v>
      </c>
    </row>
    <row r="983" ht="15.75" customHeight="1">
      <c r="Q983" s="15">
        <f t="shared" si="17"/>
        <v>0</v>
      </c>
      <c r="W983" s="22">
        <f t="shared" si="23"/>
        <v>0</v>
      </c>
      <c r="X983" s="19">
        <f t="shared" si="24"/>
        <v>0</v>
      </c>
    </row>
    <row r="984" ht="15.75" customHeight="1">
      <c r="Q984" s="15">
        <f t="shared" si="17"/>
        <v>0</v>
      </c>
      <c r="W984" s="22">
        <f t="shared" si="23"/>
        <v>0</v>
      </c>
      <c r="X984" s="19">
        <f t="shared" si="24"/>
        <v>0</v>
      </c>
    </row>
    <row r="985" ht="15.75" customHeight="1">
      <c r="Q985" s="15">
        <f t="shared" si="17"/>
        <v>0</v>
      </c>
      <c r="W985" s="22">
        <f t="shared" si="23"/>
        <v>0</v>
      </c>
      <c r="X985" s="19">
        <f t="shared" si="24"/>
        <v>0</v>
      </c>
    </row>
    <row r="986" ht="15.75" customHeight="1">
      <c r="Q986" s="15">
        <f t="shared" si="17"/>
        <v>0</v>
      </c>
      <c r="W986" s="22">
        <f t="shared" si="23"/>
        <v>0</v>
      </c>
      <c r="X986" s="19">
        <f t="shared" si="24"/>
        <v>0</v>
      </c>
    </row>
    <row r="987" ht="15.75" customHeight="1">
      <c r="Q987" s="15">
        <f t="shared" si="17"/>
        <v>0</v>
      </c>
      <c r="W987" s="22">
        <f t="shared" si="23"/>
        <v>0</v>
      </c>
      <c r="X987" s="19">
        <f t="shared" si="24"/>
        <v>0</v>
      </c>
    </row>
    <row r="988" ht="15.75" customHeight="1">
      <c r="Q988" s="15">
        <f t="shared" si="17"/>
        <v>0</v>
      </c>
      <c r="W988" s="22">
        <f t="shared" si="23"/>
        <v>0</v>
      </c>
      <c r="X988" s="19">
        <f t="shared" si="24"/>
        <v>0</v>
      </c>
    </row>
    <row r="989" ht="15.75" customHeight="1">
      <c r="Q989" s="15">
        <f t="shared" si="17"/>
        <v>0</v>
      </c>
      <c r="W989" s="22">
        <f t="shared" si="23"/>
        <v>0</v>
      </c>
      <c r="X989" s="19">
        <f t="shared" si="24"/>
        <v>0</v>
      </c>
    </row>
    <row r="990" ht="15.75" customHeight="1">
      <c r="Q990" s="15">
        <f t="shared" si="17"/>
        <v>0</v>
      </c>
      <c r="W990" s="22">
        <f t="shared" si="23"/>
        <v>0</v>
      </c>
      <c r="X990" s="19">
        <f t="shared" si="24"/>
        <v>0</v>
      </c>
    </row>
    <row r="991" ht="15.75" customHeight="1">
      <c r="Q991" s="15">
        <f t="shared" si="17"/>
        <v>0</v>
      </c>
      <c r="W991" s="22">
        <f t="shared" si="23"/>
        <v>0</v>
      </c>
      <c r="X991" s="19">
        <f t="shared" si="24"/>
        <v>0</v>
      </c>
    </row>
    <row r="992" ht="15.75" customHeight="1">
      <c r="Q992" s="15">
        <f t="shared" si="17"/>
        <v>0</v>
      </c>
      <c r="W992" s="22">
        <f t="shared" si="23"/>
        <v>0</v>
      </c>
      <c r="X992" s="19">
        <f t="shared" si="24"/>
        <v>0</v>
      </c>
    </row>
    <row r="993" ht="15.75" customHeight="1">
      <c r="Q993" s="15">
        <f t="shared" si="17"/>
        <v>0</v>
      </c>
      <c r="W993" s="22">
        <f t="shared" si="23"/>
        <v>0</v>
      </c>
      <c r="X993" s="19">
        <f t="shared" si="24"/>
        <v>0</v>
      </c>
    </row>
    <row r="994" ht="15.75" customHeight="1">
      <c r="Q994" s="15">
        <f t="shared" si="17"/>
        <v>0</v>
      </c>
      <c r="W994" s="22">
        <f t="shared" si="23"/>
        <v>0</v>
      </c>
      <c r="X994" s="19">
        <f t="shared" si="24"/>
        <v>0</v>
      </c>
    </row>
    <row r="995" ht="15.75" customHeight="1">
      <c r="Q995" s="15">
        <f t="shared" si="17"/>
        <v>0</v>
      </c>
      <c r="W995" s="22">
        <f t="shared" si="23"/>
        <v>0</v>
      </c>
      <c r="X995" s="19">
        <f t="shared" si="24"/>
        <v>0</v>
      </c>
    </row>
    <row r="996" ht="15.75" customHeight="1">
      <c r="Q996" s="15">
        <f t="shared" si="17"/>
        <v>0</v>
      </c>
      <c r="W996" s="22">
        <f t="shared" si="23"/>
        <v>0</v>
      </c>
      <c r="X996" s="19">
        <f t="shared" si="24"/>
        <v>0</v>
      </c>
    </row>
    <row r="997" ht="15.75" customHeight="1">
      <c r="Q997" s="15">
        <f t="shared" si="17"/>
        <v>0</v>
      </c>
      <c r="W997" s="22">
        <f t="shared" si="23"/>
        <v>0</v>
      </c>
      <c r="X997" s="19">
        <f t="shared" si="24"/>
        <v>0</v>
      </c>
    </row>
    <row r="998" ht="15.75" customHeight="1">
      <c r="Q998" s="15">
        <f t="shared" si="17"/>
        <v>0</v>
      </c>
      <c r="W998" s="22">
        <f t="shared" si="23"/>
        <v>0</v>
      </c>
      <c r="X998" s="19">
        <f t="shared" si="24"/>
        <v>0</v>
      </c>
    </row>
    <row r="999" ht="15.75" customHeight="1">
      <c r="Q999" s="15">
        <f t="shared" si="17"/>
        <v>0</v>
      </c>
      <c r="W999" s="22">
        <f t="shared" si="23"/>
        <v>0</v>
      </c>
      <c r="X999" s="19">
        <f t="shared" si="24"/>
        <v>0</v>
      </c>
    </row>
    <row r="1000" ht="15.75" customHeight="1">
      <c r="Q1000" s="15">
        <f t="shared" si="17"/>
        <v>0</v>
      </c>
      <c r="W1000" s="22">
        <f t="shared" si="23"/>
        <v>0</v>
      </c>
      <c r="X1000" s="19">
        <f t="shared" si="24"/>
        <v>0</v>
      </c>
    </row>
    <row r="1001" ht="15.75" customHeight="1">
      <c r="Q1001" s="15">
        <f t="shared" si="17"/>
        <v>0</v>
      </c>
      <c r="W1001" s="22">
        <f t="shared" si="23"/>
        <v>0</v>
      </c>
      <c r="X1001" s="19">
        <f t="shared" si="24"/>
        <v>0</v>
      </c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6">
    <mergeCell ref="AA16:AB16"/>
    <mergeCell ref="AA23:AB23"/>
    <mergeCell ref="AA29:AB29"/>
    <mergeCell ref="AA37:AB37"/>
    <mergeCell ref="AA47:AB47"/>
    <mergeCell ref="AA58:AB58"/>
  </mergeCells>
  <dataValidations>
    <dataValidation type="list" allowBlank="1" showErrorMessage="1" sqref="AB7">
      <formula1>"Interior HP 2c walls,Interior Super Paint 2c walls,Interior Duration 2c walls"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196</v>
      </c>
      <c r="C2" s="10">
        <v>20.0</v>
      </c>
      <c r="D2" s="10">
        <v>12.0</v>
      </c>
      <c r="E2" s="10">
        <v>8.0</v>
      </c>
      <c r="F2" s="11"/>
      <c r="G2" s="11" t="b">
        <v>0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0</v>
      </c>
      <c r="N2" s="13">
        <f t="shared" ref="N2:N49" si="2">IF(H2,C2*D2,0)</f>
        <v>0</v>
      </c>
      <c r="O2" s="13">
        <f t="shared" ref="O2:O49" si="3">(C2+D2)*2</f>
        <v>64</v>
      </c>
      <c r="P2" s="14">
        <f t="shared" ref="P2:P49" si="4">M2*$AB$7</f>
        <v>0</v>
      </c>
      <c r="Q2" s="15">
        <f t="shared" ref="Q2:Q1000" si="5">IFERROR(P2*0.35,0)</f>
        <v>0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0</v>
      </c>
      <c r="X2" s="16">
        <f t="shared" ref="X2:X1000" si="12">IFERROR((W2*$AB$47)/$AB$48,0)</f>
        <v>0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130</v>
      </c>
      <c r="C3" s="10">
        <v>16.0</v>
      </c>
      <c r="D3" s="10">
        <v>12.0</v>
      </c>
      <c r="E3" s="10">
        <v>8.0</v>
      </c>
      <c r="F3" s="11"/>
      <c r="G3" s="11" t="b">
        <v>0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0</v>
      </c>
      <c r="N3" s="13">
        <f t="shared" si="2"/>
        <v>0</v>
      </c>
      <c r="O3" s="13">
        <f t="shared" si="3"/>
        <v>56</v>
      </c>
      <c r="P3" s="14">
        <f t="shared" si="4"/>
        <v>0</v>
      </c>
      <c r="Q3" s="15">
        <f t="shared" si="5"/>
        <v>0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0</v>
      </c>
      <c r="X3" s="19">
        <f t="shared" si="12"/>
        <v>0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197</v>
      </c>
      <c r="C4" s="10">
        <v>13.0</v>
      </c>
      <c r="D4" s="10">
        <v>12.0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50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198</v>
      </c>
      <c r="C5" s="10">
        <v>11.0</v>
      </c>
      <c r="D5" s="10">
        <v>8.0</v>
      </c>
      <c r="E5" s="10">
        <v>8.0</v>
      </c>
      <c r="F5" s="1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38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49</v>
      </c>
      <c r="C6" s="10">
        <v>8.0</v>
      </c>
      <c r="D6" s="10">
        <v>7.0</v>
      </c>
      <c r="E6" s="10">
        <v>8.0</v>
      </c>
      <c r="F6" s="1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30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 t="s">
        <v>154</v>
      </c>
      <c r="C7" s="11">
        <v>7.0</v>
      </c>
      <c r="D7" s="11">
        <v>7.0</v>
      </c>
      <c r="E7" s="11">
        <v>8.0</v>
      </c>
      <c r="F7" s="1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28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 t="s">
        <v>27</v>
      </c>
      <c r="C8" s="11">
        <v>18.0</v>
      </c>
      <c r="D8" s="11">
        <v>12.0</v>
      </c>
      <c r="E8" s="11">
        <v>8.0</v>
      </c>
      <c r="F8" s="11">
        <v>1.0</v>
      </c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60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90</v>
      </c>
      <c r="U8" s="14">
        <f t="shared" si="9"/>
        <v>0</v>
      </c>
      <c r="V8" s="14">
        <f t="shared" si="10"/>
        <v>0</v>
      </c>
      <c r="W8" s="14">
        <f t="shared" si="11"/>
        <v>90</v>
      </c>
      <c r="X8" s="19">
        <f t="shared" si="12"/>
        <v>0.96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158</v>
      </c>
      <c r="C9" s="11">
        <v>14.0</v>
      </c>
      <c r="D9" s="11">
        <v>12.0</v>
      </c>
      <c r="E9" s="11">
        <v>8.0</v>
      </c>
      <c r="F9" s="11">
        <v>1.0</v>
      </c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52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90</v>
      </c>
      <c r="U9" s="14">
        <f t="shared" si="9"/>
        <v>0</v>
      </c>
      <c r="V9" s="14">
        <f t="shared" si="10"/>
        <v>0</v>
      </c>
      <c r="W9" s="14">
        <f t="shared" si="11"/>
        <v>90</v>
      </c>
      <c r="X9" s="19">
        <f t="shared" si="12"/>
        <v>0.96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47</v>
      </c>
      <c r="C10" s="11">
        <v>11.0</v>
      </c>
      <c r="D10" s="11">
        <v>10.0</v>
      </c>
      <c r="E10" s="11">
        <v>8.0</v>
      </c>
      <c r="F10" s="11">
        <v>1.0</v>
      </c>
      <c r="G10" s="11" t="b">
        <v>0</v>
      </c>
      <c r="H10" s="12" t="b">
        <v>0</v>
      </c>
      <c r="I10" s="3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42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90</v>
      </c>
      <c r="U10" s="14">
        <f t="shared" si="9"/>
        <v>0</v>
      </c>
      <c r="V10" s="14">
        <f t="shared" si="10"/>
        <v>0</v>
      </c>
      <c r="W10" s="14">
        <f t="shared" si="11"/>
        <v>90</v>
      </c>
      <c r="X10" s="19">
        <f t="shared" si="12"/>
        <v>0.96</v>
      </c>
      <c r="AA10" s="8" t="s">
        <v>42</v>
      </c>
      <c r="AB10" s="8">
        <v>2.0</v>
      </c>
    </row>
    <row r="11" ht="15.75" customHeight="1">
      <c r="A11" s="21">
        <v>10.0</v>
      </c>
      <c r="B11" s="9" t="s">
        <v>199</v>
      </c>
      <c r="C11" s="11">
        <v>12.0</v>
      </c>
      <c r="D11" s="11">
        <v>9.0</v>
      </c>
      <c r="E11" s="11">
        <v>8.0</v>
      </c>
      <c r="F11" s="11">
        <v>1.0</v>
      </c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42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90</v>
      </c>
      <c r="U11" s="14">
        <f t="shared" si="9"/>
        <v>0</v>
      </c>
      <c r="V11" s="14">
        <f t="shared" si="10"/>
        <v>0</v>
      </c>
      <c r="W11" s="14">
        <f t="shared" si="11"/>
        <v>90</v>
      </c>
      <c r="X11" s="19">
        <f t="shared" si="12"/>
        <v>0.96</v>
      </c>
      <c r="AA11" s="8" t="s">
        <v>44</v>
      </c>
      <c r="AB11" s="3">
        <v>1.1</v>
      </c>
    </row>
    <row r="12" ht="15.75" customHeight="1">
      <c r="A12" s="21">
        <v>11.0</v>
      </c>
      <c r="B12" s="9" t="s">
        <v>49</v>
      </c>
      <c r="C12" s="11">
        <v>7.0</v>
      </c>
      <c r="D12" s="11">
        <v>3.0</v>
      </c>
      <c r="E12" s="11">
        <v>8.0</v>
      </c>
      <c r="F12" s="11">
        <v>1.0</v>
      </c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20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90</v>
      </c>
      <c r="U12" s="14">
        <f t="shared" si="9"/>
        <v>0</v>
      </c>
      <c r="V12" s="14">
        <f t="shared" si="10"/>
        <v>0</v>
      </c>
      <c r="W12" s="14">
        <f t="shared" si="11"/>
        <v>90</v>
      </c>
      <c r="X12" s="19">
        <f t="shared" si="12"/>
        <v>0.96</v>
      </c>
      <c r="AA12" s="8" t="s">
        <v>46</v>
      </c>
      <c r="AB12" s="3">
        <v>8.0</v>
      </c>
    </row>
    <row r="13" ht="21.0" customHeight="1">
      <c r="A13" s="21">
        <v>12.0</v>
      </c>
      <c r="B13" s="9" t="s">
        <v>200</v>
      </c>
      <c r="C13" s="11">
        <v>17.0</v>
      </c>
      <c r="D13" s="11">
        <v>12.0</v>
      </c>
      <c r="E13" s="11">
        <v>8.0</v>
      </c>
      <c r="F13" s="11">
        <v>1.0</v>
      </c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58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90</v>
      </c>
      <c r="U13" s="14">
        <f t="shared" si="9"/>
        <v>0</v>
      </c>
      <c r="V13" s="14">
        <f t="shared" si="10"/>
        <v>0</v>
      </c>
      <c r="W13" s="14">
        <f t="shared" si="11"/>
        <v>90</v>
      </c>
      <c r="X13" s="19">
        <f t="shared" si="12"/>
        <v>0.96</v>
      </c>
      <c r="AA13" s="3" t="s">
        <v>48</v>
      </c>
      <c r="AB13" s="3">
        <v>185.0</v>
      </c>
    </row>
    <row r="14" ht="15.75" customHeight="1">
      <c r="A14" s="21">
        <v>13.0</v>
      </c>
      <c r="B14" s="9" t="s">
        <v>201</v>
      </c>
      <c r="C14" s="11">
        <v>12.0</v>
      </c>
      <c r="D14" s="11">
        <v>9.0</v>
      </c>
      <c r="E14" s="11">
        <v>8.0</v>
      </c>
      <c r="F14" s="11">
        <v>1.0</v>
      </c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42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90</v>
      </c>
      <c r="U14" s="14">
        <f t="shared" si="9"/>
        <v>0</v>
      </c>
      <c r="V14" s="14">
        <f t="shared" si="10"/>
        <v>0</v>
      </c>
      <c r="W14" s="14">
        <f t="shared" si="11"/>
        <v>90</v>
      </c>
      <c r="X14" s="19">
        <f t="shared" si="12"/>
        <v>0.96</v>
      </c>
    </row>
    <row r="15" ht="15.75" customHeight="1">
      <c r="A15" s="21">
        <v>14.0</v>
      </c>
      <c r="B15" s="9" t="s">
        <v>202</v>
      </c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9" t="s">
        <v>156</v>
      </c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464</v>
      </c>
    </row>
    <row r="17" ht="15.75" customHeight="1">
      <c r="A17" s="21">
        <v>16.0</v>
      </c>
      <c r="B17" s="11" t="s">
        <v>160</v>
      </c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11" t="s">
        <v>203</v>
      </c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7</v>
      </c>
    </row>
    <row r="19" ht="18.0" customHeight="1">
      <c r="A19" s="21">
        <v>18.0</v>
      </c>
      <c r="B19" s="11" t="s">
        <v>97</v>
      </c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58</v>
      </c>
    </row>
    <row r="20" ht="21.0" customHeight="1">
      <c r="A20" s="31">
        <v>19.0</v>
      </c>
      <c r="B20" s="11" t="s">
        <v>204</v>
      </c>
      <c r="C20" s="11">
        <v>7.0</v>
      </c>
      <c r="D20" s="11">
        <v>4.0</v>
      </c>
      <c r="E20" s="11">
        <v>8.0</v>
      </c>
      <c r="F20" s="21"/>
      <c r="G20" s="11" t="b">
        <v>1</v>
      </c>
      <c r="H20" s="12" t="b">
        <v>0</v>
      </c>
      <c r="I20" s="3" t="b">
        <v>0</v>
      </c>
      <c r="J20" s="3" t="b">
        <v>0</v>
      </c>
      <c r="K20" s="3" t="b">
        <v>1</v>
      </c>
      <c r="L20" s="8">
        <v>1.0</v>
      </c>
      <c r="M20" s="13">
        <f t="shared" si="1"/>
        <v>176</v>
      </c>
      <c r="N20" s="13">
        <f t="shared" si="2"/>
        <v>0</v>
      </c>
      <c r="O20" s="13">
        <f t="shared" si="3"/>
        <v>22</v>
      </c>
      <c r="P20" s="14">
        <f t="shared" si="4"/>
        <v>193.6</v>
      </c>
      <c r="Q20" s="15">
        <f t="shared" si="5"/>
        <v>67.76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44</v>
      </c>
      <c r="V20" s="14">
        <f t="shared" si="10"/>
        <v>0</v>
      </c>
      <c r="W20" s="14">
        <f t="shared" si="11"/>
        <v>237.6</v>
      </c>
      <c r="X20" s="19">
        <f t="shared" si="12"/>
        <v>2.5344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11" t="s">
        <v>205</v>
      </c>
      <c r="C21" s="11">
        <v>12.0</v>
      </c>
      <c r="D21" s="11">
        <v>6.0</v>
      </c>
      <c r="E21" s="11">
        <v>8.0</v>
      </c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1</v>
      </c>
      <c r="L21" s="8">
        <v>1.0</v>
      </c>
      <c r="M21" s="13">
        <f t="shared" si="1"/>
        <v>288</v>
      </c>
      <c r="N21" s="13">
        <f t="shared" si="2"/>
        <v>0</v>
      </c>
      <c r="O21" s="13">
        <f t="shared" si="3"/>
        <v>36</v>
      </c>
      <c r="P21" s="14">
        <f t="shared" si="4"/>
        <v>316.8</v>
      </c>
      <c r="Q21" s="15">
        <f t="shared" si="5"/>
        <v>110.88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72</v>
      </c>
      <c r="V21" s="14">
        <f t="shared" si="10"/>
        <v>0</v>
      </c>
      <c r="W21" s="14">
        <f t="shared" si="11"/>
        <v>388.8</v>
      </c>
      <c r="X21" s="19">
        <f t="shared" si="12"/>
        <v>4.1472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11" t="b">
        <v>0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0.8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4.3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15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510.4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630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116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1256.4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178.64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5.444266667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6.72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1.237333333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13.4016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181</v>
      </c>
      <c r="C2" s="10">
        <v>15.0</v>
      </c>
      <c r="D2" s="10">
        <v>9.0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384</v>
      </c>
      <c r="N2" s="13">
        <f t="shared" ref="N2:N49" si="2">IF(H2,C2*D2,0)</f>
        <v>0</v>
      </c>
      <c r="O2" s="13">
        <f t="shared" ref="O2:O49" si="3">(C2+D2)*2</f>
        <v>48</v>
      </c>
      <c r="P2" s="14">
        <f t="shared" ref="P2:P49" si="4">M2*$AB$7</f>
        <v>422.4</v>
      </c>
      <c r="Q2" s="15">
        <f t="shared" ref="Q2:Q1000" si="5">IFERROR(P2*0.35,0)</f>
        <v>147.84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96</v>
      </c>
      <c r="V2" s="14">
        <f t="shared" ref="V2:V49" si="10">IF(J2,O2*$AB$11,0)</f>
        <v>0</v>
      </c>
      <c r="W2" s="14">
        <f t="shared" ref="W2:W1000" si="11">SUM(P2,R2:V2)</f>
        <v>518.4</v>
      </c>
      <c r="X2" s="16">
        <f t="shared" ref="X2:X1000" si="12">IFERROR((W2*$AB$47)/$AB$48,0)</f>
        <v>5.5296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206</v>
      </c>
      <c r="C3" s="10">
        <v>12.0</v>
      </c>
      <c r="D3" s="10">
        <v>9.0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336</v>
      </c>
      <c r="N3" s="13">
        <f t="shared" si="2"/>
        <v>0</v>
      </c>
      <c r="O3" s="13">
        <f t="shared" si="3"/>
        <v>42</v>
      </c>
      <c r="P3" s="14">
        <f t="shared" si="4"/>
        <v>369.6</v>
      </c>
      <c r="Q3" s="15">
        <f t="shared" si="5"/>
        <v>129.36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84</v>
      </c>
      <c r="V3" s="14">
        <f t="shared" si="10"/>
        <v>0</v>
      </c>
      <c r="W3" s="14">
        <f t="shared" si="11"/>
        <v>453.6</v>
      </c>
      <c r="X3" s="19">
        <f t="shared" si="12"/>
        <v>4.8384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122</v>
      </c>
      <c r="C4" s="10">
        <v>3.0</v>
      </c>
      <c r="D4" s="10">
        <v>6.0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144</v>
      </c>
      <c r="N4" s="13">
        <f t="shared" si="2"/>
        <v>18</v>
      </c>
      <c r="O4" s="13">
        <f t="shared" si="3"/>
        <v>18</v>
      </c>
      <c r="P4" s="14">
        <f t="shared" si="4"/>
        <v>158.4</v>
      </c>
      <c r="Q4" s="15">
        <f t="shared" si="5"/>
        <v>55.44</v>
      </c>
      <c r="R4" s="14">
        <f t="shared" si="6"/>
        <v>21.6</v>
      </c>
      <c r="S4" s="14">
        <f t="shared" si="7"/>
        <v>0</v>
      </c>
      <c r="T4" s="14">
        <f t="shared" si="8"/>
        <v>0</v>
      </c>
      <c r="U4" s="14">
        <f t="shared" si="9"/>
        <v>36</v>
      </c>
      <c r="V4" s="14">
        <f t="shared" si="10"/>
        <v>0</v>
      </c>
      <c r="W4" s="14">
        <f t="shared" si="11"/>
        <v>216</v>
      </c>
      <c r="X4" s="19">
        <f t="shared" si="12"/>
        <v>2.304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194</v>
      </c>
      <c r="C5" s="10">
        <v>12.0</v>
      </c>
      <c r="D5" s="10">
        <v>3.0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240</v>
      </c>
      <c r="N5" s="13">
        <f t="shared" si="2"/>
        <v>0</v>
      </c>
      <c r="O5" s="13">
        <f t="shared" si="3"/>
        <v>30</v>
      </c>
      <c r="P5" s="14">
        <f t="shared" si="4"/>
        <v>264</v>
      </c>
      <c r="Q5" s="15">
        <f t="shared" si="5"/>
        <v>92.4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60</v>
      </c>
      <c r="V5" s="14">
        <f t="shared" si="10"/>
        <v>0</v>
      </c>
      <c r="W5" s="14">
        <f t="shared" si="11"/>
        <v>324</v>
      </c>
      <c r="X5" s="19">
        <f t="shared" si="12"/>
        <v>3.456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124</v>
      </c>
      <c r="C6" s="10">
        <v>16.0</v>
      </c>
      <c r="D6" s="10">
        <v>15.0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496</v>
      </c>
      <c r="N6" s="13">
        <f t="shared" si="2"/>
        <v>0</v>
      </c>
      <c r="O6" s="13">
        <f t="shared" si="3"/>
        <v>62</v>
      </c>
      <c r="P6" s="14">
        <f t="shared" si="4"/>
        <v>545.6</v>
      </c>
      <c r="Q6" s="15">
        <f t="shared" si="5"/>
        <v>190.96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124</v>
      </c>
      <c r="V6" s="14">
        <f t="shared" si="10"/>
        <v>0</v>
      </c>
      <c r="W6" s="14">
        <f t="shared" si="11"/>
        <v>669.6</v>
      </c>
      <c r="X6" s="19">
        <f t="shared" si="12"/>
        <v>7.1424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 t="s">
        <v>207</v>
      </c>
      <c r="C7" s="11">
        <v>12.0</v>
      </c>
      <c r="D7" s="11">
        <v>12.0</v>
      </c>
      <c r="E7" s="11">
        <v>17.0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816</v>
      </c>
      <c r="N7" s="13">
        <f t="shared" si="2"/>
        <v>0</v>
      </c>
      <c r="O7" s="13">
        <f t="shared" si="3"/>
        <v>48</v>
      </c>
      <c r="P7" s="14">
        <f t="shared" si="4"/>
        <v>897.6</v>
      </c>
      <c r="Q7" s="15">
        <f t="shared" si="5"/>
        <v>314.16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96</v>
      </c>
      <c r="V7" s="14">
        <f t="shared" si="10"/>
        <v>0</v>
      </c>
      <c r="W7" s="14">
        <f t="shared" si="11"/>
        <v>993.6</v>
      </c>
      <c r="X7" s="19">
        <f t="shared" si="12"/>
        <v>10.5984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 t="s">
        <v>208</v>
      </c>
      <c r="C8" s="11">
        <v>11.0</v>
      </c>
      <c r="D8" s="11">
        <v>19.0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480</v>
      </c>
      <c r="N8" s="13">
        <f t="shared" si="2"/>
        <v>0</v>
      </c>
      <c r="O8" s="13">
        <f t="shared" si="3"/>
        <v>60</v>
      </c>
      <c r="P8" s="14">
        <f t="shared" si="4"/>
        <v>528</v>
      </c>
      <c r="Q8" s="15">
        <f t="shared" si="5"/>
        <v>184.8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120</v>
      </c>
      <c r="V8" s="14">
        <f t="shared" si="10"/>
        <v>0</v>
      </c>
      <c r="W8" s="14">
        <f t="shared" si="11"/>
        <v>648</v>
      </c>
      <c r="X8" s="19">
        <f t="shared" si="12"/>
        <v>6.912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209</v>
      </c>
      <c r="C9" s="11">
        <v>15.0</v>
      </c>
      <c r="D9" s="11">
        <v>14.0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464</v>
      </c>
      <c r="N9" s="13">
        <f t="shared" si="2"/>
        <v>0</v>
      </c>
      <c r="O9" s="13">
        <f t="shared" si="3"/>
        <v>58</v>
      </c>
      <c r="P9" s="14">
        <f t="shared" si="4"/>
        <v>510.4</v>
      </c>
      <c r="Q9" s="15">
        <f t="shared" si="5"/>
        <v>178.64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116</v>
      </c>
      <c r="V9" s="14">
        <f t="shared" si="10"/>
        <v>0</v>
      </c>
      <c r="W9" s="14">
        <f t="shared" si="11"/>
        <v>626.4</v>
      </c>
      <c r="X9" s="19">
        <f t="shared" si="12"/>
        <v>6.6816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210</v>
      </c>
      <c r="C10" s="11">
        <v>16.0</v>
      </c>
      <c r="D10" s="11">
        <v>8.0</v>
      </c>
      <c r="E10" s="11">
        <v>8.0</v>
      </c>
      <c r="F10" s="21"/>
      <c r="G10" s="1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384</v>
      </c>
      <c r="N10" s="13">
        <f t="shared" si="2"/>
        <v>0</v>
      </c>
      <c r="O10" s="13">
        <f t="shared" si="3"/>
        <v>48</v>
      </c>
      <c r="P10" s="14">
        <f t="shared" si="4"/>
        <v>422.4</v>
      </c>
      <c r="Q10" s="15">
        <f t="shared" si="5"/>
        <v>147.84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96</v>
      </c>
      <c r="V10" s="14">
        <f t="shared" si="10"/>
        <v>0</v>
      </c>
      <c r="W10" s="14">
        <f t="shared" si="11"/>
        <v>518.4</v>
      </c>
      <c r="X10" s="19">
        <f t="shared" si="12"/>
        <v>5.5296</v>
      </c>
      <c r="AA10" s="8" t="s">
        <v>42</v>
      </c>
      <c r="AB10" s="8">
        <v>2.0</v>
      </c>
    </row>
    <row r="11" ht="15.75" customHeight="1">
      <c r="A11" s="21">
        <v>10.0</v>
      </c>
      <c r="B11" s="9" t="s">
        <v>88</v>
      </c>
      <c r="C11" s="11">
        <v>24.0</v>
      </c>
      <c r="D11" s="11">
        <v>18.0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672</v>
      </c>
      <c r="N11" s="13">
        <f t="shared" si="2"/>
        <v>0</v>
      </c>
      <c r="O11" s="13">
        <f t="shared" si="3"/>
        <v>84</v>
      </c>
      <c r="P11" s="14">
        <f t="shared" si="4"/>
        <v>739.2</v>
      </c>
      <c r="Q11" s="15">
        <f t="shared" si="5"/>
        <v>258.72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168</v>
      </c>
      <c r="V11" s="14">
        <f t="shared" si="10"/>
        <v>0</v>
      </c>
      <c r="W11" s="14">
        <f t="shared" si="11"/>
        <v>907.2</v>
      </c>
      <c r="X11" s="19">
        <f t="shared" si="12"/>
        <v>9.6768</v>
      </c>
      <c r="AA11" s="8" t="s">
        <v>44</v>
      </c>
      <c r="AB11" s="3">
        <v>1.1</v>
      </c>
    </row>
    <row r="12" ht="15.75" customHeight="1">
      <c r="A12" s="21">
        <v>11.0</v>
      </c>
      <c r="B12" s="9" t="s">
        <v>136</v>
      </c>
      <c r="C12" s="11">
        <v>10.0</v>
      </c>
      <c r="D12" s="11">
        <v>14.0</v>
      </c>
      <c r="E12" s="11">
        <v>8.0</v>
      </c>
      <c r="F12" s="21"/>
      <c r="G12" s="11" t="b">
        <v>1</v>
      </c>
      <c r="H12" s="12" t="b">
        <v>1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384</v>
      </c>
      <c r="N12" s="13">
        <f t="shared" si="2"/>
        <v>140</v>
      </c>
      <c r="O12" s="13">
        <f t="shared" si="3"/>
        <v>48</v>
      </c>
      <c r="P12" s="14">
        <f t="shared" si="4"/>
        <v>422.4</v>
      </c>
      <c r="Q12" s="15">
        <f t="shared" si="5"/>
        <v>147.84</v>
      </c>
      <c r="R12" s="14">
        <f t="shared" si="6"/>
        <v>168</v>
      </c>
      <c r="S12" s="14">
        <f t="shared" si="7"/>
        <v>0</v>
      </c>
      <c r="T12" s="14">
        <f t="shared" si="8"/>
        <v>0</v>
      </c>
      <c r="U12" s="14">
        <f t="shared" si="9"/>
        <v>96</v>
      </c>
      <c r="V12" s="14">
        <f t="shared" si="10"/>
        <v>0</v>
      </c>
      <c r="W12" s="14">
        <f t="shared" si="11"/>
        <v>686.4</v>
      </c>
      <c r="X12" s="19">
        <f t="shared" si="12"/>
        <v>7.3216</v>
      </c>
      <c r="AA12" s="8" t="s">
        <v>46</v>
      </c>
      <c r="AB12" s="3">
        <v>8.0</v>
      </c>
    </row>
    <row r="13" ht="21.0" customHeight="1">
      <c r="A13" s="21">
        <v>12.0</v>
      </c>
      <c r="B13" s="9" t="s">
        <v>211</v>
      </c>
      <c r="C13" s="11">
        <v>8.0</v>
      </c>
      <c r="D13" s="11">
        <v>2.0</v>
      </c>
      <c r="E13" s="11">
        <v>8.0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160</v>
      </c>
      <c r="N13" s="13">
        <f t="shared" si="2"/>
        <v>0</v>
      </c>
      <c r="O13" s="13">
        <f t="shared" si="3"/>
        <v>20</v>
      </c>
      <c r="P13" s="14">
        <f t="shared" si="4"/>
        <v>176</v>
      </c>
      <c r="Q13" s="15">
        <f t="shared" si="5"/>
        <v>61.6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40</v>
      </c>
      <c r="V13" s="14">
        <f t="shared" si="10"/>
        <v>0</v>
      </c>
      <c r="W13" s="14">
        <f t="shared" si="11"/>
        <v>216</v>
      </c>
      <c r="X13" s="19">
        <f t="shared" si="12"/>
        <v>2.304</v>
      </c>
      <c r="AA13" s="3" t="s">
        <v>48</v>
      </c>
      <c r="AB13" s="3">
        <v>185.0</v>
      </c>
    </row>
    <row r="14" ht="15.75" customHeight="1">
      <c r="A14" s="21">
        <v>13.0</v>
      </c>
      <c r="B14" s="9" t="s">
        <v>190</v>
      </c>
      <c r="C14" s="11">
        <v>17.0</v>
      </c>
      <c r="D14" s="11">
        <v>9.0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416</v>
      </c>
      <c r="N14" s="13">
        <f t="shared" si="2"/>
        <v>0</v>
      </c>
      <c r="O14" s="13">
        <f t="shared" si="3"/>
        <v>52</v>
      </c>
      <c r="P14" s="14">
        <f t="shared" si="4"/>
        <v>457.6</v>
      </c>
      <c r="Q14" s="15">
        <f t="shared" si="5"/>
        <v>160.16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104</v>
      </c>
      <c r="V14" s="14">
        <f t="shared" si="10"/>
        <v>0</v>
      </c>
      <c r="W14" s="14">
        <f t="shared" si="11"/>
        <v>561.6</v>
      </c>
      <c r="X14" s="19">
        <f t="shared" si="12"/>
        <v>5.9904</v>
      </c>
    </row>
    <row r="15" ht="15.75" customHeight="1">
      <c r="A15" s="21">
        <v>14.0</v>
      </c>
      <c r="B15" s="9" t="s">
        <v>212</v>
      </c>
      <c r="C15" s="11">
        <v>13.0</v>
      </c>
      <c r="D15" s="11">
        <v>10.0</v>
      </c>
      <c r="E15" s="11">
        <v>8.0</v>
      </c>
      <c r="F15" s="21"/>
      <c r="G15" s="11" t="b">
        <v>1</v>
      </c>
      <c r="H15" s="12" t="b">
        <v>0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368</v>
      </c>
      <c r="N15" s="13">
        <f t="shared" si="2"/>
        <v>0</v>
      </c>
      <c r="O15" s="13">
        <f t="shared" si="3"/>
        <v>46</v>
      </c>
      <c r="P15" s="14">
        <f t="shared" si="4"/>
        <v>404.8</v>
      </c>
      <c r="Q15" s="15">
        <f t="shared" si="5"/>
        <v>141.68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92</v>
      </c>
      <c r="V15" s="14">
        <f t="shared" si="10"/>
        <v>0</v>
      </c>
      <c r="W15" s="14">
        <f t="shared" si="11"/>
        <v>496.8</v>
      </c>
      <c r="X15" s="19">
        <f t="shared" si="12"/>
        <v>5.2992</v>
      </c>
      <c r="AA15" s="25" t="s">
        <v>51</v>
      </c>
      <c r="AB15" s="26"/>
    </row>
    <row r="16" ht="15.75" customHeight="1">
      <c r="A16" s="21">
        <v>15.0</v>
      </c>
      <c r="B16" s="9" t="s">
        <v>165</v>
      </c>
      <c r="C16" s="11">
        <v>14.0</v>
      </c>
      <c r="D16" s="11">
        <v>12.0</v>
      </c>
      <c r="E16" s="11">
        <v>8.0</v>
      </c>
      <c r="F16" s="21"/>
      <c r="G16" s="11" t="b">
        <v>1</v>
      </c>
      <c r="H16" s="12" t="b">
        <v>1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416</v>
      </c>
      <c r="N16" s="13">
        <f t="shared" si="2"/>
        <v>168</v>
      </c>
      <c r="O16" s="13">
        <f t="shared" si="3"/>
        <v>52</v>
      </c>
      <c r="P16" s="14">
        <f t="shared" si="4"/>
        <v>457.6</v>
      </c>
      <c r="Q16" s="15">
        <f t="shared" si="5"/>
        <v>160.16</v>
      </c>
      <c r="R16" s="14">
        <f t="shared" si="6"/>
        <v>201.6</v>
      </c>
      <c r="S16" s="14">
        <f t="shared" si="7"/>
        <v>0</v>
      </c>
      <c r="T16" s="14">
        <f t="shared" si="8"/>
        <v>0</v>
      </c>
      <c r="U16" s="14">
        <f t="shared" si="9"/>
        <v>104</v>
      </c>
      <c r="V16" s="14">
        <f t="shared" si="10"/>
        <v>0</v>
      </c>
      <c r="W16" s="14">
        <f t="shared" si="11"/>
        <v>763.2</v>
      </c>
      <c r="X16" s="19">
        <f t="shared" si="12"/>
        <v>8.1408</v>
      </c>
      <c r="AA16" s="28" t="s">
        <v>52</v>
      </c>
      <c r="AB16" s="29">
        <f>SUM(M2:M1000)</f>
        <v>6416</v>
      </c>
    </row>
    <row r="17" ht="15.75" customHeight="1">
      <c r="A17" s="21">
        <v>16.0</v>
      </c>
      <c r="B17" s="11" t="s">
        <v>213</v>
      </c>
      <c r="C17" s="11">
        <v>10.0</v>
      </c>
      <c r="D17" s="11">
        <v>6.0</v>
      </c>
      <c r="E17" s="11">
        <v>8.0</v>
      </c>
      <c r="F17" s="21"/>
      <c r="G17" s="11" t="b">
        <v>1</v>
      </c>
      <c r="H17" s="12" t="b">
        <v>1</v>
      </c>
      <c r="I17" s="3" t="b">
        <v>0</v>
      </c>
      <c r="J17" s="3" t="b">
        <v>0</v>
      </c>
      <c r="K17" s="3" t="b">
        <v>1</v>
      </c>
      <c r="L17" s="8">
        <v>1.0</v>
      </c>
      <c r="M17" s="13">
        <f t="shared" si="1"/>
        <v>256</v>
      </c>
      <c r="N17" s="13">
        <f t="shared" si="2"/>
        <v>60</v>
      </c>
      <c r="O17" s="13">
        <f t="shared" si="3"/>
        <v>32</v>
      </c>
      <c r="P17" s="14">
        <f t="shared" si="4"/>
        <v>281.6</v>
      </c>
      <c r="Q17" s="15">
        <f t="shared" si="5"/>
        <v>98.56</v>
      </c>
      <c r="R17" s="14">
        <f t="shared" si="6"/>
        <v>72</v>
      </c>
      <c r="S17" s="14">
        <f t="shared" si="7"/>
        <v>0</v>
      </c>
      <c r="T17" s="14">
        <f t="shared" si="8"/>
        <v>0</v>
      </c>
      <c r="U17" s="14">
        <f t="shared" si="9"/>
        <v>64</v>
      </c>
      <c r="V17" s="14">
        <f t="shared" si="10"/>
        <v>0</v>
      </c>
      <c r="W17" s="14">
        <f t="shared" si="11"/>
        <v>417.6</v>
      </c>
      <c r="X17" s="19">
        <f t="shared" si="12"/>
        <v>4.4544</v>
      </c>
      <c r="AA17" s="28" t="s">
        <v>54</v>
      </c>
      <c r="AB17" s="29">
        <f>SUM(N2:N1000)</f>
        <v>386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748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1.102857143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4.602857143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16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7057.6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463.2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1496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9016.8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2470.16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75.28106667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4.9408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15.95733333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96.1792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88</v>
      </c>
      <c r="C2" s="10">
        <v>15.0</v>
      </c>
      <c r="D2" s="10">
        <v>16.0</v>
      </c>
      <c r="E2" s="10">
        <v>8.0</v>
      </c>
      <c r="F2" s="11">
        <v>16.0</v>
      </c>
      <c r="G2" s="11" t="b">
        <v>1</v>
      </c>
      <c r="H2" s="12" t="b">
        <v>1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496</v>
      </c>
      <c r="N2" s="13">
        <f t="shared" ref="N2:N49" si="2">IF(H2,C2*D2,0)</f>
        <v>240</v>
      </c>
      <c r="O2" s="13">
        <f t="shared" ref="O2:O49" si="3">(C2+D2)*2</f>
        <v>62</v>
      </c>
      <c r="P2" s="14">
        <f t="shared" ref="P2:P49" si="4">M2*$AB$7</f>
        <v>545.6</v>
      </c>
      <c r="Q2" s="15">
        <f t="shared" ref="Q2:Q1000" si="5">IFERROR(P2*0.35,0)</f>
        <v>190.96</v>
      </c>
      <c r="R2" s="14">
        <f t="shared" ref="R2:R49" si="6">N2*$AB$8</f>
        <v>288</v>
      </c>
      <c r="S2" s="14">
        <f t="shared" ref="S2:S49" si="7">IF(I2,C2*D2*$AB$12,0)</f>
        <v>0</v>
      </c>
      <c r="T2" s="14">
        <f t="shared" ref="T2:T49" si="8">F2*$AB$9</f>
        <v>1440</v>
      </c>
      <c r="U2" s="14">
        <f t="shared" ref="U2:U49" si="9">IF(K2,IF(L2&gt;0,O2*$AB$10*L2,0),0)</f>
        <v>124</v>
      </c>
      <c r="V2" s="14">
        <f t="shared" ref="V2:V49" si="10">IF(J2,O2*$AB$11,0)</f>
        <v>0</v>
      </c>
      <c r="W2" s="14">
        <f t="shared" ref="W2:W1000" si="11">SUM(P2,R2:V2)</f>
        <v>2397.6</v>
      </c>
      <c r="X2" s="16">
        <f t="shared" ref="X2:X1000" si="12">IFERROR((W2*$AB$47)/$AB$48,0)</f>
        <v>25.5744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141</v>
      </c>
      <c r="C3" s="10">
        <v>10.0</v>
      </c>
      <c r="D3" s="10">
        <v>10.0</v>
      </c>
      <c r="E3" s="10">
        <v>8.0</v>
      </c>
      <c r="F3" s="11"/>
      <c r="G3" s="11" t="b">
        <v>1</v>
      </c>
      <c r="H3" s="12" t="b">
        <v>1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320</v>
      </c>
      <c r="N3" s="13">
        <f t="shared" si="2"/>
        <v>100</v>
      </c>
      <c r="O3" s="13">
        <f t="shared" si="3"/>
        <v>40</v>
      </c>
      <c r="P3" s="14">
        <f t="shared" si="4"/>
        <v>352</v>
      </c>
      <c r="Q3" s="15">
        <f t="shared" si="5"/>
        <v>123.2</v>
      </c>
      <c r="R3" s="14">
        <f t="shared" si="6"/>
        <v>120</v>
      </c>
      <c r="S3" s="14">
        <f t="shared" si="7"/>
        <v>0</v>
      </c>
      <c r="T3" s="14">
        <f t="shared" si="8"/>
        <v>0</v>
      </c>
      <c r="U3" s="14">
        <f t="shared" si="9"/>
        <v>80</v>
      </c>
      <c r="V3" s="14">
        <f t="shared" si="10"/>
        <v>0</v>
      </c>
      <c r="W3" s="14">
        <f t="shared" si="11"/>
        <v>552</v>
      </c>
      <c r="X3" s="19">
        <f t="shared" si="12"/>
        <v>5.888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214</v>
      </c>
      <c r="C4" s="10">
        <v>3.0</v>
      </c>
      <c r="D4" s="10">
        <v>4.0</v>
      </c>
      <c r="E4" s="10">
        <v>8.0</v>
      </c>
      <c r="F4" s="11"/>
      <c r="G4" s="11" t="b">
        <v>1</v>
      </c>
      <c r="H4" s="12" t="b">
        <v>1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112</v>
      </c>
      <c r="N4" s="13">
        <f t="shared" si="2"/>
        <v>12</v>
      </c>
      <c r="O4" s="13">
        <f t="shared" si="3"/>
        <v>14</v>
      </c>
      <c r="P4" s="14">
        <f t="shared" si="4"/>
        <v>123.2</v>
      </c>
      <c r="Q4" s="15">
        <f t="shared" si="5"/>
        <v>43.12</v>
      </c>
      <c r="R4" s="14">
        <f t="shared" si="6"/>
        <v>14.4</v>
      </c>
      <c r="S4" s="14">
        <f t="shared" si="7"/>
        <v>0</v>
      </c>
      <c r="T4" s="14">
        <f t="shared" si="8"/>
        <v>0</v>
      </c>
      <c r="U4" s="14">
        <f t="shared" si="9"/>
        <v>28</v>
      </c>
      <c r="V4" s="14">
        <f t="shared" si="10"/>
        <v>0</v>
      </c>
      <c r="W4" s="14">
        <f t="shared" si="11"/>
        <v>165.6</v>
      </c>
      <c r="X4" s="19">
        <f t="shared" si="12"/>
        <v>1.7664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215</v>
      </c>
      <c r="C5" s="10">
        <v>6.0</v>
      </c>
      <c r="D5" s="10">
        <v>4.0</v>
      </c>
      <c r="E5" s="10">
        <v>8.0</v>
      </c>
      <c r="F5" s="21"/>
      <c r="G5" s="11" t="b">
        <v>1</v>
      </c>
      <c r="H5" s="12" t="b">
        <v>1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160</v>
      </c>
      <c r="N5" s="13">
        <f t="shared" si="2"/>
        <v>24</v>
      </c>
      <c r="O5" s="13">
        <f t="shared" si="3"/>
        <v>20</v>
      </c>
      <c r="P5" s="14">
        <f t="shared" si="4"/>
        <v>176</v>
      </c>
      <c r="Q5" s="15">
        <f t="shared" si="5"/>
        <v>61.6</v>
      </c>
      <c r="R5" s="14">
        <f t="shared" si="6"/>
        <v>28.8</v>
      </c>
      <c r="S5" s="14">
        <f t="shared" si="7"/>
        <v>0</v>
      </c>
      <c r="T5" s="14">
        <f t="shared" si="8"/>
        <v>0</v>
      </c>
      <c r="U5" s="14">
        <f t="shared" si="9"/>
        <v>40</v>
      </c>
      <c r="V5" s="14">
        <f t="shared" si="10"/>
        <v>0</v>
      </c>
      <c r="W5" s="14">
        <f t="shared" si="11"/>
        <v>244.8</v>
      </c>
      <c r="X5" s="19">
        <f t="shared" si="12"/>
        <v>2.6112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216</v>
      </c>
      <c r="C6" s="10">
        <v>11.0</v>
      </c>
      <c r="D6" s="10">
        <v>11.0</v>
      </c>
      <c r="E6" s="10">
        <v>8.0</v>
      </c>
      <c r="F6" s="21"/>
      <c r="G6" s="11" t="b">
        <v>1</v>
      </c>
      <c r="H6" s="12" t="b">
        <v>1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352</v>
      </c>
      <c r="N6" s="13">
        <f t="shared" si="2"/>
        <v>121</v>
      </c>
      <c r="O6" s="13">
        <f t="shared" si="3"/>
        <v>44</v>
      </c>
      <c r="P6" s="14">
        <f t="shared" si="4"/>
        <v>387.2</v>
      </c>
      <c r="Q6" s="15">
        <f t="shared" si="5"/>
        <v>135.52</v>
      </c>
      <c r="R6" s="14">
        <f t="shared" si="6"/>
        <v>145.2</v>
      </c>
      <c r="S6" s="14">
        <f t="shared" si="7"/>
        <v>0</v>
      </c>
      <c r="T6" s="14">
        <f t="shared" si="8"/>
        <v>0</v>
      </c>
      <c r="U6" s="14">
        <f t="shared" si="9"/>
        <v>88</v>
      </c>
      <c r="V6" s="14">
        <f t="shared" si="10"/>
        <v>0</v>
      </c>
      <c r="W6" s="14">
        <f t="shared" si="11"/>
        <v>620.4</v>
      </c>
      <c r="X6" s="19">
        <f t="shared" si="12"/>
        <v>6.6176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59" t="s">
        <v>168</v>
      </c>
      <c r="C7" s="11">
        <v>5.0</v>
      </c>
      <c r="D7" s="11">
        <v>5.0</v>
      </c>
      <c r="E7" s="11">
        <v>8.0</v>
      </c>
      <c r="F7" s="21"/>
      <c r="G7" s="11" t="b">
        <v>1</v>
      </c>
      <c r="H7" s="12" t="b">
        <v>1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160</v>
      </c>
      <c r="N7" s="13">
        <f t="shared" si="2"/>
        <v>25</v>
      </c>
      <c r="O7" s="13">
        <f t="shared" si="3"/>
        <v>20</v>
      </c>
      <c r="P7" s="14">
        <f t="shared" si="4"/>
        <v>176</v>
      </c>
      <c r="Q7" s="15">
        <f t="shared" si="5"/>
        <v>61.6</v>
      </c>
      <c r="R7" s="14">
        <f t="shared" si="6"/>
        <v>30</v>
      </c>
      <c r="S7" s="14">
        <f t="shared" si="7"/>
        <v>0</v>
      </c>
      <c r="T7" s="14">
        <f t="shared" si="8"/>
        <v>0</v>
      </c>
      <c r="U7" s="14">
        <f t="shared" si="9"/>
        <v>40</v>
      </c>
      <c r="V7" s="14">
        <f t="shared" si="10"/>
        <v>0</v>
      </c>
      <c r="W7" s="14">
        <f t="shared" si="11"/>
        <v>246</v>
      </c>
      <c r="X7" s="19">
        <f t="shared" si="12"/>
        <v>2.624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59" t="s">
        <v>214</v>
      </c>
      <c r="C8" s="11">
        <v>5.0</v>
      </c>
      <c r="D8" s="11">
        <v>3.0</v>
      </c>
      <c r="E8" s="11">
        <v>8.0</v>
      </c>
      <c r="F8" s="21"/>
      <c r="G8" s="11" t="b">
        <v>1</v>
      </c>
      <c r="H8" s="12" t="b">
        <v>1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128</v>
      </c>
      <c r="N8" s="13">
        <f t="shared" si="2"/>
        <v>15</v>
      </c>
      <c r="O8" s="13">
        <f t="shared" si="3"/>
        <v>16</v>
      </c>
      <c r="P8" s="14">
        <f t="shared" si="4"/>
        <v>140.8</v>
      </c>
      <c r="Q8" s="15">
        <f t="shared" si="5"/>
        <v>49.28</v>
      </c>
      <c r="R8" s="14">
        <f t="shared" si="6"/>
        <v>18</v>
      </c>
      <c r="S8" s="14">
        <f t="shared" si="7"/>
        <v>0</v>
      </c>
      <c r="T8" s="14">
        <f t="shared" si="8"/>
        <v>0</v>
      </c>
      <c r="U8" s="14">
        <f t="shared" si="9"/>
        <v>32</v>
      </c>
      <c r="V8" s="14">
        <f t="shared" si="10"/>
        <v>0</v>
      </c>
      <c r="W8" s="14">
        <f t="shared" si="11"/>
        <v>190.8</v>
      </c>
      <c r="X8" s="19">
        <f t="shared" si="12"/>
        <v>2.0352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91</v>
      </c>
      <c r="C9" s="11">
        <v>10.0</v>
      </c>
      <c r="D9" s="11">
        <v>15.0</v>
      </c>
      <c r="E9" s="11">
        <v>8.0</v>
      </c>
      <c r="F9" s="21"/>
      <c r="G9" s="11" t="b">
        <v>1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400</v>
      </c>
      <c r="N9" s="13">
        <f t="shared" si="2"/>
        <v>150</v>
      </c>
      <c r="O9" s="13">
        <f t="shared" si="3"/>
        <v>50</v>
      </c>
      <c r="P9" s="14">
        <f t="shared" si="4"/>
        <v>440</v>
      </c>
      <c r="Q9" s="15">
        <f t="shared" si="5"/>
        <v>154</v>
      </c>
      <c r="R9" s="14">
        <f t="shared" si="6"/>
        <v>180</v>
      </c>
      <c r="S9" s="14">
        <f t="shared" si="7"/>
        <v>0</v>
      </c>
      <c r="T9" s="14">
        <f t="shared" si="8"/>
        <v>0</v>
      </c>
      <c r="U9" s="14">
        <f t="shared" si="9"/>
        <v>100</v>
      </c>
      <c r="V9" s="14">
        <f t="shared" si="10"/>
        <v>0</v>
      </c>
      <c r="W9" s="14">
        <f t="shared" si="11"/>
        <v>720</v>
      </c>
      <c r="X9" s="19">
        <f t="shared" si="12"/>
        <v>7.68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217</v>
      </c>
      <c r="C10" s="11">
        <v>10.0</v>
      </c>
      <c r="D10" s="11">
        <v>15.0</v>
      </c>
      <c r="E10" s="11">
        <v>8.0</v>
      </c>
      <c r="F10" s="21"/>
      <c r="G10" s="11" t="b">
        <v>1</v>
      </c>
      <c r="H10" s="12" t="b">
        <v>1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400</v>
      </c>
      <c r="N10" s="13">
        <f t="shared" si="2"/>
        <v>150</v>
      </c>
      <c r="O10" s="13">
        <f t="shared" si="3"/>
        <v>50</v>
      </c>
      <c r="P10" s="14">
        <f t="shared" si="4"/>
        <v>440</v>
      </c>
      <c r="Q10" s="15">
        <f t="shared" si="5"/>
        <v>154</v>
      </c>
      <c r="R10" s="14">
        <f t="shared" si="6"/>
        <v>180</v>
      </c>
      <c r="S10" s="14">
        <f t="shared" si="7"/>
        <v>0</v>
      </c>
      <c r="T10" s="14">
        <f t="shared" si="8"/>
        <v>0</v>
      </c>
      <c r="U10" s="14">
        <f t="shared" si="9"/>
        <v>100</v>
      </c>
      <c r="V10" s="14">
        <f t="shared" si="10"/>
        <v>0</v>
      </c>
      <c r="W10" s="14">
        <f t="shared" si="11"/>
        <v>720</v>
      </c>
      <c r="X10" s="19">
        <f t="shared" si="12"/>
        <v>7.68</v>
      </c>
      <c r="AA10" s="8" t="s">
        <v>42</v>
      </c>
      <c r="AB10" s="8">
        <v>2.0</v>
      </c>
    </row>
    <row r="11" ht="15.75" customHeight="1">
      <c r="A11" s="21">
        <v>10.0</v>
      </c>
      <c r="B11" s="9" t="s">
        <v>153</v>
      </c>
      <c r="C11" s="11">
        <v>30.0</v>
      </c>
      <c r="D11" s="11">
        <v>4.0</v>
      </c>
      <c r="E11" s="11">
        <v>8.0</v>
      </c>
      <c r="F11" s="21"/>
      <c r="G11" s="11" t="b">
        <v>1</v>
      </c>
      <c r="H11" s="12" t="b">
        <v>1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544</v>
      </c>
      <c r="N11" s="13">
        <f t="shared" si="2"/>
        <v>120</v>
      </c>
      <c r="O11" s="13">
        <f t="shared" si="3"/>
        <v>68</v>
      </c>
      <c r="P11" s="14">
        <f t="shared" si="4"/>
        <v>598.4</v>
      </c>
      <c r="Q11" s="15">
        <f t="shared" si="5"/>
        <v>209.44</v>
      </c>
      <c r="R11" s="14">
        <f t="shared" si="6"/>
        <v>144</v>
      </c>
      <c r="S11" s="14">
        <f t="shared" si="7"/>
        <v>0</v>
      </c>
      <c r="T11" s="14">
        <f t="shared" si="8"/>
        <v>0</v>
      </c>
      <c r="U11" s="14">
        <f t="shared" si="9"/>
        <v>136</v>
      </c>
      <c r="V11" s="14">
        <f t="shared" si="10"/>
        <v>0</v>
      </c>
      <c r="W11" s="14">
        <f t="shared" si="11"/>
        <v>878.4</v>
      </c>
      <c r="X11" s="19">
        <f t="shared" si="12"/>
        <v>9.3696</v>
      </c>
      <c r="AA11" s="8" t="s">
        <v>44</v>
      </c>
      <c r="AB11" s="3">
        <v>1.1</v>
      </c>
    </row>
    <row r="12" ht="15.75" customHeight="1">
      <c r="A12" s="21">
        <v>11.0</v>
      </c>
      <c r="B12" s="9" t="s">
        <v>156</v>
      </c>
      <c r="C12" s="11">
        <v>10.0</v>
      </c>
      <c r="D12" s="11">
        <v>22.0</v>
      </c>
      <c r="E12" s="11">
        <v>17.0</v>
      </c>
      <c r="F12" s="21"/>
      <c r="G12" s="11" t="b">
        <v>1</v>
      </c>
      <c r="H12" s="12" t="b">
        <v>1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1088</v>
      </c>
      <c r="N12" s="13">
        <f t="shared" si="2"/>
        <v>220</v>
      </c>
      <c r="O12" s="13">
        <f t="shared" si="3"/>
        <v>64</v>
      </c>
      <c r="P12" s="14">
        <f t="shared" si="4"/>
        <v>1196.8</v>
      </c>
      <c r="Q12" s="15">
        <f t="shared" si="5"/>
        <v>418.88</v>
      </c>
      <c r="R12" s="14">
        <f t="shared" si="6"/>
        <v>264</v>
      </c>
      <c r="S12" s="14">
        <f t="shared" si="7"/>
        <v>0</v>
      </c>
      <c r="T12" s="14">
        <f t="shared" si="8"/>
        <v>0</v>
      </c>
      <c r="U12" s="14">
        <f t="shared" si="9"/>
        <v>128</v>
      </c>
      <c r="V12" s="14">
        <f t="shared" si="10"/>
        <v>0</v>
      </c>
      <c r="W12" s="14">
        <f t="shared" si="11"/>
        <v>1588.8</v>
      </c>
      <c r="X12" s="19">
        <f t="shared" si="12"/>
        <v>16.9472</v>
      </c>
      <c r="AA12" s="8" t="s">
        <v>46</v>
      </c>
      <c r="AB12" s="3">
        <v>8.0</v>
      </c>
    </row>
    <row r="13" ht="21.0" customHeight="1">
      <c r="A13" s="21">
        <v>12.0</v>
      </c>
      <c r="B13" s="9" t="s">
        <v>146</v>
      </c>
      <c r="C13" s="11">
        <v>18.0</v>
      </c>
      <c r="D13" s="11">
        <v>12.0</v>
      </c>
      <c r="E13" s="11">
        <v>8.0</v>
      </c>
      <c r="F13" s="21"/>
      <c r="G13" s="11" t="b">
        <v>1</v>
      </c>
      <c r="H13" s="12" t="b">
        <v>1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480</v>
      </c>
      <c r="N13" s="13">
        <f t="shared" si="2"/>
        <v>216</v>
      </c>
      <c r="O13" s="13">
        <f t="shared" si="3"/>
        <v>60</v>
      </c>
      <c r="P13" s="14">
        <f t="shared" si="4"/>
        <v>528</v>
      </c>
      <c r="Q13" s="15">
        <f t="shared" si="5"/>
        <v>184.8</v>
      </c>
      <c r="R13" s="14">
        <f t="shared" si="6"/>
        <v>259.2</v>
      </c>
      <c r="S13" s="14">
        <f t="shared" si="7"/>
        <v>0</v>
      </c>
      <c r="T13" s="14">
        <f t="shared" si="8"/>
        <v>0</v>
      </c>
      <c r="U13" s="14">
        <f t="shared" si="9"/>
        <v>120</v>
      </c>
      <c r="V13" s="14">
        <f t="shared" si="10"/>
        <v>0</v>
      </c>
      <c r="W13" s="14">
        <f t="shared" si="11"/>
        <v>907.2</v>
      </c>
      <c r="X13" s="19">
        <f t="shared" si="12"/>
        <v>9.6768</v>
      </c>
      <c r="AA13" s="3" t="s">
        <v>48</v>
      </c>
      <c r="AB13" s="3">
        <v>185.0</v>
      </c>
    </row>
    <row r="14" ht="15.75" customHeight="1">
      <c r="A14" s="21">
        <v>13.0</v>
      </c>
      <c r="B14" s="9" t="s">
        <v>189</v>
      </c>
      <c r="C14" s="11">
        <v>18.0</v>
      </c>
      <c r="D14" s="11">
        <v>13.0</v>
      </c>
      <c r="E14" s="11">
        <v>8.0</v>
      </c>
      <c r="F14" s="21"/>
      <c r="G14" s="11" t="b">
        <v>1</v>
      </c>
      <c r="H14" s="12" t="b">
        <v>1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496</v>
      </c>
      <c r="N14" s="13">
        <f t="shared" si="2"/>
        <v>234</v>
      </c>
      <c r="O14" s="13">
        <f t="shared" si="3"/>
        <v>62</v>
      </c>
      <c r="P14" s="14">
        <f t="shared" si="4"/>
        <v>545.6</v>
      </c>
      <c r="Q14" s="15">
        <f t="shared" si="5"/>
        <v>190.96</v>
      </c>
      <c r="R14" s="14">
        <f t="shared" si="6"/>
        <v>280.8</v>
      </c>
      <c r="S14" s="14">
        <f t="shared" si="7"/>
        <v>0</v>
      </c>
      <c r="T14" s="14">
        <f t="shared" si="8"/>
        <v>0</v>
      </c>
      <c r="U14" s="14">
        <f t="shared" si="9"/>
        <v>124</v>
      </c>
      <c r="V14" s="14">
        <f t="shared" si="10"/>
        <v>0</v>
      </c>
      <c r="W14" s="14">
        <f t="shared" si="11"/>
        <v>950.4</v>
      </c>
      <c r="X14" s="19">
        <f t="shared" si="12"/>
        <v>10.1376</v>
      </c>
    </row>
    <row r="15" ht="15.75" customHeight="1">
      <c r="A15" s="21">
        <v>14.0</v>
      </c>
      <c r="B15" s="9" t="s">
        <v>218</v>
      </c>
      <c r="C15" s="11">
        <v>12.0</v>
      </c>
      <c r="D15" s="11">
        <v>9.0</v>
      </c>
      <c r="E15" s="11">
        <v>8.0</v>
      </c>
      <c r="F15" s="21"/>
      <c r="G15" s="11" t="b">
        <v>1</v>
      </c>
      <c r="H15" s="12" t="b">
        <v>1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336</v>
      </c>
      <c r="N15" s="13">
        <f t="shared" si="2"/>
        <v>108</v>
      </c>
      <c r="O15" s="13">
        <f t="shared" si="3"/>
        <v>42</v>
      </c>
      <c r="P15" s="14">
        <f t="shared" si="4"/>
        <v>369.6</v>
      </c>
      <c r="Q15" s="15">
        <f t="shared" si="5"/>
        <v>129.36</v>
      </c>
      <c r="R15" s="14">
        <f t="shared" si="6"/>
        <v>129.6</v>
      </c>
      <c r="S15" s="14">
        <f t="shared" si="7"/>
        <v>0</v>
      </c>
      <c r="T15" s="14">
        <f t="shared" si="8"/>
        <v>0</v>
      </c>
      <c r="U15" s="14">
        <f t="shared" si="9"/>
        <v>84</v>
      </c>
      <c r="V15" s="14">
        <f t="shared" si="10"/>
        <v>0</v>
      </c>
      <c r="W15" s="14">
        <f t="shared" si="11"/>
        <v>583.2</v>
      </c>
      <c r="X15" s="19">
        <f t="shared" si="12"/>
        <v>6.2208</v>
      </c>
      <c r="AA15" s="25" t="s">
        <v>51</v>
      </c>
      <c r="AB15" s="26"/>
    </row>
    <row r="16" ht="15.75" customHeight="1">
      <c r="A16" s="21">
        <v>15.0</v>
      </c>
      <c r="B16" s="9" t="s">
        <v>171</v>
      </c>
      <c r="C16" s="11">
        <v>23.0</v>
      </c>
      <c r="D16" s="11">
        <v>5.0</v>
      </c>
      <c r="E16" s="11">
        <v>8.0</v>
      </c>
      <c r="F16" s="21"/>
      <c r="G16" s="11" t="b">
        <v>1</v>
      </c>
      <c r="H16" s="12" t="b">
        <v>1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448</v>
      </c>
      <c r="N16" s="13">
        <f t="shared" si="2"/>
        <v>115</v>
      </c>
      <c r="O16" s="13">
        <f t="shared" si="3"/>
        <v>56</v>
      </c>
      <c r="P16" s="14">
        <f t="shared" si="4"/>
        <v>492.8</v>
      </c>
      <c r="Q16" s="15">
        <f t="shared" si="5"/>
        <v>172.48</v>
      </c>
      <c r="R16" s="14">
        <f t="shared" si="6"/>
        <v>138</v>
      </c>
      <c r="S16" s="14">
        <f t="shared" si="7"/>
        <v>0</v>
      </c>
      <c r="T16" s="14">
        <f t="shared" si="8"/>
        <v>0</v>
      </c>
      <c r="U16" s="14">
        <f t="shared" si="9"/>
        <v>112</v>
      </c>
      <c r="V16" s="14">
        <f t="shared" si="10"/>
        <v>0</v>
      </c>
      <c r="W16" s="14">
        <f t="shared" si="11"/>
        <v>742.8</v>
      </c>
      <c r="X16" s="19">
        <f t="shared" si="12"/>
        <v>7.9232</v>
      </c>
      <c r="AA16" s="28" t="s">
        <v>52</v>
      </c>
      <c r="AB16" s="29">
        <f>SUM(M2:M1000)</f>
        <v>6336</v>
      </c>
    </row>
    <row r="17" ht="15.75" customHeight="1">
      <c r="A17" s="21">
        <v>16.0</v>
      </c>
      <c r="B17" s="11" t="s">
        <v>97</v>
      </c>
      <c r="C17" s="11">
        <v>7.0</v>
      </c>
      <c r="D17" s="11">
        <v>4.0</v>
      </c>
      <c r="E17" s="11">
        <v>8.0</v>
      </c>
      <c r="F17" s="21"/>
      <c r="G17" s="11" t="b">
        <v>1</v>
      </c>
      <c r="H17" s="12" t="b">
        <v>1</v>
      </c>
      <c r="I17" s="3" t="b">
        <v>0</v>
      </c>
      <c r="J17" s="3" t="b">
        <v>0</v>
      </c>
      <c r="K17" s="3" t="b">
        <v>1</v>
      </c>
      <c r="L17" s="8">
        <v>1.0</v>
      </c>
      <c r="M17" s="13">
        <f t="shared" si="1"/>
        <v>176</v>
      </c>
      <c r="N17" s="13">
        <f t="shared" si="2"/>
        <v>28</v>
      </c>
      <c r="O17" s="13">
        <f t="shared" si="3"/>
        <v>22</v>
      </c>
      <c r="P17" s="14">
        <f t="shared" si="4"/>
        <v>193.6</v>
      </c>
      <c r="Q17" s="15">
        <f t="shared" si="5"/>
        <v>67.76</v>
      </c>
      <c r="R17" s="14">
        <f t="shared" si="6"/>
        <v>33.6</v>
      </c>
      <c r="S17" s="14">
        <f t="shared" si="7"/>
        <v>0</v>
      </c>
      <c r="T17" s="14">
        <f t="shared" si="8"/>
        <v>0</v>
      </c>
      <c r="U17" s="14">
        <f t="shared" si="9"/>
        <v>44</v>
      </c>
      <c r="V17" s="14">
        <f t="shared" si="10"/>
        <v>0</v>
      </c>
      <c r="W17" s="14">
        <f t="shared" si="11"/>
        <v>271.2</v>
      </c>
      <c r="X17" s="19">
        <f t="shared" si="12"/>
        <v>2.8928</v>
      </c>
      <c r="AA17" s="28" t="s">
        <v>54</v>
      </c>
      <c r="AB17" s="29">
        <f>SUM(N2:N1000)</f>
        <v>1928</v>
      </c>
    </row>
    <row r="18" ht="15.75" customHeight="1">
      <c r="A18" s="21">
        <v>17.0</v>
      </c>
      <c r="B18" s="11" t="s">
        <v>219</v>
      </c>
      <c r="C18" s="11">
        <v>10.0</v>
      </c>
      <c r="D18" s="11">
        <v>5.0</v>
      </c>
      <c r="E18" s="11">
        <v>8.0</v>
      </c>
      <c r="F18" s="21"/>
      <c r="G18" s="11" t="b">
        <v>1</v>
      </c>
      <c r="H18" s="12" t="b">
        <v>1</v>
      </c>
      <c r="I18" s="3" t="b">
        <v>0</v>
      </c>
      <c r="J18" s="3" t="b">
        <v>0</v>
      </c>
      <c r="K18" s="3" t="b">
        <v>1</v>
      </c>
      <c r="L18" s="8">
        <v>1.0</v>
      </c>
      <c r="M18" s="13">
        <f t="shared" si="1"/>
        <v>240</v>
      </c>
      <c r="N18" s="13">
        <f t="shared" si="2"/>
        <v>50</v>
      </c>
      <c r="O18" s="13">
        <f t="shared" si="3"/>
        <v>30</v>
      </c>
      <c r="P18" s="14">
        <f t="shared" si="4"/>
        <v>264</v>
      </c>
      <c r="Q18" s="15">
        <f t="shared" si="5"/>
        <v>92.4</v>
      </c>
      <c r="R18" s="14">
        <f t="shared" si="6"/>
        <v>60</v>
      </c>
      <c r="S18" s="14">
        <f t="shared" si="7"/>
        <v>0</v>
      </c>
      <c r="T18" s="14">
        <f t="shared" si="8"/>
        <v>0</v>
      </c>
      <c r="U18" s="14">
        <f t="shared" si="9"/>
        <v>60</v>
      </c>
      <c r="V18" s="14">
        <f t="shared" si="10"/>
        <v>0</v>
      </c>
      <c r="W18" s="14">
        <f t="shared" si="11"/>
        <v>384</v>
      </c>
      <c r="X18" s="19">
        <f t="shared" si="12"/>
        <v>4.096</v>
      </c>
      <c r="AA18" s="28" t="s">
        <v>56</v>
      </c>
      <c r="AB18" s="29">
        <f>SUM(F2:F1000)</f>
        <v>16</v>
      </c>
    </row>
    <row r="19" ht="18.0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720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5.508571429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1.828571429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10.83714286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17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6969.6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2313.6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1440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1440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12163.2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2439.36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74.3424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24.6784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15.36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15.36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129.7408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59" t="s">
        <v>220</v>
      </c>
      <c r="C2" s="10">
        <v>12.0</v>
      </c>
      <c r="D2" s="10">
        <v>4.0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256</v>
      </c>
      <c r="N2" s="13">
        <f t="shared" ref="N2:N49" si="2">IF(H2,C2*D2,0)</f>
        <v>0</v>
      </c>
      <c r="O2" s="13">
        <f t="shared" ref="O2:O49" si="3">(C2+D2)*2</f>
        <v>32</v>
      </c>
      <c r="P2" s="14">
        <f t="shared" ref="P2:P49" si="4">M2*$AB$7</f>
        <v>307.2</v>
      </c>
      <c r="Q2" s="15">
        <f t="shared" ref="Q2:Q1000" si="5">IFERROR(P2*0.35,0)</f>
        <v>107.52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64</v>
      </c>
      <c r="V2" s="14">
        <f t="shared" ref="V2:V49" si="10">IF(J2,O2*$AB$11,0)</f>
        <v>0</v>
      </c>
      <c r="W2" s="14">
        <f t="shared" ref="W2:W1000" si="11">SUM(P2,R2:V2)</f>
        <v>371.2</v>
      </c>
      <c r="X2" s="16">
        <f t="shared" ref="X2:X1000" si="12">IFERROR((W2*$AB$47)/$AB$48,0)</f>
        <v>3.959466667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59" t="s">
        <v>108</v>
      </c>
      <c r="C3" s="10">
        <v>8.0</v>
      </c>
      <c r="D3" s="10">
        <v>17.0</v>
      </c>
      <c r="E3" s="10">
        <v>8.0</v>
      </c>
      <c r="F3" s="11"/>
      <c r="G3" s="3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400</v>
      </c>
      <c r="N3" s="13">
        <f t="shared" si="2"/>
        <v>0</v>
      </c>
      <c r="O3" s="13">
        <f t="shared" si="3"/>
        <v>50</v>
      </c>
      <c r="P3" s="14">
        <f t="shared" si="4"/>
        <v>480</v>
      </c>
      <c r="Q3" s="15">
        <f t="shared" si="5"/>
        <v>168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100</v>
      </c>
      <c r="V3" s="14">
        <f t="shared" si="10"/>
        <v>0</v>
      </c>
      <c r="W3" s="14">
        <f t="shared" si="11"/>
        <v>580</v>
      </c>
      <c r="X3" s="19">
        <f t="shared" si="12"/>
        <v>6.186666667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59" t="s">
        <v>88</v>
      </c>
      <c r="C4" s="10">
        <v>15.0</v>
      </c>
      <c r="D4" s="10">
        <v>10.0</v>
      </c>
      <c r="E4" s="10">
        <v>8.0</v>
      </c>
      <c r="F4" s="11"/>
      <c r="G4" s="3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400</v>
      </c>
      <c r="N4" s="13">
        <f t="shared" si="2"/>
        <v>0</v>
      </c>
      <c r="O4" s="13">
        <f t="shared" si="3"/>
        <v>50</v>
      </c>
      <c r="P4" s="14">
        <f t="shared" si="4"/>
        <v>480</v>
      </c>
      <c r="Q4" s="15">
        <f t="shared" si="5"/>
        <v>168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100</v>
      </c>
      <c r="V4" s="14">
        <f t="shared" si="10"/>
        <v>0</v>
      </c>
      <c r="W4" s="14">
        <f t="shared" si="11"/>
        <v>580</v>
      </c>
      <c r="X4" s="19">
        <f t="shared" si="12"/>
        <v>6.186666667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59" t="s">
        <v>221</v>
      </c>
      <c r="C5" s="10">
        <v>6.0</v>
      </c>
      <c r="D5" s="10">
        <v>9.0</v>
      </c>
      <c r="E5" s="10">
        <v>14.0</v>
      </c>
      <c r="F5" s="21"/>
      <c r="G5" s="3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420</v>
      </c>
      <c r="N5" s="13">
        <f t="shared" si="2"/>
        <v>0</v>
      </c>
      <c r="O5" s="13">
        <f t="shared" si="3"/>
        <v>30</v>
      </c>
      <c r="P5" s="14">
        <f t="shared" si="4"/>
        <v>504</v>
      </c>
      <c r="Q5" s="15">
        <f t="shared" si="5"/>
        <v>176.4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60</v>
      </c>
      <c r="V5" s="14">
        <f t="shared" si="10"/>
        <v>0</v>
      </c>
      <c r="W5" s="14">
        <f t="shared" si="11"/>
        <v>564</v>
      </c>
      <c r="X5" s="19">
        <f t="shared" si="12"/>
        <v>6.016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59" t="s">
        <v>136</v>
      </c>
      <c r="C6" s="10">
        <v>6.0</v>
      </c>
      <c r="D6" s="10">
        <v>7.0</v>
      </c>
      <c r="E6" s="10">
        <v>8.0</v>
      </c>
      <c r="F6" s="21"/>
      <c r="G6" s="3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208</v>
      </c>
      <c r="N6" s="13">
        <f t="shared" si="2"/>
        <v>0</v>
      </c>
      <c r="O6" s="13">
        <f t="shared" si="3"/>
        <v>26</v>
      </c>
      <c r="P6" s="14">
        <f t="shared" si="4"/>
        <v>249.6</v>
      </c>
      <c r="Q6" s="15">
        <f t="shared" si="5"/>
        <v>87.36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52</v>
      </c>
      <c r="V6" s="14">
        <f t="shared" si="10"/>
        <v>0</v>
      </c>
      <c r="W6" s="14">
        <f t="shared" si="11"/>
        <v>301.6</v>
      </c>
      <c r="X6" s="19">
        <f t="shared" si="12"/>
        <v>3.217066667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59" t="s">
        <v>114</v>
      </c>
      <c r="C7" s="11">
        <v>14.0</v>
      </c>
      <c r="D7" s="11">
        <v>3.0</v>
      </c>
      <c r="E7" s="11">
        <v>8.0</v>
      </c>
      <c r="F7" s="21"/>
      <c r="G7" s="3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272</v>
      </c>
      <c r="N7" s="13">
        <f t="shared" si="2"/>
        <v>0</v>
      </c>
      <c r="O7" s="13">
        <f t="shared" si="3"/>
        <v>34</v>
      </c>
      <c r="P7" s="14">
        <f t="shared" si="4"/>
        <v>326.4</v>
      </c>
      <c r="Q7" s="15">
        <f t="shared" si="5"/>
        <v>114.24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68</v>
      </c>
      <c r="V7" s="14">
        <f t="shared" si="10"/>
        <v>0</v>
      </c>
      <c r="W7" s="14">
        <f t="shared" si="11"/>
        <v>394.4</v>
      </c>
      <c r="X7" s="19">
        <f t="shared" si="12"/>
        <v>4.206933333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59" t="s">
        <v>105</v>
      </c>
      <c r="C8" s="11">
        <v>7.0</v>
      </c>
      <c r="D8" s="11">
        <v>7.0</v>
      </c>
      <c r="E8" s="11">
        <v>8.0</v>
      </c>
      <c r="F8" s="21"/>
      <c r="G8" s="3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224</v>
      </c>
      <c r="N8" s="13">
        <f t="shared" si="2"/>
        <v>0</v>
      </c>
      <c r="O8" s="13">
        <f t="shared" si="3"/>
        <v>28</v>
      </c>
      <c r="P8" s="14">
        <f t="shared" si="4"/>
        <v>268.8</v>
      </c>
      <c r="Q8" s="15">
        <f t="shared" si="5"/>
        <v>94.08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56</v>
      </c>
      <c r="V8" s="14">
        <f t="shared" si="10"/>
        <v>0</v>
      </c>
      <c r="W8" s="14">
        <f t="shared" si="11"/>
        <v>324.8</v>
      </c>
      <c r="X8" s="19">
        <f t="shared" si="12"/>
        <v>3.464533333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59" t="s">
        <v>129</v>
      </c>
      <c r="C9" s="11">
        <v>10.0</v>
      </c>
      <c r="D9" s="11">
        <v>9.0</v>
      </c>
      <c r="E9" s="11">
        <v>8.0</v>
      </c>
      <c r="F9" s="21"/>
      <c r="G9" s="31" t="b">
        <v>1</v>
      </c>
      <c r="H9" s="12" t="b">
        <v>1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304</v>
      </c>
      <c r="N9" s="13">
        <f t="shared" si="2"/>
        <v>90</v>
      </c>
      <c r="O9" s="13">
        <f t="shared" si="3"/>
        <v>38</v>
      </c>
      <c r="P9" s="14">
        <f t="shared" si="4"/>
        <v>364.8</v>
      </c>
      <c r="Q9" s="15">
        <f t="shared" si="5"/>
        <v>127.68</v>
      </c>
      <c r="R9" s="14">
        <f t="shared" si="6"/>
        <v>108</v>
      </c>
      <c r="S9" s="14">
        <f t="shared" si="7"/>
        <v>0</v>
      </c>
      <c r="T9" s="14">
        <f t="shared" si="8"/>
        <v>0</v>
      </c>
      <c r="U9" s="14">
        <f t="shared" si="9"/>
        <v>76</v>
      </c>
      <c r="V9" s="14">
        <f t="shared" si="10"/>
        <v>0</v>
      </c>
      <c r="W9" s="14">
        <f t="shared" si="11"/>
        <v>548.8</v>
      </c>
      <c r="X9" s="19">
        <f t="shared" si="12"/>
        <v>5.853866667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59" t="s">
        <v>130</v>
      </c>
      <c r="C10" s="11">
        <v>10.0</v>
      </c>
      <c r="D10" s="11">
        <v>8.0</v>
      </c>
      <c r="E10" s="11">
        <v>8.0</v>
      </c>
      <c r="F10" s="11">
        <v>4.0</v>
      </c>
      <c r="G10" s="3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288</v>
      </c>
      <c r="N10" s="13">
        <f t="shared" si="2"/>
        <v>0</v>
      </c>
      <c r="O10" s="13">
        <f t="shared" si="3"/>
        <v>36</v>
      </c>
      <c r="P10" s="14">
        <f t="shared" si="4"/>
        <v>345.6</v>
      </c>
      <c r="Q10" s="15">
        <f t="shared" si="5"/>
        <v>120.96</v>
      </c>
      <c r="R10" s="14">
        <f t="shared" si="6"/>
        <v>0</v>
      </c>
      <c r="S10" s="14">
        <f t="shared" si="7"/>
        <v>0</v>
      </c>
      <c r="T10" s="14">
        <f t="shared" si="8"/>
        <v>360</v>
      </c>
      <c r="U10" s="14">
        <f t="shared" si="9"/>
        <v>72</v>
      </c>
      <c r="V10" s="14">
        <f t="shared" si="10"/>
        <v>0</v>
      </c>
      <c r="W10" s="14">
        <f t="shared" si="11"/>
        <v>777.6</v>
      </c>
      <c r="X10" s="19">
        <f t="shared" si="12"/>
        <v>8.2944</v>
      </c>
      <c r="AA10" s="8" t="s">
        <v>42</v>
      </c>
      <c r="AB10" s="8">
        <v>2.0</v>
      </c>
    </row>
    <row r="11" ht="15.75" customHeight="1">
      <c r="A11" s="21">
        <v>10.0</v>
      </c>
      <c r="B11" s="9" t="s">
        <v>102</v>
      </c>
      <c r="C11" s="11">
        <v>21.0</v>
      </c>
      <c r="D11" s="11">
        <v>9.0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480</v>
      </c>
      <c r="N11" s="13">
        <f t="shared" si="2"/>
        <v>0</v>
      </c>
      <c r="O11" s="13">
        <f t="shared" si="3"/>
        <v>60</v>
      </c>
      <c r="P11" s="14">
        <f t="shared" si="4"/>
        <v>576</v>
      </c>
      <c r="Q11" s="15">
        <f t="shared" si="5"/>
        <v>201.6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576</v>
      </c>
      <c r="X11" s="19">
        <f t="shared" si="12"/>
        <v>6.144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31" t="b">
        <v>1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31" t="b">
        <v>1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31" t="b">
        <v>1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31" t="b">
        <v>1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31" t="b">
        <v>1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3252</v>
      </c>
    </row>
    <row r="17" ht="15.75" customHeight="1">
      <c r="A17" s="21">
        <v>16.0</v>
      </c>
      <c r="B17" s="21"/>
      <c r="C17" s="21"/>
      <c r="D17" s="21"/>
      <c r="E17" s="21"/>
      <c r="F17" s="21"/>
      <c r="G17" s="31" t="b">
        <v>1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90</v>
      </c>
    </row>
    <row r="18" ht="15.75" customHeight="1">
      <c r="A18" s="21">
        <v>17.0</v>
      </c>
      <c r="B18" s="21"/>
      <c r="C18" s="21"/>
      <c r="D18" s="21"/>
      <c r="E18" s="21"/>
      <c r="F18" s="21"/>
      <c r="G18" s="31" t="b">
        <v>1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4</v>
      </c>
    </row>
    <row r="19" ht="18.0" customHeight="1">
      <c r="A19" s="21">
        <v>18.0</v>
      </c>
      <c r="B19" s="21"/>
      <c r="C19" s="21"/>
      <c r="D19" s="21"/>
      <c r="E19" s="21"/>
      <c r="F19" s="21"/>
      <c r="G19" s="31" t="b">
        <v>1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324</v>
      </c>
    </row>
    <row r="20" ht="21.0" customHeight="1">
      <c r="A20" s="31">
        <v>19.0</v>
      </c>
      <c r="B20" s="21"/>
      <c r="C20" s="21"/>
      <c r="D20" s="21"/>
      <c r="E20" s="21"/>
      <c r="F20" s="21"/>
      <c r="G20" s="31" t="b">
        <v>1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0.2571428571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0.4571428571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4.214285714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10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3902.4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108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360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648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5018.4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1365.84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41.6256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1.152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3.84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6.912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53.5296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/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/>
      <c r="AB58" s="41"/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/>
      <c r="AB59" s="41"/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/>
      <c r="AB60" s="41"/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/>
      <c r="AB61" s="41"/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/>
      <c r="AB62" s="41"/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/>
      <c r="AB63" s="41"/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/>
      <c r="AB64" s="43"/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/>
      <c r="AB65" s="45"/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3" t="b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222</v>
      </c>
      <c r="C2" s="10">
        <v>25.0</v>
      </c>
      <c r="D2" s="10">
        <v>11.0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576</v>
      </c>
      <c r="N2" s="13">
        <f t="shared" ref="N2:N49" si="2">IF(H2,C2*D2,0)</f>
        <v>0</v>
      </c>
      <c r="O2" s="13">
        <f t="shared" ref="O2:O49" si="3">(C2+D2)*2</f>
        <v>72</v>
      </c>
      <c r="P2" s="14">
        <f t="shared" ref="P2:P49" si="4">M2*$AB$7</f>
        <v>633.6</v>
      </c>
      <c r="Q2" s="15">
        <f t="shared" ref="Q2:Q1000" si="5">IFERROR(P2*0.35,0)</f>
        <v>221.76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144</v>
      </c>
      <c r="V2" s="14">
        <f t="shared" ref="V2:V49" si="10">IF(J2,O2*$AB$11,0)</f>
        <v>0</v>
      </c>
      <c r="W2" s="14">
        <f t="shared" ref="W2:W1000" si="11">SUM(P2,R2:V2)</f>
        <v>777.6</v>
      </c>
      <c r="X2" s="16">
        <f t="shared" ref="X2:X1000" si="12">IFERROR((W2*$AB$47)/$AB$48,0)</f>
        <v>8.2944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208</v>
      </c>
      <c r="C3" s="10">
        <v>17.0</v>
      </c>
      <c r="D3" s="10">
        <v>7.0</v>
      </c>
      <c r="E3" s="10">
        <v>8.0</v>
      </c>
      <c r="F3" s="11">
        <v>2.0</v>
      </c>
      <c r="G3" s="3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384</v>
      </c>
      <c r="N3" s="13">
        <f t="shared" si="2"/>
        <v>0</v>
      </c>
      <c r="O3" s="13">
        <f t="shared" si="3"/>
        <v>48</v>
      </c>
      <c r="P3" s="14">
        <f t="shared" si="4"/>
        <v>422.4</v>
      </c>
      <c r="Q3" s="15">
        <f t="shared" si="5"/>
        <v>147.84</v>
      </c>
      <c r="R3" s="14">
        <f t="shared" si="6"/>
        <v>0</v>
      </c>
      <c r="S3" s="14">
        <f t="shared" si="7"/>
        <v>0</v>
      </c>
      <c r="T3" s="14">
        <f t="shared" si="8"/>
        <v>180</v>
      </c>
      <c r="U3" s="14">
        <f t="shared" si="9"/>
        <v>96</v>
      </c>
      <c r="V3" s="14">
        <f t="shared" si="10"/>
        <v>0</v>
      </c>
      <c r="W3" s="14">
        <f t="shared" si="11"/>
        <v>698.4</v>
      </c>
      <c r="X3" s="19">
        <f t="shared" si="12"/>
        <v>7.4496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172</v>
      </c>
      <c r="C4" s="10">
        <v>6.0</v>
      </c>
      <c r="D4" s="10">
        <v>3.0</v>
      </c>
      <c r="E4" s="10">
        <v>8.0</v>
      </c>
      <c r="F4" s="11"/>
      <c r="G4" s="3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144</v>
      </c>
      <c r="N4" s="13">
        <f t="shared" si="2"/>
        <v>0</v>
      </c>
      <c r="O4" s="13">
        <f t="shared" si="3"/>
        <v>18</v>
      </c>
      <c r="P4" s="14">
        <f t="shared" si="4"/>
        <v>158.4</v>
      </c>
      <c r="Q4" s="15">
        <f t="shared" si="5"/>
        <v>55.44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36</v>
      </c>
      <c r="V4" s="14">
        <f t="shared" si="10"/>
        <v>0</v>
      </c>
      <c r="W4" s="14">
        <f t="shared" si="11"/>
        <v>194.4</v>
      </c>
      <c r="X4" s="19">
        <f t="shared" si="12"/>
        <v>2.0736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210</v>
      </c>
      <c r="C5" s="10">
        <v>15.0</v>
      </c>
      <c r="D5" s="10">
        <v>4.0</v>
      </c>
      <c r="E5" s="10">
        <v>8.0</v>
      </c>
      <c r="F5" s="21"/>
      <c r="G5" s="3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304</v>
      </c>
      <c r="N5" s="13">
        <f t="shared" si="2"/>
        <v>0</v>
      </c>
      <c r="O5" s="13">
        <f t="shared" si="3"/>
        <v>38</v>
      </c>
      <c r="P5" s="14">
        <f t="shared" si="4"/>
        <v>334.4</v>
      </c>
      <c r="Q5" s="15">
        <f t="shared" si="5"/>
        <v>117.04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76</v>
      </c>
      <c r="V5" s="14">
        <f t="shared" si="10"/>
        <v>0</v>
      </c>
      <c r="W5" s="14">
        <f t="shared" si="11"/>
        <v>410.4</v>
      </c>
      <c r="X5" s="19">
        <f t="shared" si="12"/>
        <v>4.3776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223</v>
      </c>
      <c r="C6" s="10">
        <v>10.0</v>
      </c>
      <c r="D6" s="10">
        <v>12.0</v>
      </c>
      <c r="E6" s="10">
        <v>8.0</v>
      </c>
      <c r="F6" s="21"/>
      <c r="G6" s="3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352</v>
      </c>
      <c r="N6" s="13">
        <f t="shared" si="2"/>
        <v>0</v>
      </c>
      <c r="O6" s="13">
        <f t="shared" si="3"/>
        <v>44</v>
      </c>
      <c r="P6" s="14">
        <f t="shared" si="4"/>
        <v>387.2</v>
      </c>
      <c r="Q6" s="15">
        <f t="shared" si="5"/>
        <v>135.52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88</v>
      </c>
      <c r="V6" s="14">
        <f t="shared" si="10"/>
        <v>0</v>
      </c>
      <c r="W6" s="14">
        <f t="shared" si="11"/>
        <v>475.2</v>
      </c>
      <c r="X6" s="19">
        <f t="shared" si="12"/>
        <v>5.0688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9" t="s">
        <v>224</v>
      </c>
      <c r="C7" s="11">
        <v>13.0</v>
      </c>
      <c r="D7" s="11">
        <v>3.0</v>
      </c>
      <c r="E7" s="11">
        <v>8.0</v>
      </c>
      <c r="F7" s="21"/>
      <c r="G7" s="3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256</v>
      </c>
      <c r="N7" s="13">
        <f t="shared" si="2"/>
        <v>0</v>
      </c>
      <c r="O7" s="13">
        <f t="shared" si="3"/>
        <v>32</v>
      </c>
      <c r="P7" s="14">
        <f t="shared" si="4"/>
        <v>281.6</v>
      </c>
      <c r="Q7" s="15">
        <f t="shared" si="5"/>
        <v>98.56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64</v>
      </c>
      <c r="V7" s="14">
        <f t="shared" si="10"/>
        <v>0</v>
      </c>
      <c r="W7" s="14">
        <f t="shared" si="11"/>
        <v>345.6</v>
      </c>
      <c r="X7" s="19">
        <f t="shared" si="12"/>
        <v>3.6864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9" t="s">
        <v>225</v>
      </c>
      <c r="C8" s="11">
        <v>10.0</v>
      </c>
      <c r="D8" s="11">
        <v>8.0</v>
      </c>
      <c r="E8" s="11">
        <v>8.0</v>
      </c>
      <c r="F8" s="21"/>
      <c r="G8" s="3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288</v>
      </c>
      <c r="N8" s="13">
        <f t="shared" si="2"/>
        <v>0</v>
      </c>
      <c r="O8" s="13">
        <f t="shared" si="3"/>
        <v>36</v>
      </c>
      <c r="P8" s="14">
        <f t="shared" si="4"/>
        <v>316.8</v>
      </c>
      <c r="Q8" s="15">
        <f t="shared" si="5"/>
        <v>110.88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72</v>
      </c>
      <c r="V8" s="14">
        <f t="shared" si="10"/>
        <v>0</v>
      </c>
      <c r="W8" s="14">
        <f t="shared" si="11"/>
        <v>388.8</v>
      </c>
      <c r="X8" s="19">
        <f t="shared" si="12"/>
        <v>4.1472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9" t="s">
        <v>129</v>
      </c>
      <c r="C9" s="11">
        <v>13.0</v>
      </c>
      <c r="D9" s="11">
        <v>9.0</v>
      </c>
      <c r="E9" s="11">
        <v>8.0</v>
      </c>
      <c r="F9" s="21"/>
      <c r="G9" s="3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352</v>
      </c>
      <c r="N9" s="13">
        <f t="shared" si="2"/>
        <v>0</v>
      </c>
      <c r="O9" s="13">
        <f t="shared" si="3"/>
        <v>44</v>
      </c>
      <c r="P9" s="14">
        <f t="shared" si="4"/>
        <v>387.2</v>
      </c>
      <c r="Q9" s="15">
        <f t="shared" si="5"/>
        <v>135.52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88</v>
      </c>
      <c r="V9" s="14">
        <f t="shared" si="10"/>
        <v>0</v>
      </c>
      <c r="W9" s="14">
        <f t="shared" si="11"/>
        <v>475.2</v>
      </c>
      <c r="X9" s="19">
        <f t="shared" si="12"/>
        <v>5.0688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9" t="s">
        <v>130</v>
      </c>
      <c r="C10" s="11">
        <v>10.0</v>
      </c>
      <c r="D10" s="11">
        <v>9.0</v>
      </c>
      <c r="E10" s="11">
        <v>8.0</v>
      </c>
      <c r="F10" s="21"/>
      <c r="G10" s="31" t="b">
        <v>1</v>
      </c>
      <c r="H10" s="12" t="b">
        <v>0</v>
      </c>
      <c r="I10" s="3" t="b">
        <v>0</v>
      </c>
      <c r="J10" s="3" t="b">
        <v>0</v>
      </c>
      <c r="K10" s="3" t="b">
        <v>1</v>
      </c>
      <c r="L10" s="8">
        <v>1.0</v>
      </c>
      <c r="M10" s="13">
        <f t="shared" si="1"/>
        <v>304</v>
      </c>
      <c r="N10" s="13">
        <f t="shared" si="2"/>
        <v>0</v>
      </c>
      <c r="O10" s="13">
        <f t="shared" si="3"/>
        <v>38</v>
      </c>
      <c r="P10" s="14">
        <f t="shared" si="4"/>
        <v>334.4</v>
      </c>
      <c r="Q10" s="15">
        <f t="shared" si="5"/>
        <v>117.04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76</v>
      </c>
      <c r="V10" s="14">
        <f t="shared" si="10"/>
        <v>0</v>
      </c>
      <c r="W10" s="14">
        <f t="shared" si="11"/>
        <v>410.4</v>
      </c>
      <c r="X10" s="19">
        <f t="shared" si="12"/>
        <v>4.3776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31" t="b">
        <v>1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31" t="b">
        <v>1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31" t="b">
        <v>1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31" t="b">
        <v>1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31" t="b">
        <v>1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31" t="b">
        <v>1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2960</v>
      </c>
    </row>
    <row r="17" ht="15.75" customHeight="1">
      <c r="A17" s="21">
        <v>16.0</v>
      </c>
      <c r="B17" s="21"/>
      <c r="C17" s="21"/>
      <c r="D17" s="21"/>
      <c r="E17" s="21"/>
      <c r="F17" s="21"/>
      <c r="G17" s="31" t="b">
        <v>1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31" t="b">
        <v>1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2</v>
      </c>
    </row>
    <row r="19" ht="18.0" customHeight="1">
      <c r="A19" s="21">
        <v>18.0</v>
      </c>
      <c r="B19" s="21"/>
      <c r="C19" s="21"/>
      <c r="D19" s="21"/>
      <c r="E19" s="21"/>
      <c r="F19" s="21"/>
      <c r="G19" s="31" t="b">
        <v>1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370</v>
      </c>
    </row>
    <row r="20" ht="21.0" customHeight="1">
      <c r="A20" s="31">
        <v>19.0</v>
      </c>
      <c r="B20" s="21"/>
      <c r="C20" s="21"/>
      <c r="D20" s="21"/>
      <c r="E20" s="21"/>
      <c r="F20" s="21"/>
      <c r="G20" s="31" t="b">
        <v>1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12.7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30">
        <v>2.0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0.2285714286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30">
        <v>1.5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3.728571429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3256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180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740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4176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1139.6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34.73066667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0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1.92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7.893333333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44.544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7" t="s">
        <v>226</v>
      </c>
      <c r="AB57" s="26"/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  <c r="AA58" s="37" t="s">
        <v>74</v>
      </c>
      <c r="AB58" s="62">
        <v>2039.0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  <c r="AA59" s="37" t="s">
        <v>75</v>
      </c>
      <c r="AB59" s="41">
        <f>SUM(R24:R1022)</f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  <c r="AA60" s="37" t="s">
        <v>76</v>
      </c>
      <c r="AB60" s="41">
        <f>SUM(S24:S1022)</f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  <c r="AA61" s="37" t="s">
        <v>4</v>
      </c>
      <c r="AB61" s="62">
        <v>90.0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  <c r="AA62" s="37" t="s">
        <v>77</v>
      </c>
      <c r="AB62" s="62">
        <v>825.0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  <c r="AA63" s="37" t="s">
        <v>78</v>
      </c>
      <c r="AB63" s="41">
        <f>SUM(V24:V1022)</f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  <c r="AA64" s="42" t="s">
        <v>79</v>
      </c>
      <c r="AB64" s="43">
        <f>SUM(W24:W1022)</f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  <c r="AA65" s="44" t="s">
        <v>80</v>
      </c>
      <c r="AB65" s="45">
        <f>SUM(Q24:Q1022)</f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6">
    <mergeCell ref="AA15:AB15"/>
    <mergeCell ref="AA22:AB22"/>
    <mergeCell ref="AA28:AB28"/>
    <mergeCell ref="AA36:AB36"/>
    <mergeCell ref="AA46:AB46"/>
    <mergeCell ref="AA57:AB57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129</v>
      </c>
      <c r="C2" s="10">
        <v>10.0</v>
      </c>
      <c r="D2" s="10">
        <v>11.0</v>
      </c>
      <c r="E2" s="10">
        <v>8.0</v>
      </c>
      <c r="F2" s="11"/>
      <c r="G2" s="11" t="b">
        <v>1</v>
      </c>
      <c r="H2" s="12" t="b">
        <v>1</v>
      </c>
      <c r="I2" s="3" t="b">
        <v>1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336</v>
      </c>
      <c r="N2" s="13">
        <f t="shared" ref="N2:N49" si="2">IF(H2,C2*D2,0)</f>
        <v>110</v>
      </c>
      <c r="O2" s="13">
        <f t="shared" ref="O2:O49" si="3">(C2+D2)*2</f>
        <v>42</v>
      </c>
      <c r="P2" s="14">
        <f t="shared" ref="P2:P49" si="4">M2*$AB$7</f>
        <v>403.2</v>
      </c>
      <c r="Q2" s="15">
        <f t="shared" ref="Q2:Q1000" si="5">IFERROR(P2*0.35,0)</f>
        <v>141.12</v>
      </c>
      <c r="R2" s="14">
        <f t="shared" ref="R2:R49" si="6">N2*$AB$8</f>
        <v>132</v>
      </c>
      <c r="S2" s="14">
        <f t="shared" ref="S2:S49" si="7">IF(I2,C2*D2*$AB$12,0)</f>
        <v>880</v>
      </c>
      <c r="T2" s="14">
        <f t="shared" ref="T2:T49" si="8">F2*$AB$9</f>
        <v>0</v>
      </c>
      <c r="U2" s="14">
        <f t="shared" ref="U2:U49" si="9">IF(K2,IF(L2&gt;0,O2*$AB$10*L2,0),0)</f>
        <v>84</v>
      </c>
      <c r="V2" s="14">
        <f t="shared" ref="V2:V49" si="10">IF(J2,O2*$AB$11,0)</f>
        <v>0</v>
      </c>
      <c r="W2" s="14">
        <f t="shared" ref="W2:W1000" si="11">SUM(P2,R2:V2)</f>
        <v>1499.2</v>
      </c>
      <c r="X2" s="16">
        <f t="shared" ref="X2:X1000" si="12">IFERROR((W2*$AB$47)/$AB$48,0)</f>
        <v>15.99146667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130</v>
      </c>
      <c r="C3" s="10">
        <v>10.0</v>
      </c>
      <c r="D3" s="10">
        <v>9.0</v>
      </c>
      <c r="E3" s="10">
        <v>8.0</v>
      </c>
      <c r="F3" s="11"/>
      <c r="G3" s="31" t="b">
        <v>1</v>
      </c>
      <c r="H3" s="12" t="b">
        <v>1</v>
      </c>
      <c r="I3" s="3" t="b">
        <v>1</v>
      </c>
      <c r="J3" s="3" t="b">
        <v>0</v>
      </c>
      <c r="K3" s="3" t="b">
        <v>1</v>
      </c>
      <c r="L3" s="8">
        <v>1.0</v>
      </c>
      <c r="M3" s="13">
        <f t="shared" si="1"/>
        <v>304</v>
      </c>
      <c r="N3" s="13">
        <f t="shared" si="2"/>
        <v>90</v>
      </c>
      <c r="O3" s="13">
        <f t="shared" si="3"/>
        <v>38</v>
      </c>
      <c r="P3" s="14">
        <f t="shared" si="4"/>
        <v>364.8</v>
      </c>
      <c r="Q3" s="15">
        <f t="shared" si="5"/>
        <v>127.68</v>
      </c>
      <c r="R3" s="14">
        <f t="shared" si="6"/>
        <v>108</v>
      </c>
      <c r="S3" s="14">
        <f t="shared" si="7"/>
        <v>720</v>
      </c>
      <c r="T3" s="14">
        <f t="shared" si="8"/>
        <v>0</v>
      </c>
      <c r="U3" s="14">
        <f t="shared" si="9"/>
        <v>76</v>
      </c>
      <c r="V3" s="14">
        <f t="shared" si="10"/>
        <v>0</v>
      </c>
      <c r="W3" s="14">
        <f t="shared" si="11"/>
        <v>1268.8</v>
      </c>
      <c r="X3" s="19">
        <f t="shared" si="12"/>
        <v>13.53386667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197</v>
      </c>
      <c r="C4" s="10">
        <v>14.0</v>
      </c>
      <c r="D4" s="10">
        <v>9.0</v>
      </c>
      <c r="E4" s="10">
        <v>8.0</v>
      </c>
      <c r="F4" s="11"/>
      <c r="G4" s="31" t="b">
        <v>1</v>
      </c>
      <c r="H4" s="12" t="b">
        <v>1</v>
      </c>
      <c r="I4" s="3" t="b">
        <v>1</v>
      </c>
      <c r="J4" s="3" t="b">
        <v>0</v>
      </c>
      <c r="K4" s="3" t="b">
        <v>1</v>
      </c>
      <c r="L4" s="8">
        <v>1.0</v>
      </c>
      <c r="M4" s="13">
        <f t="shared" si="1"/>
        <v>368</v>
      </c>
      <c r="N4" s="13">
        <f t="shared" si="2"/>
        <v>126</v>
      </c>
      <c r="O4" s="13">
        <f t="shared" si="3"/>
        <v>46</v>
      </c>
      <c r="P4" s="14">
        <f t="shared" si="4"/>
        <v>441.6</v>
      </c>
      <c r="Q4" s="15">
        <f t="shared" si="5"/>
        <v>154.56</v>
      </c>
      <c r="R4" s="14">
        <f t="shared" si="6"/>
        <v>151.2</v>
      </c>
      <c r="S4" s="14">
        <f t="shared" si="7"/>
        <v>1008</v>
      </c>
      <c r="T4" s="14">
        <f t="shared" si="8"/>
        <v>0</v>
      </c>
      <c r="U4" s="14">
        <f t="shared" si="9"/>
        <v>92</v>
      </c>
      <c r="V4" s="14">
        <f t="shared" si="10"/>
        <v>0</v>
      </c>
      <c r="W4" s="14">
        <f t="shared" si="11"/>
        <v>1692.8</v>
      </c>
      <c r="X4" s="19">
        <f t="shared" si="12"/>
        <v>18.05653333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227</v>
      </c>
      <c r="C5" s="10">
        <v>12.0</v>
      </c>
      <c r="D5" s="10">
        <v>3.0</v>
      </c>
      <c r="E5" s="10">
        <v>8.0</v>
      </c>
      <c r="F5" s="21"/>
      <c r="G5" s="31" t="b">
        <v>1</v>
      </c>
      <c r="H5" s="12" t="b">
        <v>1</v>
      </c>
      <c r="I5" s="3" t="b">
        <v>1</v>
      </c>
      <c r="J5" s="3" t="b">
        <v>0</v>
      </c>
      <c r="K5" s="3" t="b">
        <v>1</v>
      </c>
      <c r="L5" s="8">
        <v>1.0</v>
      </c>
      <c r="M5" s="13">
        <f t="shared" si="1"/>
        <v>240</v>
      </c>
      <c r="N5" s="13">
        <f t="shared" si="2"/>
        <v>36</v>
      </c>
      <c r="O5" s="13">
        <f t="shared" si="3"/>
        <v>30</v>
      </c>
      <c r="P5" s="14">
        <f t="shared" si="4"/>
        <v>288</v>
      </c>
      <c r="Q5" s="15">
        <f t="shared" si="5"/>
        <v>100.8</v>
      </c>
      <c r="R5" s="14">
        <f t="shared" si="6"/>
        <v>43.2</v>
      </c>
      <c r="S5" s="14">
        <f t="shared" si="7"/>
        <v>288</v>
      </c>
      <c r="T5" s="14">
        <f t="shared" si="8"/>
        <v>0</v>
      </c>
      <c r="U5" s="14">
        <f t="shared" si="9"/>
        <v>60</v>
      </c>
      <c r="V5" s="14">
        <f t="shared" si="10"/>
        <v>0</v>
      </c>
      <c r="W5" s="14">
        <f t="shared" si="11"/>
        <v>679.2</v>
      </c>
      <c r="X5" s="19">
        <f t="shared" si="12"/>
        <v>7.2448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210</v>
      </c>
      <c r="C6" s="10">
        <v>12.0</v>
      </c>
      <c r="D6" s="10">
        <v>5.0</v>
      </c>
      <c r="E6" s="10">
        <v>14.0</v>
      </c>
      <c r="F6" s="21"/>
      <c r="G6" s="31" t="b">
        <v>1</v>
      </c>
      <c r="H6" s="12" t="b">
        <v>1</v>
      </c>
      <c r="I6" s="3" t="b">
        <v>1</v>
      </c>
      <c r="J6" s="3" t="b">
        <v>0</v>
      </c>
      <c r="K6" s="3" t="b">
        <v>1</v>
      </c>
      <c r="L6" s="8">
        <v>1.0</v>
      </c>
      <c r="M6" s="13">
        <f t="shared" si="1"/>
        <v>476</v>
      </c>
      <c r="N6" s="13">
        <f t="shared" si="2"/>
        <v>60</v>
      </c>
      <c r="O6" s="13">
        <f t="shared" si="3"/>
        <v>34</v>
      </c>
      <c r="P6" s="14">
        <f t="shared" si="4"/>
        <v>571.2</v>
      </c>
      <c r="Q6" s="15">
        <f t="shared" si="5"/>
        <v>199.92</v>
      </c>
      <c r="R6" s="14">
        <f t="shared" si="6"/>
        <v>72</v>
      </c>
      <c r="S6" s="14">
        <f t="shared" si="7"/>
        <v>480</v>
      </c>
      <c r="T6" s="14">
        <f t="shared" si="8"/>
        <v>0</v>
      </c>
      <c r="U6" s="14">
        <f t="shared" si="9"/>
        <v>68</v>
      </c>
      <c r="V6" s="14">
        <f t="shared" si="10"/>
        <v>0</v>
      </c>
      <c r="W6" s="14">
        <f t="shared" si="11"/>
        <v>1191.2</v>
      </c>
      <c r="X6" s="19">
        <f t="shared" si="12"/>
        <v>12.70613333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228</v>
      </c>
      <c r="C7" s="11">
        <v>11.0</v>
      </c>
      <c r="D7" s="11">
        <v>10.0</v>
      </c>
      <c r="E7" s="11">
        <v>8.0</v>
      </c>
      <c r="F7" s="21"/>
      <c r="G7" s="31" t="b">
        <v>1</v>
      </c>
      <c r="H7" s="12" t="b">
        <v>1</v>
      </c>
      <c r="I7" s="3" t="b">
        <v>1</v>
      </c>
      <c r="J7" s="3" t="b">
        <v>0</v>
      </c>
      <c r="K7" s="3" t="b">
        <v>1</v>
      </c>
      <c r="L7" s="8">
        <v>1.0</v>
      </c>
      <c r="M7" s="13">
        <f t="shared" si="1"/>
        <v>336</v>
      </c>
      <c r="N7" s="13">
        <f t="shared" si="2"/>
        <v>110</v>
      </c>
      <c r="O7" s="13">
        <f t="shared" si="3"/>
        <v>42</v>
      </c>
      <c r="P7" s="14">
        <f t="shared" si="4"/>
        <v>403.2</v>
      </c>
      <c r="Q7" s="15">
        <f t="shared" si="5"/>
        <v>141.12</v>
      </c>
      <c r="R7" s="14">
        <f t="shared" si="6"/>
        <v>132</v>
      </c>
      <c r="S7" s="14">
        <f t="shared" si="7"/>
        <v>880</v>
      </c>
      <c r="T7" s="14">
        <f t="shared" si="8"/>
        <v>0</v>
      </c>
      <c r="U7" s="14">
        <f t="shared" si="9"/>
        <v>84</v>
      </c>
      <c r="V7" s="14">
        <f t="shared" si="10"/>
        <v>0</v>
      </c>
      <c r="W7" s="14">
        <f t="shared" si="11"/>
        <v>1499.2</v>
      </c>
      <c r="X7" s="19">
        <f t="shared" si="12"/>
        <v>15.99146667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9" t="s">
        <v>229</v>
      </c>
      <c r="C8" s="11">
        <v>26.0</v>
      </c>
      <c r="D8" s="11">
        <v>10.0</v>
      </c>
      <c r="E8" s="11">
        <v>8.0</v>
      </c>
      <c r="F8" s="21"/>
      <c r="G8" s="31" t="b">
        <v>1</v>
      </c>
      <c r="H8" s="12" t="b">
        <v>1</v>
      </c>
      <c r="I8" s="3" t="b">
        <v>1</v>
      </c>
      <c r="J8" s="3" t="b">
        <v>0</v>
      </c>
      <c r="K8" s="3" t="b">
        <v>1</v>
      </c>
      <c r="L8" s="8">
        <v>1.0</v>
      </c>
      <c r="M8" s="13">
        <f t="shared" si="1"/>
        <v>576</v>
      </c>
      <c r="N8" s="13">
        <f t="shared" si="2"/>
        <v>260</v>
      </c>
      <c r="O8" s="13">
        <f t="shared" si="3"/>
        <v>72</v>
      </c>
      <c r="P8" s="14">
        <f t="shared" si="4"/>
        <v>691.2</v>
      </c>
      <c r="Q8" s="15">
        <f t="shared" si="5"/>
        <v>241.92</v>
      </c>
      <c r="R8" s="14">
        <f t="shared" si="6"/>
        <v>312</v>
      </c>
      <c r="S8" s="14">
        <f t="shared" si="7"/>
        <v>2080</v>
      </c>
      <c r="T8" s="14">
        <f t="shared" si="8"/>
        <v>0</v>
      </c>
      <c r="U8" s="14">
        <f t="shared" si="9"/>
        <v>144</v>
      </c>
      <c r="V8" s="14">
        <f t="shared" si="10"/>
        <v>0</v>
      </c>
      <c r="W8" s="14">
        <f t="shared" si="11"/>
        <v>3227.2</v>
      </c>
      <c r="X8" s="19">
        <f t="shared" si="12"/>
        <v>34.42346667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9" t="s">
        <v>208</v>
      </c>
      <c r="C9" s="11">
        <v>12.0</v>
      </c>
      <c r="D9" s="11">
        <v>12.0</v>
      </c>
      <c r="E9" s="11">
        <v>8.0</v>
      </c>
      <c r="F9" s="21"/>
      <c r="G9" s="31" t="b">
        <v>1</v>
      </c>
      <c r="H9" s="12" t="b">
        <v>1</v>
      </c>
      <c r="I9" s="3" t="b">
        <v>1</v>
      </c>
      <c r="J9" s="3" t="b">
        <v>0</v>
      </c>
      <c r="K9" s="3" t="b">
        <v>1</v>
      </c>
      <c r="L9" s="8">
        <v>1.0</v>
      </c>
      <c r="M9" s="13">
        <f t="shared" si="1"/>
        <v>384</v>
      </c>
      <c r="N9" s="13">
        <f t="shared" si="2"/>
        <v>144</v>
      </c>
      <c r="O9" s="13">
        <f t="shared" si="3"/>
        <v>48</v>
      </c>
      <c r="P9" s="14">
        <f t="shared" si="4"/>
        <v>460.8</v>
      </c>
      <c r="Q9" s="15">
        <f t="shared" si="5"/>
        <v>161.28</v>
      </c>
      <c r="R9" s="14">
        <f t="shared" si="6"/>
        <v>172.8</v>
      </c>
      <c r="S9" s="14">
        <f t="shared" si="7"/>
        <v>1152</v>
      </c>
      <c r="T9" s="14">
        <f t="shared" si="8"/>
        <v>0</v>
      </c>
      <c r="U9" s="14">
        <f t="shared" si="9"/>
        <v>96</v>
      </c>
      <c r="V9" s="14">
        <f t="shared" si="10"/>
        <v>0</v>
      </c>
      <c r="W9" s="14">
        <f t="shared" si="11"/>
        <v>1881.6</v>
      </c>
      <c r="X9" s="19">
        <f t="shared" si="12"/>
        <v>20.0704</v>
      </c>
      <c r="AA9" s="8" t="s">
        <v>40</v>
      </c>
      <c r="AB9" s="8">
        <v>75.0</v>
      </c>
      <c r="AC9" s="24" t="s">
        <v>26</v>
      </c>
    </row>
    <row r="10" ht="15.75" customHeight="1">
      <c r="A10" s="21">
        <v>9.0</v>
      </c>
      <c r="B10" s="9" t="s">
        <v>230</v>
      </c>
      <c r="C10" s="11">
        <v>4.0</v>
      </c>
      <c r="D10" s="11">
        <v>4.0</v>
      </c>
      <c r="E10" s="11">
        <v>8.0</v>
      </c>
      <c r="F10" s="21"/>
      <c r="G10" s="31" t="b">
        <v>1</v>
      </c>
      <c r="H10" s="12" t="b">
        <v>1</v>
      </c>
      <c r="I10" s="3" t="b">
        <v>1</v>
      </c>
      <c r="J10" s="3" t="b">
        <v>0</v>
      </c>
      <c r="K10" s="3" t="b">
        <v>1</v>
      </c>
      <c r="L10" s="8">
        <v>1.0</v>
      </c>
      <c r="M10" s="13">
        <f t="shared" si="1"/>
        <v>128</v>
      </c>
      <c r="N10" s="13">
        <f t="shared" si="2"/>
        <v>16</v>
      </c>
      <c r="O10" s="13">
        <f t="shared" si="3"/>
        <v>16</v>
      </c>
      <c r="P10" s="14">
        <f t="shared" si="4"/>
        <v>153.6</v>
      </c>
      <c r="Q10" s="15">
        <f t="shared" si="5"/>
        <v>53.76</v>
      </c>
      <c r="R10" s="14">
        <f t="shared" si="6"/>
        <v>19.2</v>
      </c>
      <c r="S10" s="14">
        <f t="shared" si="7"/>
        <v>128</v>
      </c>
      <c r="T10" s="14">
        <f t="shared" si="8"/>
        <v>0</v>
      </c>
      <c r="U10" s="14">
        <f t="shared" si="9"/>
        <v>32</v>
      </c>
      <c r="V10" s="14">
        <f t="shared" si="10"/>
        <v>0</v>
      </c>
      <c r="W10" s="14">
        <f t="shared" si="11"/>
        <v>332.8</v>
      </c>
      <c r="X10" s="19">
        <f t="shared" si="12"/>
        <v>3.549866667</v>
      </c>
      <c r="AA10" s="8" t="s">
        <v>42</v>
      </c>
      <c r="AB10" s="8">
        <v>2.0</v>
      </c>
    </row>
    <row r="11" ht="15.75" customHeight="1">
      <c r="A11" s="21">
        <v>10.0</v>
      </c>
      <c r="B11" s="60"/>
      <c r="C11" s="11"/>
      <c r="D11" s="11"/>
      <c r="E11" s="11"/>
      <c r="F11" s="21"/>
      <c r="G11" s="31" t="b">
        <v>1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61"/>
      <c r="C12" s="11"/>
      <c r="D12" s="11"/>
      <c r="E12" s="11"/>
      <c r="F12" s="21"/>
      <c r="G12" s="31" t="b">
        <v>1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60"/>
      <c r="C13" s="11"/>
      <c r="D13" s="11"/>
      <c r="E13" s="11"/>
      <c r="F13" s="21"/>
      <c r="G13" s="31" t="b">
        <v>1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48</v>
      </c>
      <c r="AB13" s="3">
        <v>185.0</v>
      </c>
    </row>
    <row r="14" ht="15.75" customHeight="1">
      <c r="A14" s="21">
        <v>13.0</v>
      </c>
      <c r="B14" s="61"/>
      <c r="C14" s="11"/>
      <c r="D14" s="11"/>
      <c r="E14" s="11"/>
      <c r="F14" s="21"/>
      <c r="G14" s="31" t="b">
        <v>1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60"/>
      <c r="C15" s="11"/>
      <c r="D15" s="11"/>
      <c r="E15" s="11"/>
      <c r="F15" s="21"/>
      <c r="G15" s="31" t="b">
        <v>1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61"/>
      <c r="C16" s="11"/>
      <c r="D16" s="11"/>
      <c r="E16" s="11"/>
      <c r="F16" s="21"/>
      <c r="G16" s="31" t="b">
        <v>1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3148</v>
      </c>
    </row>
    <row r="17" ht="15.75" customHeight="1">
      <c r="A17" s="21">
        <v>16.0</v>
      </c>
      <c r="B17" s="21"/>
      <c r="C17" s="21"/>
      <c r="D17" s="21"/>
      <c r="E17" s="21"/>
      <c r="F17" s="21"/>
      <c r="G17" s="31" t="b">
        <v>1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952</v>
      </c>
    </row>
    <row r="18" ht="15.75" customHeight="1">
      <c r="A18" s="21">
        <v>17.0</v>
      </c>
      <c r="B18" s="21"/>
      <c r="C18" s="21"/>
      <c r="D18" s="21"/>
      <c r="E18" s="21"/>
      <c r="F18" s="21"/>
      <c r="G18" s="31" t="b">
        <v>1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31" t="b">
        <v>1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368</v>
      </c>
    </row>
    <row r="20" ht="21.0" customHeight="1">
      <c r="A20" s="31">
        <v>19.0</v>
      </c>
      <c r="B20" s="21"/>
      <c r="C20" s="21"/>
      <c r="D20" s="21"/>
      <c r="E20" s="21"/>
      <c r="F20" s="21"/>
      <c r="G20" s="31" t="b">
        <v>1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8.994285714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2.72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0.4380952381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12.15238095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3777.6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1142.4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7616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736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13272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1322.16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  <c r="AA46" s="46" t="s">
        <v>81</v>
      </c>
      <c r="AB46" s="26"/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7" t="s">
        <v>82</v>
      </c>
      <c r="AB47" s="48">
        <v>0.4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83</v>
      </c>
      <c r="AB48" s="49">
        <v>37.5</v>
      </c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74</v>
      </c>
      <c r="AB49" s="50">
        <f t="shared" ref="AB49:AB55" si="13">IFERROR((AB38*$AB$47)/$AB$48,0)</f>
        <v>40.2944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75</v>
      </c>
      <c r="AB50" s="50">
        <f t="shared" si="13"/>
        <v>12.1856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76</v>
      </c>
      <c r="AB51" s="50">
        <f t="shared" si="13"/>
        <v>81.23733333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4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77</v>
      </c>
      <c r="AB53" s="50">
        <f t="shared" si="13"/>
        <v>7.850666667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53" t="s">
        <v>78</v>
      </c>
      <c r="AB54" s="54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5" t="s">
        <v>84</v>
      </c>
      <c r="AB55" s="56">
        <f t="shared" si="13"/>
        <v>141.568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6:AB46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114</v>
      </c>
      <c r="C2" s="10">
        <v>8.0</v>
      </c>
      <c r="D2" s="10">
        <v>5.0</v>
      </c>
      <c r="E2" s="10">
        <v>8.0</v>
      </c>
      <c r="F2" s="11">
        <v>2.0</v>
      </c>
      <c r="G2" s="11" t="b">
        <v>1</v>
      </c>
      <c r="H2" s="12" t="b">
        <v>0</v>
      </c>
      <c r="I2" s="3" t="b">
        <v>1</v>
      </c>
      <c r="J2" s="3" t="b">
        <v>1</v>
      </c>
      <c r="K2" s="3" t="b">
        <v>1</v>
      </c>
      <c r="L2" s="8">
        <v>1.0</v>
      </c>
      <c r="M2" s="13">
        <f t="shared" ref="M2:M49" si="1">IF(G2,(C2*E2*2)+(D2*E2*2),0)</f>
        <v>208</v>
      </c>
      <c r="N2" s="13">
        <f t="shared" ref="N2:N49" si="2">IF(H2,C2*D2,0)</f>
        <v>0</v>
      </c>
      <c r="O2" s="13">
        <f t="shared" ref="O2:O49" si="3">(C2+D2)*2</f>
        <v>26</v>
      </c>
      <c r="P2" s="14">
        <f t="shared" ref="P2:P49" si="4">M2*$AB$7</f>
        <v>228.8</v>
      </c>
      <c r="Q2" s="15">
        <f t="shared" ref="Q2:Q1000" si="5">IFERROR(P2*0.35,0)</f>
        <v>80.08</v>
      </c>
      <c r="R2" s="14">
        <f t="shared" ref="R2:R49" si="6">N2*$AB$8</f>
        <v>0</v>
      </c>
      <c r="S2" s="14">
        <f t="shared" ref="S2:S49" si="7">IF(I2,C2*D2*$AB$12,0)</f>
        <v>320</v>
      </c>
      <c r="T2" s="14">
        <f t="shared" ref="T2:T49" si="8">F2*$AB$9</f>
        <v>180</v>
      </c>
      <c r="U2" s="14">
        <f t="shared" ref="U2:U49" si="9">IF(K2,IF(L2&gt;0,O2*$AB$10*L2,0),0)</f>
        <v>52</v>
      </c>
      <c r="V2" s="14">
        <f t="shared" ref="V2:V49" si="10">IF(J2,O2*$AB$11,0)</f>
        <v>28.6</v>
      </c>
      <c r="W2" s="14">
        <f t="shared" ref="W2:W1000" si="11">SUM(P2,R2:V2)</f>
        <v>809.4</v>
      </c>
      <c r="X2" s="16">
        <f t="shared" ref="X2:X1000" si="12">IFERROR((W2*$AB$49)/$AB$50,0)</f>
        <v>8.6336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104</v>
      </c>
      <c r="C3" s="10">
        <v>12.0</v>
      </c>
      <c r="D3" s="10">
        <v>9.0</v>
      </c>
      <c r="E3" s="10">
        <v>8.0</v>
      </c>
      <c r="F3" s="11"/>
      <c r="G3" s="31" t="b">
        <v>1</v>
      </c>
      <c r="H3" s="12" t="b">
        <v>0</v>
      </c>
      <c r="I3" s="3" t="b">
        <v>1</v>
      </c>
      <c r="J3" s="3" t="b">
        <v>1</v>
      </c>
      <c r="K3" s="3" t="b">
        <v>1</v>
      </c>
      <c r="L3" s="8">
        <v>1.0</v>
      </c>
      <c r="M3" s="13">
        <f t="shared" si="1"/>
        <v>336</v>
      </c>
      <c r="N3" s="13">
        <f t="shared" si="2"/>
        <v>0</v>
      </c>
      <c r="O3" s="13">
        <f t="shared" si="3"/>
        <v>42</v>
      </c>
      <c r="P3" s="14">
        <f t="shared" si="4"/>
        <v>369.6</v>
      </c>
      <c r="Q3" s="15">
        <f t="shared" si="5"/>
        <v>129.36</v>
      </c>
      <c r="R3" s="14">
        <f t="shared" si="6"/>
        <v>0</v>
      </c>
      <c r="S3" s="14">
        <f t="shared" si="7"/>
        <v>864</v>
      </c>
      <c r="T3" s="14">
        <f t="shared" si="8"/>
        <v>0</v>
      </c>
      <c r="U3" s="14">
        <f t="shared" si="9"/>
        <v>84</v>
      </c>
      <c r="V3" s="14">
        <f t="shared" si="10"/>
        <v>46.2</v>
      </c>
      <c r="W3" s="14">
        <f t="shared" si="11"/>
        <v>1363.8</v>
      </c>
      <c r="X3" s="19">
        <f t="shared" si="12"/>
        <v>14.5472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231</v>
      </c>
      <c r="C4" s="10">
        <v>3.0</v>
      </c>
      <c r="D4" s="10">
        <v>8.0</v>
      </c>
      <c r="E4" s="10">
        <v>5.0</v>
      </c>
      <c r="F4" s="11"/>
      <c r="G4" s="31" t="b">
        <v>1</v>
      </c>
      <c r="H4" s="12" t="b">
        <v>0</v>
      </c>
      <c r="I4" s="3" t="b">
        <v>1</v>
      </c>
      <c r="J4" s="3" t="b">
        <v>1</v>
      </c>
      <c r="K4" s="3" t="b">
        <v>1</v>
      </c>
      <c r="L4" s="8">
        <v>1.0</v>
      </c>
      <c r="M4" s="13">
        <f t="shared" si="1"/>
        <v>110</v>
      </c>
      <c r="N4" s="13">
        <f t="shared" si="2"/>
        <v>0</v>
      </c>
      <c r="O4" s="13">
        <f t="shared" si="3"/>
        <v>22</v>
      </c>
      <c r="P4" s="14">
        <f t="shared" si="4"/>
        <v>121</v>
      </c>
      <c r="Q4" s="15">
        <f t="shared" si="5"/>
        <v>42.35</v>
      </c>
      <c r="R4" s="14">
        <f t="shared" si="6"/>
        <v>0</v>
      </c>
      <c r="S4" s="14">
        <f t="shared" si="7"/>
        <v>192</v>
      </c>
      <c r="T4" s="14">
        <f t="shared" si="8"/>
        <v>0</v>
      </c>
      <c r="U4" s="14">
        <f t="shared" si="9"/>
        <v>44</v>
      </c>
      <c r="V4" s="14">
        <f t="shared" si="10"/>
        <v>24.2</v>
      </c>
      <c r="W4" s="14">
        <f t="shared" si="11"/>
        <v>381.2</v>
      </c>
      <c r="X4" s="19">
        <f t="shared" si="12"/>
        <v>4.066133333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108</v>
      </c>
      <c r="C5" s="10">
        <v>17.0</v>
      </c>
      <c r="D5" s="10">
        <v>8.0</v>
      </c>
      <c r="E5" s="10">
        <v>8.0</v>
      </c>
      <c r="F5" s="21"/>
      <c r="G5" s="31" t="b">
        <v>1</v>
      </c>
      <c r="H5" s="12" t="b">
        <v>1</v>
      </c>
      <c r="I5" s="3" t="b">
        <v>1</v>
      </c>
      <c r="J5" s="3" t="b">
        <v>1</v>
      </c>
      <c r="K5" s="3" t="b">
        <v>1</v>
      </c>
      <c r="L5" s="8">
        <v>1.0</v>
      </c>
      <c r="M5" s="13">
        <f t="shared" si="1"/>
        <v>400</v>
      </c>
      <c r="N5" s="13">
        <f t="shared" si="2"/>
        <v>136</v>
      </c>
      <c r="O5" s="13">
        <f t="shared" si="3"/>
        <v>50</v>
      </c>
      <c r="P5" s="14">
        <f t="shared" si="4"/>
        <v>440</v>
      </c>
      <c r="Q5" s="15">
        <f t="shared" si="5"/>
        <v>154</v>
      </c>
      <c r="R5" s="14">
        <f t="shared" si="6"/>
        <v>163.2</v>
      </c>
      <c r="S5" s="14">
        <f t="shared" si="7"/>
        <v>1088</v>
      </c>
      <c r="T5" s="14">
        <f t="shared" si="8"/>
        <v>0</v>
      </c>
      <c r="U5" s="14">
        <f t="shared" si="9"/>
        <v>100</v>
      </c>
      <c r="V5" s="14">
        <f t="shared" si="10"/>
        <v>55</v>
      </c>
      <c r="W5" s="14">
        <f t="shared" si="11"/>
        <v>1846.2</v>
      </c>
      <c r="X5" s="19">
        <f t="shared" si="12"/>
        <v>19.6928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113</v>
      </c>
      <c r="C6" s="10">
        <v>16.0</v>
      </c>
      <c r="D6" s="10">
        <v>8.0</v>
      </c>
      <c r="E6" s="10">
        <v>8.0</v>
      </c>
      <c r="F6" s="21"/>
      <c r="G6" s="31" t="b">
        <v>1</v>
      </c>
      <c r="H6" s="12" t="b">
        <v>0</v>
      </c>
      <c r="I6" s="3" t="b">
        <v>1</v>
      </c>
      <c r="J6" s="3" t="b">
        <v>1</v>
      </c>
      <c r="K6" s="3" t="b">
        <v>1</v>
      </c>
      <c r="L6" s="8">
        <v>1.0</v>
      </c>
      <c r="M6" s="13">
        <f t="shared" si="1"/>
        <v>384</v>
      </c>
      <c r="N6" s="13">
        <f t="shared" si="2"/>
        <v>0</v>
      </c>
      <c r="O6" s="13">
        <f t="shared" si="3"/>
        <v>48</v>
      </c>
      <c r="P6" s="14">
        <f t="shared" si="4"/>
        <v>422.4</v>
      </c>
      <c r="Q6" s="15">
        <f t="shared" si="5"/>
        <v>147.84</v>
      </c>
      <c r="R6" s="14">
        <f t="shared" si="6"/>
        <v>0</v>
      </c>
      <c r="S6" s="14">
        <f t="shared" si="7"/>
        <v>1024</v>
      </c>
      <c r="T6" s="14">
        <f t="shared" si="8"/>
        <v>0</v>
      </c>
      <c r="U6" s="14">
        <f t="shared" si="9"/>
        <v>96</v>
      </c>
      <c r="V6" s="14">
        <f t="shared" si="10"/>
        <v>52.8</v>
      </c>
      <c r="W6" s="14">
        <f t="shared" si="11"/>
        <v>1595.2</v>
      </c>
      <c r="X6" s="19">
        <f t="shared" si="12"/>
        <v>17.01546667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9" t="s">
        <v>112</v>
      </c>
      <c r="C7" s="11">
        <v>20.0</v>
      </c>
      <c r="D7" s="11">
        <v>9.0</v>
      </c>
      <c r="E7" s="11">
        <v>8.0</v>
      </c>
      <c r="F7" s="21"/>
      <c r="G7" s="31" t="b">
        <v>1</v>
      </c>
      <c r="H7" s="12" t="b">
        <v>0</v>
      </c>
      <c r="I7" s="3" t="b">
        <v>1</v>
      </c>
      <c r="J7" s="3" t="b">
        <v>1</v>
      </c>
      <c r="K7" s="3" t="b">
        <v>1</v>
      </c>
      <c r="L7" s="8">
        <v>1.0</v>
      </c>
      <c r="M7" s="13">
        <f t="shared" si="1"/>
        <v>464</v>
      </c>
      <c r="N7" s="13">
        <f t="shared" si="2"/>
        <v>0</v>
      </c>
      <c r="O7" s="13">
        <f t="shared" si="3"/>
        <v>58</v>
      </c>
      <c r="P7" s="14">
        <f t="shared" si="4"/>
        <v>510.4</v>
      </c>
      <c r="Q7" s="15">
        <f t="shared" si="5"/>
        <v>178.64</v>
      </c>
      <c r="R7" s="14">
        <f t="shared" si="6"/>
        <v>0</v>
      </c>
      <c r="S7" s="14">
        <f t="shared" si="7"/>
        <v>1440</v>
      </c>
      <c r="T7" s="14">
        <f t="shared" si="8"/>
        <v>0</v>
      </c>
      <c r="U7" s="14">
        <f t="shared" si="9"/>
        <v>116</v>
      </c>
      <c r="V7" s="14">
        <f t="shared" si="10"/>
        <v>63.8</v>
      </c>
      <c r="W7" s="14">
        <f t="shared" si="11"/>
        <v>2130.2</v>
      </c>
      <c r="X7" s="19">
        <f t="shared" si="12"/>
        <v>22.72213333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31" t="b">
        <v>1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31" t="b">
        <v>1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31" t="b">
        <v>1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31" t="b">
        <v>1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31" t="b">
        <v>1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31" t="b">
        <v>1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31" t="b">
        <v>1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31" t="b">
        <v>1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31" t="b">
        <v>1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1902</v>
      </c>
    </row>
    <row r="17" ht="15.75" customHeight="1">
      <c r="A17" s="21">
        <v>16.0</v>
      </c>
      <c r="B17" s="21"/>
      <c r="C17" s="21"/>
      <c r="D17" s="21"/>
      <c r="E17" s="21"/>
      <c r="F17" s="21"/>
      <c r="G17" s="31" t="b">
        <v>1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136</v>
      </c>
    </row>
    <row r="18" ht="15.75" customHeight="1">
      <c r="A18" s="21">
        <v>17.0</v>
      </c>
      <c r="B18" s="21"/>
      <c r="C18" s="21"/>
      <c r="D18" s="21"/>
      <c r="E18" s="21"/>
      <c r="F18" s="21"/>
      <c r="G18" s="31" t="b">
        <v>1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2</v>
      </c>
    </row>
    <row r="19" ht="7.5" customHeight="1">
      <c r="A19" s="21">
        <v>18.0</v>
      </c>
      <c r="B19" s="21"/>
      <c r="C19" s="21"/>
      <c r="D19" s="21"/>
      <c r="E19" s="21"/>
      <c r="F19" s="21"/>
      <c r="G19" s="31" t="b">
        <v>1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246</v>
      </c>
    </row>
    <row r="20" ht="21.0" customHeight="1">
      <c r="A20" s="31">
        <v>19.0</v>
      </c>
      <c r="B20" s="21"/>
      <c r="C20" s="21"/>
      <c r="D20" s="21"/>
      <c r="E20" s="21"/>
      <c r="F20" s="21"/>
      <c r="G20" s="31" t="b">
        <v>1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246</v>
      </c>
    </row>
    <row r="21" ht="15.75" customHeight="1">
      <c r="A21" s="31">
        <v>20.0</v>
      </c>
      <c r="B21" s="21"/>
      <c r="C21" s="21"/>
      <c r="D21" s="21"/>
      <c r="E21" s="21"/>
      <c r="F21" s="21"/>
      <c r="G21" s="31" t="b">
        <v>1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31" t="b">
        <v>1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31" t="b">
        <v>1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31" t="b">
        <v>1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31" t="b">
        <v>1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5.434285714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0.3885714286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0.2285714286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0.2928571429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0.2342857143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6.578571429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6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2092.2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163.2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4928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180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492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270.6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8126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732.27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22.3168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1.7408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52.56533333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1.92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5.248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2.8864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86.67733333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232</v>
      </c>
      <c r="C2" s="10">
        <v>4.0</v>
      </c>
      <c r="D2" s="10">
        <v>7.0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176</v>
      </c>
      <c r="N2" s="13">
        <f t="shared" ref="N2:N49" si="2">IF(H2,C2*D2,0)</f>
        <v>0</v>
      </c>
      <c r="O2" s="13">
        <f t="shared" ref="O2:O49" si="3">(C2+D2)*2</f>
        <v>22</v>
      </c>
      <c r="P2" s="14">
        <f t="shared" ref="P2:P49" si="4">M2*$AB$7</f>
        <v>211.2</v>
      </c>
      <c r="Q2" s="15">
        <f t="shared" ref="Q2:Q1000" si="5">IFERROR(P2*0.35,0)</f>
        <v>73.92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44</v>
      </c>
      <c r="V2" s="14">
        <f t="shared" ref="V2:V49" si="10">IF(J2,O2*$AB$11,0)</f>
        <v>0</v>
      </c>
      <c r="W2" s="14">
        <f t="shared" ref="W2:W1000" si="11">SUM(P2,R2:V2)</f>
        <v>255.2</v>
      </c>
      <c r="X2" s="16">
        <f t="shared" ref="X2:X1000" si="12">IFERROR((W2*$AB$49)/$AB$50,0)</f>
        <v>2.722133333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151</v>
      </c>
      <c r="C3" s="10">
        <v>5.0</v>
      </c>
      <c r="D3" s="10">
        <v>8.0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208</v>
      </c>
      <c r="N3" s="13">
        <f t="shared" si="2"/>
        <v>0</v>
      </c>
      <c r="O3" s="13">
        <f t="shared" si="3"/>
        <v>26</v>
      </c>
      <c r="P3" s="14">
        <f t="shared" si="4"/>
        <v>249.6</v>
      </c>
      <c r="Q3" s="15">
        <f t="shared" si="5"/>
        <v>87.36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52</v>
      </c>
      <c r="V3" s="14">
        <f t="shared" si="10"/>
        <v>0</v>
      </c>
      <c r="W3" s="14">
        <f t="shared" si="11"/>
        <v>301.6</v>
      </c>
      <c r="X3" s="19">
        <f t="shared" si="12"/>
        <v>3.217066667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233</v>
      </c>
      <c r="C4" s="10">
        <v>24.0</v>
      </c>
      <c r="D4" s="10">
        <v>21.0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90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/>
      <c r="C5" s="10"/>
      <c r="D5" s="10"/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0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384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48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1.097142857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0.05714285714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1.154285714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3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460.8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96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556.8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161.28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4.9152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1.024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5.9392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2.0</v>
      </c>
      <c r="B2" s="3" t="s">
        <v>141</v>
      </c>
      <c r="C2" s="3">
        <v>8.0</v>
      </c>
      <c r="D2" s="3">
        <v>6.0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8" si="1">IF(G2,(C2*E2*2)+(D2*E2*2),0)</f>
        <v>224</v>
      </c>
      <c r="N2" s="13">
        <f t="shared" ref="N2:N48" si="2">IF(H2,C2*D2,0)</f>
        <v>0</v>
      </c>
      <c r="O2" s="13">
        <f t="shared" ref="O2:O48" si="3">(C2+D2)*2</f>
        <v>28</v>
      </c>
      <c r="P2" s="14">
        <f t="shared" ref="P2:P48" si="4">M2*$AB$6</f>
        <v>268.8</v>
      </c>
      <c r="Q2" s="15">
        <f t="shared" ref="Q2:Q999" si="5">IFERROR(P2*0.35,0)</f>
        <v>94.08</v>
      </c>
      <c r="R2" s="14">
        <f t="shared" ref="R2:R48" si="6">N2*$AB$7</f>
        <v>0</v>
      </c>
      <c r="S2" s="14">
        <f t="shared" ref="S2:S48" si="7">IF(I2,C2*D2*$AB$11,0)</f>
        <v>0</v>
      </c>
      <c r="T2" s="14">
        <f t="shared" ref="T2:T48" si="8">F2*$AB$8</f>
        <v>0</v>
      </c>
      <c r="U2" s="14">
        <f t="shared" ref="U2:U48" si="9">IF(K2,IF(L2&gt;0,O2*$AB$9*L2,0),0)</f>
        <v>56</v>
      </c>
      <c r="V2" s="14">
        <f t="shared" ref="V2:V48" si="10">IF(J2,O2*$AB$10,0)</f>
        <v>0</v>
      </c>
      <c r="W2" s="14">
        <f t="shared" ref="W2:W999" si="11">SUM(P2,R2:V2)</f>
        <v>324.8</v>
      </c>
      <c r="X2" s="19">
        <f t="shared" ref="X2:X999" si="12">IFERROR((W2*$AB$48)/$AB$49,0)</f>
        <v>3.464533333</v>
      </c>
      <c r="AA2" s="8" t="s">
        <v>30</v>
      </c>
      <c r="AB2" s="3">
        <v>1.1</v>
      </c>
      <c r="AC2" s="20" t="s">
        <v>26</v>
      </c>
    </row>
    <row r="3" ht="15.75" customHeight="1">
      <c r="A3" s="21">
        <v>3.0</v>
      </c>
      <c r="B3" s="3" t="s">
        <v>109</v>
      </c>
      <c r="C3" s="3">
        <v>13.0</v>
      </c>
      <c r="D3" s="3">
        <v>11.0</v>
      </c>
      <c r="E3" s="10">
        <v>8.0</v>
      </c>
      <c r="F3" s="11"/>
      <c r="G3" s="11" t="b">
        <v>0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0</v>
      </c>
      <c r="N3" s="13">
        <f t="shared" si="2"/>
        <v>0</v>
      </c>
      <c r="O3" s="13">
        <f t="shared" si="3"/>
        <v>48</v>
      </c>
      <c r="P3" s="14">
        <f t="shared" si="4"/>
        <v>0</v>
      </c>
      <c r="Q3" s="15">
        <f t="shared" si="5"/>
        <v>0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96</v>
      </c>
      <c r="V3" s="14">
        <f t="shared" si="10"/>
        <v>0</v>
      </c>
      <c r="W3" s="14">
        <f t="shared" si="11"/>
        <v>96</v>
      </c>
      <c r="X3" s="19">
        <f t="shared" si="12"/>
        <v>1.024</v>
      </c>
      <c r="AA3" s="8" t="s">
        <v>31</v>
      </c>
      <c r="AB3" s="3">
        <v>1.2</v>
      </c>
      <c r="AC3" s="20" t="s">
        <v>26</v>
      </c>
    </row>
    <row r="4" ht="15.75" customHeight="1">
      <c r="A4" s="21">
        <v>4.0</v>
      </c>
      <c r="B4" s="3" t="s">
        <v>39</v>
      </c>
      <c r="C4" s="3">
        <v>14.0</v>
      </c>
      <c r="D4" s="3">
        <v>10.0</v>
      </c>
      <c r="E4" s="10">
        <v>8.0</v>
      </c>
      <c r="F4" s="21"/>
      <c r="G4" s="11" t="b">
        <v>0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48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96</v>
      </c>
      <c r="V4" s="14">
        <f t="shared" si="10"/>
        <v>0</v>
      </c>
      <c r="W4" s="14">
        <f t="shared" si="11"/>
        <v>96</v>
      </c>
      <c r="X4" s="19">
        <f t="shared" si="12"/>
        <v>1.024</v>
      </c>
      <c r="AA4" s="8" t="s">
        <v>26</v>
      </c>
      <c r="AB4" s="8" t="s">
        <v>26</v>
      </c>
      <c r="AC4" s="20" t="s">
        <v>26</v>
      </c>
    </row>
    <row r="5" ht="15.75" customHeight="1">
      <c r="A5" s="21">
        <v>5.0</v>
      </c>
      <c r="B5" s="3" t="s">
        <v>125</v>
      </c>
      <c r="C5" s="3">
        <v>6.0</v>
      </c>
      <c r="D5" s="3">
        <v>6.0</v>
      </c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24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48</v>
      </c>
      <c r="V5" s="14">
        <f t="shared" si="10"/>
        <v>0</v>
      </c>
      <c r="W5" s="14">
        <f t="shared" si="11"/>
        <v>48</v>
      </c>
      <c r="X5" s="19">
        <f t="shared" si="12"/>
        <v>0.512</v>
      </c>
      <c r="AA5" s="8" t="s">
        <v>34</v>
      </c>
      <c r="AB5" s="3" t="s">
        <v>31</v>
      </c>
      <c r="AC5" s="20" t="s">
        <v>26</v>
      </c>
    </row>
    <row r="6" ht="15.75" customHeight="1">
      <c r="A6" s="21">
        <v>6.0</v>
      </c>
      <c r="B6" s="3" t="s">
        <v>106</v>
      </c>
      <c r="C6" s="3">
        <v>9.0</v>
      </c>
      <c r="D6" s="3">
        <v>10.0</v>
      </c>
      <c r="E6" s="11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38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76</v>
      </c>
      <c r="V6" s="14">
        <f t="shared" si="10"/>
        <v>0</v>
      </c>
      <c r="W6" s="14">
        <f t="shared" si="11"/>
        <v>76</v>
      </c>
      <c r="X6" s="19">
        <f t="shared" si="12"/>
        <v>0.8106666667</v>
      </c>
      <c r="AA6" s="8" t="s">
        <v>36</v>
      </c>
      <c r="AB6" s="22">
        <f>IFERROR(VLOOKUP(AB5,AA2:AB3,2,FALSE),0)</f>
        <v>1.2</v>
      </c>
      <c r="AC6" s="20" t="s">
        <v>26</v>
      </c>
    </row>
    <row r="7" ht="15.75" customHeight="1">
      <c r="A7" s="21">
        <v>7.0</v>
      </c>
      <c r="B7" s="3" t="s">
        <v>234</v>
      </c>
      <c r="C7" s="3">
        <v>6.0</v>
      </c>
      <c r="D7" s="3">
        <v>11.0</v>
      </c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34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68</v>
      </c>
      <c r="V7" s="14">
        <f t="shared" si="10"/>
        <v>0</v>
      </c>
      <c r="W7" s="14">
        <f t="shared" si="11"/>
        <v>68</v>
      </c>
      <c r="X7" s="19">
        <f t="shared" si="12"/>
        <v>0.7253333333</v>
      </c>
      <c r="AA7" s="8" t="s">
        <v>38</v>
      </c>
      <c r="AB7" s="3">
        <v>1.2</v>
      </c>
      <c r="AC7" s="20" t="s">
        <v>26</v>
      </c>
    </row>
    <row r="8" ht="15.75" customHeight="1">
      <c r="A8" s="21">
        <v>8.0</v>
      </c>
      <c r="B8" s="3" t="s">
        <v>128</v>
      </c>
      <c r="C8" s="3">
        <v>10.0</v>
      </c>
      <c r="D8" s="3">
        <v>7.0</v>
      </c>
      <c r="E8" s="11">
        <v>8.0</v>
      </c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34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68</v>
      </c>
      <c r="V8" s="14">
        <f t="shared" si="10"/>
        <v>0</v>
      </c>
      <c r="W8" s="14">
        <f t="shared" si="11"/>
        <v>68</v>
      </c>
      <c r="X8" s="19">
        <f t="shared" si="12"/>
        <v>0.7253333333</v>
      </c>
      <c r="AA8" s="8" t="s">
        <v>40</v>
      </c>
      <c r="AB8" s="3">
        <v>90.0</v>
      </c>
      <c r="AC8" s="24" t="s">
        <v>26</v>
      </c>
    </row>
    <row r="9" ht="15.75" customHeight="1">
      <c r="A9" s="21">
        <v>9.0</v>
      </c>
      <c r="B9" s="3" t="s">
        <v>131</v>
      </c>
      <c r="C9" s="3">
        <v>8.0</v>
      </c>
      <c r="D9" s="3">
        <v>6.0</v>
      </c>
      <c r="E9" s="11">
        <v>16.0</v>
      </c>
      <c r="F9" s="21"/>
      <c r="G9" s="11" t="b">
        <v>0</v>
      </c>
      <c r="H9" s="12" t="b">
        <v>0</v>
      </c>
      <c r="I9" s="8" t="b">
        <v>0</v>
      </c>
      <c r="J9" s="3" t="b">
        <v>0</v>
      </c>
      <c r="K9" s="3" t="b">
        <v>1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28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56</v>
      </c>
      <c r="V9" s="14">
        <f t="shared" si="10"/>
        <v>0</v>
      </c>
      <c r="W9" s="14">
        <f t="shared" si="11"/>
        <v>56</v>
      </c>
      <c r="X9" s="19">
        <f t="shared" si="12"/>
        <v>0.5973333333</v>
      </c>
      <c r="AA9" s="8" t="s">
        <v>42</v>
      </c>
      <c r="AB9" s="8">
        <v>2.0</v>
      </c>
    </row>
    <row r="10" ht="15.75" customHeight="1">
      <c r="A10" s="21">
        <v>10.0</v>
      </c>
      <c r="B10" s="3" t="s">
        <v>140</v>
      </c>
      <c r="C10" s="3">
        <v>18.0</v>
      </c>
      <c r="D10" s="3">
        <v>14.0</v>
      </c>
      <c r="E10" s="11">
        <v>8.0</v>
      </c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1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64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128</v>
      </c>
      <c r="V10" s="14">
        <f t="shared" si="10"/>
        <v>0</v>
      </c>
      <c r="W10" s="14">
        <f t="shared" si="11"/>
        <v>128</v>
      </c>
      <c r="X10" s="19">
        <f t="shared" si="12"/>
        <v>1.365333333</v>
      </c>
      <c r="AA10" s="8" t="s">
        <v>44</v>
      </c>
      <c r="AB10" s="3">
        <v>1.1</v>
      </c>
    </row>
    <row r="11" ht="15.75" customHeight="1">
      <c r="A11" s="21">
        <v>11.0</v>
      </c>
      <c r="B11" s="3" t="s">
        <v>126</v>
      </c>
      <c r="C11" s="3">
        <v>18.0</v>
      </c>
      <c r="D11" s="3">
        <v>4.0</v>
      </c>
      <c r="E11" s="11">
        <v>8.0</v>
      </c>
      <c r="F11" s="21"/>
      <c r="G11" s="11" t="b">
        <v>0</v>
      </c>
      <c r="H11" s="12" t="b">
        <v>0</v>
      </c>
      <c r="I11" s="3" t="b">
        <v>0</v>
      </c>
      <c r="J11" s="3" t="b">
        <v>0</v>
      </c>
      <c r="K11" s="3" t="b">
        <v>1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44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88</v>
      </c>
      <c r="V11" s="14">
        <f t="shared" si="10"/>
        <v>0</v>
      </c>
      <c r="W11" s="14">
        <f t="shared" si="11"/>
        <v>88</v>
      </c>
      <c r="X11" s="19">
        <f t="shared" si="12"/>
        <v>0.9386666667</v>
      </c>
      <c r="AA11" s="8" t="s">
        <v>46</v>
      </c>
      <c r="AB11" s="3">
        <v>8.0</v>
      </c>
    </row>
    <row r="12" ht="21.0" customHeight="1">
      <c r="A12" s="21">
        <v>12.0</v>
      </c>
      <c r="B12" s="3" t="s">
        <v>101</v>
      </c>
      <c r="C12" s="3">
        <v>7.0</v>
      </c>
      <c r="D12" s="3">
        <v>3.0</v>
      </c>
      <c r="E12" s="11">
        <v>8.0</v>
      </c>
      <c r="F12" s="21"/>
      <c r="G12" s="11" t="b">
        <v>0</v>
      </c>
      <c r="H12" s="12" t="b">
        <v>0</v>
      </c>
      <c r="I12" s="8" t="b">
        <v>0</v>
      </c>
      <c r="J12" s="3" t="b">
        <v>0</v>
      </c>
      <c r="K12" s="3" t="b">
        <v>1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20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40</v>
      </c>
      <c r="V12" s="14">
        <f t="shared" si="10"/>
        <v>0</v>
      </c>
      <c r="W12" s="14">
        <f t="shared" si="11"/>
        <v>40</v>
      </c>
      <c r="X12" s="19">
        <f t="shared" si="12"/>
        <v>0.4266666667</v>
      </c>
      <c r="AA12" s="3" t="s">
        <v>211</v>
      </c>
      <c r="AB12" s="3">
        <v>185.0</v>
      </c>
    </row>
    <row r="13" ht="15.75" customHeight="1">
      <c r="A13" s="21">
        <v>13.0</v>
      </c>
      <c r="B13" s="3" t="s">
        <v>235</v>
      </c>
      <c r="C13" s="63"/>
      <c r="D13" s="63"/>
      <c r="E13" s="11">
        <v>8.0</v>
      </c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</row>
    <row r="14" ht="15.75" customHeight="1">
      <c r="A14" s="21">
        <v>14.0</v>
      </c>
      <c r="B14" s="3" t="s">
        <v>122</v>
      </c>
      <c r="C14" s="3">
        <v>4.0</v>
      </c>
      <c r="D14" s="3">
        <v>5.0</v>
      </c>
      <c r="E14" s="11">
        <v>8.0</v>
      </c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18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36</v>
      </c>
      <c r="V14" s="14">
        <f t="shared" si="10"/>
        <v>0</v>
      </c>
      <c r="W14" s="14">
        <f t="shared" si="11"/>
        <v>36</v>
      </c>
      <c r="X14" s="19">
        <f t="shared" si="12"/>
        <v>0.384</v>
      </c>
      <c r="AA14" s="25" t="s">
        <v>51</v>
      </c>
      <c r="AB14" s="26"/>
    </row>
    <row r="15" ht="15.75" customHeight="1">
      <c r="A15" s="21">
        <v>15.0</v>
      </c>
      <c r="B15" s="3" t="s">
        <v>104</v>
      </c>
      <c r="C15" s="3">
        <v>9.0</v>
      </c>
      <c r="D15" s="3">
        <v>4.0</v>
      </c>
      <c r="E15" s="11">
        <v>8.0</v>
      </c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26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52</v>
      </c>
      <c r="V15" s="14">
        <f t="shared" si="10"/>
        <v>0</v>
      </c>
      <c r="W15" s="14">
        <f t="shared" si="11"/>
        <v>52</v>
      </c>
      <c r="X15" s="19">
        <f t="shared" si="12"/>
        <v>0.5546666667</v>
      </c>
      <c r="AA15" s="28" t="s">
        <v>52</v>
      </c>
      <c r="AB15" s="29">
        <f>SUM(M2:M999)</f>
        <v>224</v>
      </c>
    </row>
    <row r="16" ht="15.75" customHeight="1">
      <c r="A16" s="21">
        <v>16.0</v>
      </c>
      <c r="B16" s="3" t="s">
        <v>112</v>
      </c>
      <c r="C16" s="3">
        <v>18.0</v>
      </c>
      <c r="D16" s="3">
        <v>13.0</v>
      </c>
      <c r="E16" s="11">
        <v>8.0</v>
      </c>
      <c r="F16" s="21"/>
      <c r="G16" s="11" t="b">
        <v>0</v>
      </c>
      <c r="H16" s="12" t="b">
        <v>0</v>
      </c>
      <c r="I16" s="3" t="b">
        <v>0</v>
      </c>
      <c r="J16" s="3" t="b">
        <v>0</v>
      </c>
      <c r="K16" s="3" t="b">
        <v>1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62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124</v>
      </c>
      <c r="V16" s="14">
        <f t="shared" si="10"/>
        <v>0</v>
      </c>
      <c r="W16" s="14">
        <f t="shared" si="11"/>
        <v>124</v>
      </c>
      <c r="X16" s="19">
        <f t="shared" si="12"/>
        <v>1.322666667</v>
      </c>
      <c r="AA16" s="28" t="s">
        <v>54</v>
      </c>
      <c r="AB16" s="29">
        <f>SUM(N2:N999)</f>
        <v>0</v>
      </c>
    </row>
    <row r="17" ht="15.75" customHeight="1">
      <c r="A17" s="21">
        <v>17.0</v>
      </c>
      <c r="B17" s="3" t="s">
        <v>108</v>
      </c>
      <c r="C17" s="3">
        <v>8.0</v>
      </c>
      <c r="D17" s="3">
        <v>12.0</v>
      </c>
      <c r="E17" s="11">
        <v>8.0</v>
      </c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1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40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80</v>
      </c>
      <c r="V17" s="14">
        <f t="shared" si="10"/>
        <v>0</v>
      </c>
      <c r="W17" s="14">
        <f t="shared" si="11"/>
        <v>80</v>
      </c>
      <c r="X17" s="19">
        <f t="shared" si="12"/>
        <v>0.8533333333</v>
      </c>
      <c r="AA17" s="28" t="s">
        <v>56</v>
      </c>
      <c r="AB17" s="29">
        <f>SUM(F2:F999)</f>
        <v>0</v>
      </c>
    </row>
    <row r="18" ht="7.5" customHeight="1">
      <c r="A18" s="21">
        <v>18.0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58</v>
      </c>
      <c r="AB18" s="30">
        <f>SUMPRODUCT((K2:K999=TRUE)*(L2:L999&gt;0)*O2:O999)</f>
        <v>556</v>
      </c>
    </row>
    <row r="19" ht="21.0" customHeight="1">
      <c r="A19" s="31">
        <v>19.0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32" t="s">
        <v>60</v>
      </c>
      <c r="AB19" s="33">
        <f>SUMPRODUCT((J2:J999=TRUE)*O2:O999)</f>
        <v>0</v>
      </c>
    </row>
    <row r="20" ht="15.75" customHeight="1">
      <c r="A20" s="31">
        <v>20.0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4" t="s">
        <v>26</v>
      </c>
      <c r="AB20" s="34" t="s">
        <v>26</v>
      </c>
    </row>
    <row r="21" ht="15.75" customHeight="1">
      <c r="A21" s="31">
        <v>21.0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25" t="s">
        <v>61</v>
      </c>
      <c r="AB21" s="26"/>
    </row>
    <row r="22" ht="15.75" customHeight="1">
      <c r="A22" s="31">
        <v>22.0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8" t="s">
        <v>62</v>
      </c>
      <c r="AB22" s="35">
        <v>350.0</v>
      </c>
    </row>
    <row r="23" ht="15.75" customHeight="1">
      <c r="A23" s="11">
        <v>23.0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63</v>
      </c>
      <c r="AB23" s="35">
        <v>40.0</v>
      </c>
    </row>
    <row r="24" ht="7.5" customHeight="1">
      <c r="A24" s="11">
        <v>24.0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64</v>
      </c>
      <c r="AB24" s="35">
        <v>5.0</v>
      </c>
    </row>
    <row r="25" ht="21.0" customHeight="1">
      <c r="A25" s="31">
        <v>25.0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32" t="s">
        <v>65</v>
      </c>
      <c r="AB25" s="36">
        <v>4.0</v>
      </c>
    </row>
    <row r="26" ht="15.75" customHeight="1">
      <c r="A26" s="31">
        <v>26.0</v>
      </c>
      <c r="B26" s="21"/>
      <c r="C26" s="21"/>
      <c r="D26" s="21"/>
      <c r="E26" s="21"/>
      <c r="F26" s="21"/>
      <c r="G26" s="31" t="b">
        <v>1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4" t="s">
        <v>26</v>
      </c>
      <c r="AB26" s="34" t="s">
        <v>26</v>
      </c>
    </row>
    <row r="27" ht="15.75" customHeight="1">
      <c r="A27" s="31">
        <v>27.0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25" t="s">
        <v>66</v>
      </c>
      <c r="AB27" s="26"/>
    </row>
    <row r="28" ht="15.75" customHeight="1">
      <c r="A28" s="31">
        <v>28.0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37" t="s">
        <v>67</v>
      </c>
      <c r="AB28" s="29">
        <f>IFERROR(AB15/AB22,0)</f>
        <v>0.64</v>
      </c>
    </row>
    <row r="29" ht="15.75" customHeight="1">
      <c r="A29" s="31">
        <v>29.0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68</v>
      </c>
      <c r="AB29" s="30">
        <f>IFERROR(AB16/AB22,0)</f>
        <v>0</v>
      </c>
    </row>
    <row r="30" ht="15.75" customHeight="1">
      <c r="A30" s="31">
        <v>30.0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69</v>
      </c>
      <c r="AB30" s="29">
        <f>IFERROR((AB17*AB23)/AB22,0)</f>
        <v>0</v>
      </c>
    </row>
    <row r="31">
      <c r="A31" s="31">
        <v>31.0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70</v>
      </c>
      <c r="AB31" s="29">
        <f>IFERROR(SUMPRODUCT((K2:K999=TRUE)*(L2:L999&gt;0)*O2:O999*L2:L999)*(AB24/12)/AB22,0)</f>
        <v>0.6619047619</v>
      </c>
    </row>
    <row r="32">
      <c r="A32" s="31">
        <v>32.0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2" t="s">
        <v>71</v>
      </c>
      <c r="AB32" s="33">
        <f>IFERROR((AB19*(AB25/12))/AB22,0)</f>
        <v>0</v>
      </c>
    </row>
    <row r="33" ht="15.75" customHeight="1">
      <c r="A33" s="31">
        <v>33.0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8" t="s">
        <v>21</v>
      </c>
      <c r="AB33" s="39">
        <f>SUM(AB28:AB32)</f>
        <v>1.301904762</v>
      </c>
    </row>
    <row r="34" ht="15.75" customHeight="1">
      <c r="A34" s="31">
        <v>34.0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</row>
    <row r="35" ht="15.75" customHeight="1">
      <c r="A35" s="31">
        <v>35.0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  <c r="AA35" s="25" t="s">
        <v>72</v>
      </c>
      <c r="AB35" s="26"/>
    </row>
    <row r="36" ht="15.75" customHeight="1">
      <c r="A36" s="31">
        <v>36.0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37" t="s">
        <v>73</v>
      </c>
      <c r="AB36" s="40">
        <f>COUNTIF(C2:C999,"&gt;0")</f>
        <v>15</v>
      </c>
    </row>
    <row r="37" ht="15.75" customHeight="1">
      <c r="A37" s="31">
        <v>37.0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74</v>
      </c>
      <c r="AB37" s="41">
        <f>SUM(P2:P999)</f>
        <v>268.8</v>
      </c>
    </row>
    <row r="38" ht="15.75" customHeight="1">
      <c r="A38" s="31">
        <v>38.0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75</v>
      </c>
      <c r="AB38" s="41">
        <f>SUM(R2:R999)</f>
        <v>0</v>
      </c>
    </row>
    <row r="39" ht="15.75" customHeight="1">
      <c r="A39" s="31">
        <v>39.0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76</v>
      </c>
      <c r="AB39" s="41">
        <f>SUM(S2:S999)</f>
        <v>0</v>
      </c>
    </row>
    <row r="40" ht="15.75" customHeight="1">
      <c r="A40" s="31">
        <v>40.0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4</v>
      </c>
      <c r="AB40" s="41">
        <f>SUM(T2:T999)</f>
        <v>0</v>
      </c>
    </row>
    <row r="41" ht="15.75" customHeight="1">
      <c r="A41" s="31">
        <v>41.0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77</v>
      </c>
      <c r="AB41" s="41">
        <f>SUM(U2:U999)</f>
        <v>1112</v>
      </c>
    </row>
    <row r="42" ht="21.0" customHeight="1">
      <c r="A42" s="31">
        <v>42.0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78</v>
      </c>
      <c r="AB42" s="41">
        <f>SUM(V2:V999)</f>
        <v>0</v>
      </c>
    </row>
    <row r="43" ht="15.75" customHeight="1">
      <c r="A43" s="31">
        <v>43.0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42" t="s">
        <v>79</v>
      </c>
      <c r="AB43" s="43">
        <f>SUM(W2:W999)</f>
        <v>1380.8</v>
      </c>
    </row>
    <row r="44" ht="15.75" customHeight="1">
      <c r="A44" s="31">
        <v>44.0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4" t="s">
        <v>80</v>
      </c>
      <c r="AB44" s="45">
        <f>SUM(Q2:Q999)</f>
        <v>94.08</v>
      </c>
    </row>
    <row r="45" ht="15.75" customHeight="1">
      <c r="A45" s="31">
        <v>45.0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</row>
    <row r="46" ht="15.75" customHeight="1">
      <c r="A46" s="31">
        <v>46.0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47.0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  <c r="AA47" s="46" t="s">
        <v>81</v>
      </c>
      <c r="AB47" s="26"/>
    </row>
    <row r="48" ht="15.75" customHeight="1">
      <c r="A48" s="31">
        <v>48.0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7" t="s">
        <v>82</v>
      </c>
      <c r="AB48" s="48">
        <v>0.4</v>
      </c>
    </row>
    <row r="49" ht="15.75" customHeight="1">
      <c r="A49" s="31"/>
      <c r="B49" s="21"/>
      <c r="C49" s="21"/>
      <c r="D49" s="21"/>
      <c r="E49" s="21"/>
      <c r="F49" s="21"/>
      <c r="G49" s="31"/>
      <c r="H49" s="12"/>
      <c r="M49" s="13"/>
      <c r="N49" s="13"/>
      <c r="O49" s="13"/>
      <c r="P49" s="14"/>
      <c r="Q49" s="15">
        <f t="shared" si="5"/>
        <v>0</v>
      </c>
      <c r="R49" s="14"/>
      <c r="S49" s="14"/>
      <c r="T49" s="14"/>
      <c r="U49" s="14"/>
      <c r="V49" s="14"/>
      <c r="W49" s="14">
        <f t="shared" si="11"/>
        <v>0</v>
      </c>
      <c r="X49" s="19">
        <f t="shared" si="12"/>
        <v>0</v>
      </c>
      <c r="AA49" s="47" t="s">
        <v>83</v>
      </c>
      <c r="AB49" s="49">
        <v>37.5</v>
      </c>
    </row>
    <row r="50" ht="15.75" customHeight="1">
      <c r="A50" s="31" t="s">
        <v>26</v>
      </c>
      <c r="B50" s="31" t="s">
        <v>26</v>
      </c>
      <c r="C50" s="31" t="s">
        <v>26</v>
      </c>
      <c r="D50" s="31" t="s">
        <v>26</v>
      </c>
      <c r="E50" s="31" t="s">
        <v>26</v>
      </c>
      <c r="F50" s="31" t="s">
        <v>26</v>
      </c>
      <c r="G50" s="31" t="s">
        <v>26</v>
      </c>
      <c r="H50" s="31" t="s">
        <v>26</v>
      </c>
      <c r="I50" s="8" t="s">
        <v>26</v>
      </c>
      <c r="J50" s="8" t="s">
        <v>26</v>
      </c>
      <c r="L50" s="8" t="s">
        <v>26</v>
      </c>
      <c r="M50" s="8" t="s">
        <v>26</v>
      </c>
      <c r="N50" s="8" t="s">
        <v>26</v>
      </c>
      <c r="O50" s="8" t="s">
        <v>26</v>
      </c>
      <c r="P50" s="20" t="s">
        <v>26</v>
      </c>
      <c r="Q50" s="51">
        <f t="shared" si="5"/>
        <v>0</v>
      </c>
      <c r="R50" s="52" t="s">
        <v>26</v>
      </c>
      <c r="S50" s="20" t="s">
        <v>26</v>
      </c>
      <c r="T50" s="20" t="s">
        <v>26</v>
      </c>
      <c r="U50" s="20" t="s">
        <v>26</v>
      </c>
      <c r="V50" s="20" t="s">
        <v>26</v>
      </c>
      <c r="W50" s="20">
        <f t="shared" si="11"/>
        <v>0</v>
      </c>
      <c r="X50" s="19">
        <f t="shared" si="12"/>
        <v>0</v>
      </c>
      <c r="AA50" s="47" t="s">
        <v>74</v>
      </c>
      <c r="AB50" s="50">
        <f t="shared" ref="AB50:AB56" si="13">IFERROR((AB37*$AB$48)/$AB$49,0)</f>
        <v>2.8672</v>
      </c>
    </row>
    <row r="51" ht="15.75" customHeight="1">
      <c r="A51" s="8" t="s">
        <v>26</v>
      </c>
      <c r="B51" s="8" t="s">
        <v>26</v>
      </c>
      <c r="C51" s="8" t="s">
        <v>26</v>
      </c>
      <c r="D51" s="8" t="s">
        <v>26</v>
      </c>
      <c r="E51" s="8" t="s">
        <v>26</v>
      </c>
      <c r="F51" s="8" t="s">
        <v>26</v>
      </c>
      <c r="G51" s="8" t="s">
        <v>26</v>
      </c>
      <c r="H51" s="8" t="s">
        <v>26</v>
      </c>
      <c r="I51" s="8" t="s">
        <v>26</v>
      </c>
      <c r="J51" s="8" t="s">
        <v>26</v>
      </c>
      <c r="K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51">
        <f t="shared" si="5"/>
        <v>0</v>
      </c>
      <c r="R51" s="8" t="s">
        <v>26</v>
      </c>
      <c r="S51" s="8" t="s">
        <v>26</v>
      </c>
      <c r="T51" s="8" t="s">
        <v>26</v>
      </c>
      <c r="U51" s="8" t="s">
        <v>26</v>
      </c>
      <c r="V51" s="8" t="s">
        <v>26</v>
      </c>
      <c r="W51" s="8">
        <f t="shared" si="11"/>
        <v>0</v>
      </c>
      <c r="X51" s="19">
        <f t="shared" si="12"/>
        <v>0</v>
      </c>
      <c r="AA51" s="47" t="s">
        <v>75</v>
      </c>
      <c r="AB51" s="50">
        <f t="shared" si="13"/>
        <v>0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76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4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77</v>
      </c>
      <c r="AB54" s="50">
        <f t="shared" si="13"/>
        <v>11.86133333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53" t="s">
        <v>78</v>
      </c>
      <c r="AB55" s="54">
        <f t="shared" si="13"/>
        <v>0</v>
      </c>
    </row>
    <row r="56" ht="15.75" customHeight="1"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5" t="s">
        <v>84</v>
      </c>
      <c r="AB56" s="56">
        <f t="shared" si="13"/>
        <v>14.72853333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A59" s="31"/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Q60" s="15">
        <f t="shared" si="5"/>
        <v>0</v>
      </c>
      <c r="W60" s="22">
        <f t="shared" si="11"/>
        <v>0</v>
      </c>
      <c r="X60" s="19">
        <f t="shared" si="12"/>
        <v>0</v>
      </c>
    </row>
    <row r="61" ht="15.75" customHeight="1">
      <c r="A61" s="21"/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5">
    <mergeCell ref="AA14:AB14"/>
    <mergeCell ref="AA21:AB21"/>
    <mergeCell ref="AA27:AB27"/>
    <mergeCell ref="AA35:AB35"/>
    <mergeCell ref="AA47:AB47"/>
  </mergeCells>
  <dataValidations>
    <dataValidation type="list" allowBlank="1" showErrorMessage="1" sqref="AB5">
      <formula1>"Interior HP 2c walls,Interior Super Paint 2c walls,Interior Duration 2c walls"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236</v>
      </c>
      <c r="C2" s="10">
        <v>21.0</v>
      </c>
      <c r="D2" s="10">
        <v>16.0</v>
      </c>
      <c r="E2" s="10">
        <v>9.0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666</v>
      </c>
      <c r="N2" s="13">
        <f t="shared" ref="N2:N49" si="2">IF(H2,C2*D2,0)</f>
        <v>0</v>
      </c>
      <c r="O2" s="13">
        <f t="shared" ref="O2:O49" si="3">(C2+D2)*2</f>
        <v>74</v>
      </c>
      <c r="P2" s="14">
        <f t="shared" ref="P2:P49" si="4">M2*$AB$7</f>
        <v>799.2</v>
      </c>
      <c r="Q2" s="15">
        <f t="shared" ref="Q2:Q1000" si="5">IFERROR(P2*0.35,0)</f>
        <v>279.72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148</v>
      </c>
      <c r="V2" s="14">
        <f t="shared" ref="V2:V49" si="10">IF(J2,O2*$AB$11,0)</f>
        <v>0</v>
      </c>
      <c r="W2" s="14">
        <f t="shared" ref="W2:W1000" si="11">SUM(P2,R2:V2)</f>
        <v>947.2</v>
      </c>
      <c r="X2" s="16">
        <f t="shared" ref="X2:X1000" si="12">IFERROR((W2*$AB$49)/$AB$50,0)</f>
        <v>10.10346667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100</v>
      </c>
      <c r="C3" s="10">
        <v>5.0</v>
      </c>
      <c r="D3" s="10">
        <v>8.0</v>
      </c>
      <c r="E3" s="10">
        <v>8.0</v>
      </c>
      <c r="F3" s="11"/>
      <c r="G3" s="11" t="b">
        <v>0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0</v>
      </c>
      <c r="N3" s="13">
        <f t="shared" si="2"/>
        <v>0</v>
      </c>
      <c r="O3" s="13">
        <f t="shared" si="3"/>
        <v>26</v>
      </c>
      <c r="P3" s="14">
        <f t="shared" si="4"/>
        <v>0</v>
      </c>
      <c r="Q3" s="15">
        <f t="shared" si="5"/>
        <v>0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0</v>
      </c>
      <c r="X3" s="19">
        <f t="shared" si="12"/>
        <v>0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233</v>
      </c>
      <c r="C4" s="10">
        <v>24.0</v>
      </c>
      <c r="D4" s="10">
        <v>21.0</v>
      </c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90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/>
      <c r="C5" s="10"/>
      <c r="D5" s="10"/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0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666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74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1.902857143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0.0880952381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1.990952381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3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799.2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148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947.2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279.72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8.5248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1.578666667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10.10346667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190</v>
      </c>
      <c r="C2" s="10">
        <v>16.0</v>
      </c>
      <c r="D2" s="10">
        <v>7.0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368</v>
      </c>
      <c r="N2" s="13">
        <f t="shared" ref="N2:N49" si="2">IF(H2,C2*D2,0)</f>
        <v>0</v>
      </c>
      <c r="O2" s="13">
        <f t="shared" ref="O2:O49" si="3">(C2+D2)*2</f>
        <v>46</v>
      </c>
      <c r="P2" s="14">
        <f t="shared" ref="P2:P49" si="4">M2*$AB$7</f>
        <v>441.6</v>
      </c>
      <c r="Q2" s="15">
        <f t="shared" ref="Q2:Q1000" si="5">IFERROR(P2*0.35,0)</f>
        <v>154.56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92</v>
      </c>
      <c r="V2" s="14">
        <f t="shared" ref="V2:V49" si="10">IF(J2,O2*$AB$11,0)</f>
        <v>0</v>
      </c>
      <c r="W2" s="14">
        <f t="shared" ref="W2:W1000" si="11">SUM(P2,R2:V2)</f>
        <v>533.6</v>
      </c>
      <c r="X2" s="16">
        <f t="shared" ref="X2:X1000" si="12">IFERROR((W2*$AB$49)/$AB$50,0)</f>
        <v>5.691733333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156</v>
      </c>
      <c r="C3" s="10">
        <v>10.0</v>
      </c>
      <c r="D3" s="10">
        <v>6.0</v>
      </c>
      <c r="E3" s="10">
        <v>15.0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480</v>
      </c>
      <c r="N3" s="13">
        <f t="shared" si="2"/>
        <v>0</v>
      </c>
      <c r="O3" s="13">
        <f t="shared" si="3"/>
        <v>32</v>
      </c>
      <c r="P3" s="14">
        <f t="shared" si="4"/>
        <v>576</v>
      </c>
      <c r="Q3" s="15">
        <f t="shared" si="5"/>
        <v>201.6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64</v>
      </c>
      <c r="V3" s="14">
        <f t="shared" si="10"/>
        <v>0</v>
      </c>
      <c r="W3" s="14">
        <f t="shared" si="11"/>
        <v>640</v>
      </c>
      <c r="X3" s="19">
        <f t="shared" si="12"/>
        <v>6.826666667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47</v>
      </c>
      <c r="C4" s="10">
        <v>14.0</v>
      </c>
      <c r="D4" s="10">
        <v>13.0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432</v>
      </c>
      <c r="N4" s="13">
        <f t="shared" si="2"/>
        <v>0</v>
      </c>
      <c r="O4" s="13">
        <f t="shared" si="3"/>
        <v>54</v>
      </c>
      <c r="P4" s="14">
        <f t="shared" si="4"/>
        <v>518.4</v>
      </c>
      <c r="Q4" s="15">
        <f t="shared" si="5"/>
        <v>181.44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108</v>
      </c>
      <c r="V4" s="14">
        <f t="shared" si="10"/>
        <v>0</v>
      </c>
      <c r="W4" s="14">
        <f t="shared" si="11"/>
        <v>626.4</v>
      </c>
      <c r="X4" s="19">
        <f t="shared" si="12"/>
        <v>6.6816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100</v>
      </c>
      <c r="C5" s="10">
        <v>16.0</v>
      </c>
      <c r="D5" s="10">
        <v>14.0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480</v>
      </c>
      <c r="N5" s="13">
        <f t="shared" si="2"/>
        <v>0</v>
      </c>
      <c r="O5" s="13">
        <f t="shared" si="3"/>
        <v>60</v>
      </c>
      <c r="P5" s="14">
        <f t="shared" si="4"/>
        <v>576</v>
      </c>
      <c r="Q5" s="15">
        <f t="shared" si="5"/>
        <v>201.6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120</v>
      </c>
      <c r="V5" s="14">
        <f t="shared" si="10"/>
        <v>0</v>
      </c>
      <c r="W5" s="14">
        <f t="shared" si="11"/>
        <v>696</v>
      </c>
      <c r="X5" s="19">
        <f t="shared" si="12"/>
        <v>7.424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237</v>
      </c>
      <c r="C6" s="10">
        <v>13.0</v>
      </c>
      <c r="D6" s="10">
        <v>12.0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400</v>
      </c>
      <c r="N6" s="13">
        <f t="shared" si="2"/>
        <v>0</v>
      </c>
      <c r="O6" s="13">
        <f t="shared" si="3"/>
        <v>50</v>
      </c>
      <c r="P6" s="14">
        <f t="shared" si="4"/>
        <v>480</v>
      </c>
      <c r="Q6" s="15">
        <f t="shared" si="5"/>
        <v>168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100</v>
      </c>
      <c r="V6" s="14">
        <f t="shared" si="10"/>
        <v>0</v>
      </c>
      <c r="W6" s="14">
        <f t="shared" si="11"/>
        <v>580</v>
      </c>
      <c r="X6" s="19">
        <f t="shared" si="12"/>
        <v>6.186666667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148</v>
      </c>
      <c r="C7" s="11">
        <v>20.0</v>
      </c>
      <c r="D7" s="11">
        <v>5.0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400</v>
      </c>
      <c r="N7" s="13">
        <f t="shared" si="2"/>
        <v>0</v>
      </c>
      <c r="O7" s="13">
        <f t="shared" si="3"/>
        <v>50</v>
      </c>
      <c r="P7" s="14">
        <f t="shared" si="4"/>
        <v>480</v>
      </c>
      <c r="Q7" s="15">
        <f t="shared" si="5"/>
        <v>168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100</v>
      </c>
      <c r="V7" s="14">
        <f t="shared" si="10"/>
        <v>0</v>
      </c>
      <c r="W7" s="14">
        <f t="shared" si="11"/>
        <v>580</v>
      </c>
      <c r="X7" s="19">
        <f t="shared" si="12"/>
        <v>6.186666667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 t="s">
        <v>238</v>
      </c>
      <c r="C8" s="11">
        <v>12.0</v>
      </c>
      <c r="D8" s="11">
        <v>10.0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352</v>
      </c>
      <c r="N8" s="13">
        <f t="shared" si="2"/>
        <v>0</v>
      </c>
      <c r="O8" s="13">
        <f t="shared" si="3"/>
        <v>44</v>
      </c>
      <c r="P8" s="14">
        <f t="shared" si="4"/>
        <v>422.4</v>
      </c>
      <c r="Q8" s="15">
        <f t="shared" si="5"/>
        <v>147.84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88</v>
      </c>
      <c r="V8" s="14">
        <f t="shared" si="10"/>
        <v>0</v>
      </c>
      <c r="W8" s="14">
        <f t="shared" si="11"/>
        <v>510.4</v>
      </c>
      <c r="X8" s="19">
        <f t="shared" si="12"/>
        <v>5.444266667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 t="s">
        <v>203</v>
      </c>
      <c r="C9" s="11">
        <v>8.0</v>
      </c>
      <c r="D9" s="11">
        <v>6.0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224</v>
      </c>
      <c r="N9" s="13">
        <f t="shared" si="2"/>
        <v>0</v>
      </c>
      <c r="O9" s="13">
        <f t="shared" si="3"/>
        <v>28</v>
      </c>
      <c r="P9" s="14">
        <f t="shared" si="4"/>
        <v>268.8</v>
      </c>
      <c r="Q9" s="15">
        <f t="shared" si="5"/>
        <v>94.08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56</v>
      </c>
      <c r="V9" s="14">
        <f t="shared" si="10"/>
        <v>0</v>
      </c>
      <c r="W9" s="14">
        <f t="shared" si="11"/>
        <v>324.8</v>
      </c>
      <c r="X9" s="19">
        <f t="shared" si="12"/>
        <v>3.464533333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3136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364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8.96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0.4333333333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9.393333333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8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3763.2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728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4491.2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1317.12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40.1408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7.765333333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47.90613333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239</v>
      </c>
      <c r="C2" s="10">
        <v>12.0</v>
      </c>
      <c r="D2" s="10">
        <v>10.0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352</v>
      </c>
      <c r="N2" s="13">
        <f t="shared" ref="N2:N49" si="2">IF(H2,C2*D2,0)</f>
        <v>0</v>
      </c>
      <c r="O2" s="13">
        <f t="shared" ref="O2:O49" si="3">(C2+D2)*2</f>
        <v>44</v>
      </c>
      <c r="P2" s="14">
        <f t="shared" ref="P2:P49" si="4">M2*$AB$7</f>
        <v>422.4</v>
      </c>
      <c r="Q2" s="15">
        <f t="shared" ref="Q2:Q1000" si="5">IFERROR(P2*0.35,0)</f>
        <v>147.84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88</v>
      </c>
      <c r="V2" s="14">
        <f t="shared" ref="V2:V49" si="10">IF(J2,O2*$AB$11,0)</f>
        <v>0</v>
      </c>
      <c r="W2" s="14">
        <f t="shared" ref="W2:W1000" si="11">SUM(P2,R2:V2)</f>
        <v>510.4</v>
      </c>
      <c r="X2" s="16">
        <f t="shared" ref="X2:X1000" si="12">IFERROR((W2*$AB$49)/$AB$50,0)</f>
        <v>5.444266667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151</v>
      </c>
      <c r="C3" s="10">
        <v>25.0</v>
      </c>
      <c r="D3" s="10">
        <v>18.0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688</v>
      </c>
      <c r="N3" s="13">
        <f t="shared" si="2"/>
        <v>0</v>
      </c>
      <c r="O3" s="13">
        <f t="shared" si="3"/>
        <v>86</v>
      </c>
      <c r="P3" s="14">
        <f t="shared" si="4"/>
        <v>825.6</v>
      </c>
      <c r="Q3" s="15">
        <f t="shared" si="5"/>
        <v>288.96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172</v>
      </c>
      <c r="V3" s="14">
        <f t="shared" si="10"/>
        <v>0</v>
      </c>
      <c r="W3" s="14">
        <f t="shared" si="11"/>
        <v>997.6</v>
      </c>
      <c r="X3" s="19">
        <f t="shared" si="12"/>
        <v>10.64106667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240</v>
      </c>
      <c r="C4" s="10">
        <v>12.0</v>
      </c>
      <c r="D4" s="10">
        <v>5.0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272</v>
      </c>
      <c r="N4" s="13">
        <f t="shared" si="2"/>
        <v>0</v>
      </c>
      <c r="O4" s="13">
        <f t="shared" si="3"/>
        <v>34</v>
      </c>
      <c r="P4" s="14">
        <f t="shared" si="4"/>
        <v>326.4</v>
      </c>
      <c r="Q4" s="15">
        <f t="shared" si="5"/>
        <v>114.24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68</v>
      </c>
      <c r="V4" s="14">
        <f t="shared" si="10"/>
        <v>0</v>
      </c>
      <c r="W4" s="14">
        <f t="shared" si="11"/>
        <v>394.4</v>
      </c>
      <c r="X4" s="19">
        <f t="shared" si="12"/>
        <v>4.206933333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97</v>
      </c>
      <c r="C5" s="10">
        <v>25.0</v>
      </c>
      <c r="D5" s="10">
        <v>12.0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592</v>
      </c>
      <c r="N5" s="13">
        <f t="shared" si="2"/>
        <v>0</v>
      </c>
      <c r="O5" s="13">
        <f t="shared" si="3"/>
        <v>74</v>
      </c>
      <c r="P5" s="14">
        <f t="shared" si="4"/>
        <v>710.4</v>
      </c>
      <c r="Q5" s="15">
        <f t="shared" si="5"/>
        <v>248.64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148</v>
      </c>
      <c r="V5" s="14">
        <f t="shared" si="10"/>
        <v>0</v>
      </c>
      <c r="W5" s="14">
        <f t="shared" si="11"/>
        <v>858.4</v>
      </c>
      <c r="X5" s="19">
        <f t="shared" si="12"/>
        <v>9.156266667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1904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238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5.44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0.2833333333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5.723333333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4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2284.8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476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2760.8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799.68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24.3712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5.077333333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29.44853333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49</v>
      </c>
      <c r="C2" s="10">
        <v>6.0</v>
      </c>
      <c r="D2" s="10">
        <v>7.0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208</v>
      </c>
      <c r="N2" s="13">
        <f t="shared" ref="N2:N49" si="2">IF(H2,C2*D2,0)</f>
        <v>0</v>
      </c>
      <c r="O2" s="13">
        <f t="shared" ref="O2:O49" si="3">(C2+D2)*2</f>
        <v>26</v>
      </c>
      <c r="P2" s="14">
        <f t="shared" ref="P2:P49" si="4">M2*$AB$7</f>
        <v>249.6</v>
      </c>
      <c r="Q2" s="15">
        <f t="shared" ref="Q2:Q1000" si="5">IFERROR(P2*0.35,0)</f>
        <v>87.36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52</v>
      </c>
      <c r="V2" s="14">
        <f t="shared" ref="V2:V49" si="10">IF(J2,O2*$AB$11,0)</f>
        <v>0</v>
      </c>
      <c r="W2" s="14">
        <f t="shared" ref="W2:W1000" si="11">SUM(P2,R2:V2)</f>
        <v>301.6</v>
      </c>
      <c r="X2" s="16">
        <f t="shared" ref="X2:X1000" si="12">IFERROR((W2*$AB$49)/$AB$50,0)</f>
        <v>3.217066667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241</v>
      </c>
      <c r="C3" s="10">
        <v>8.0</v>
      </c>
      <c r="D3" s="10">
        <v>4.0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192</v>
      </c>
      <c r="N3" s="13">
        <f t="shared" si="2"/>
        <v>0</v>
      </c>
      <c r="O3" s="13">
        <f t="shared" si="3"/>
        <v>24</v>
      </c>
      <c r="P3" s="14">
        <f t="shared" si="4"/>
        <v>230.4</v>
      </c>
      <c r="Q3" s="15">
        <f t="shared" si="5"/>
        <v>80.64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230.4</v>
      </c>
      <c r="X3" s="19">
        <f t="shared" si="12"/>
        <v>2.4576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242</v>
      </c>
      <c r="C4" s="10">
        <v>17.0</v>
      </c>
      <c r="D4" s="10">
        <v>9.0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416</v>
      </c>
      <c r="N4" s="13">
        <f t="shared" si="2"/>
        <v>0</v>
      </c>
      <c r="O4" s="13">
        <f t="shared" si="3"/>
        <v>52</v>
      </c>
      <c r="P4" s="14">
        <f t="shared" si="4"/>
        <v>499.2</v>
      </c>
      <c r="Q4" s="15">
        <f t="shared" si="5"/>
        <v>174.72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499.2</v>
      </c>
      <c r="X4" s="19">
        <f t="shared" si="12"/>
        <v>5.3248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243</v>
      </c>
      <c r="C5" s="10">
        <v>10.0</v>
      </c>
      <c r="D5" s="10">
        <v>8.0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288</v>
      </c>
      <c r="N5" s="13">
        <f t="shared" si="2"/>
        <v>0</v>
      </c>
      <c r="O5" s="13">
        <f t="shared" si="3"/>
        <v>36</v>
      </c>
      <c r="P5" s="14">
        <f t="shared" si="4"/>
        <v>345.6</v>
      </c>
      <c r="Q5" s="15">
        <f t="shared" si="5"/>
        <v>120.96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345.6</v>
      </c>
      <c r="X5" s="19">
        <f t="shared" si="12"/>
        <v>3.6864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244</v>
      </c>
      <c r="C6" s="10">
        <v>8.0</v>
      </c>
      <c r="D6" s="10">
        <v>7.0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240</v>
      </c>
      <c r="N6" s="13">
        <f t="shared" si="2"/>
        <v>0</v>
      </c>
      <c r="O6" s="13">
        <f t="shared" si="3"/>
        <v>30</v>
      </c>
      <c r="P6" s="14">
        <f t="shared" si="4"/>
        <v>288</v>
      </c>
      <c r="Q6" s="15">
        <f t="shared" si="5"/>
        <v>100.8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288</v>
      </c>
      <c r="X6" s="19">
        <f t="shared" si="12"/>
        <v>3.072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245</v>
      </c>
      <c r="C7" s="11">
        <v>8.0</v>
      </c>
      <c r="D7" s="11">
        <v>9.0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272</v>
      </c>
      <c r="N7" s="13">
        <f t="shared" si="2"/>
        <v>0</v>
      </c>
      <c r="O7" s="13">
        <f t="shared" si="3"/>
        <v>34</v>
      </c>
      <c r="P7" s="14">
        <f t="shared" si="4"/>
        <v>326.4</v>
      </c>
      <c r="Q7" s="15">
        <f t="shared" si="5"/>
        <v>114.24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326.4</v>
      </c>
      <c r="X7" s="19">
        <f t="shared" si="12"/>
        <v>3.4816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 t="s">
        <v>97</v>
      </c>
      <c r="C8" s="11">
        <v>17.0</v>
      </c>
      <c r="D8" s="11">
        <v>6.0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368</v>
      </c>
      <c r="N8" s="13">
        <f t="shared" si="2"/>
        <v>0</v>
      </c>
      <c r="O8" s="13">
        <f t="shared" si="3"/>
        <v>46</v>
      </c>
      <c r="P8" s="14">
        <f t="shared" si="4"/>
        <v>441.6</v>
      </c>
      <c r="Q8" s="15">
        <f t="shared" si="5"/>
        <v>154.56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441.6</v>
      </c>
      <c r="X8" s="19">
        <f t="shared" si="12"/>
        <v>4.7104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 t="s">
        <v>246</v>
      </c>
      <c r="C9" s="11">
        <v>17.0</v>
      </c>
      <c r="D9" s="11">
        <v>6.0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368</v>
      </c>
      <c r="N9" s="13">
        <f t="shared" si="2"/>
        <v>0</v>
      </c>
      <c r="O9" s="13">
        <f t="shared" si="3"/>
        <v>46</v>
      </c>
      <c r="P9" s="14">
        <f t="shared" si="4"/>
        <v>441.6</v>
      </c>
      <c r="Q9" s="15">
        <f t="shared" si="5"/>
        <v>154.56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441.6</v>
      </c>
      <c r="X9" s="19">
        <f t="shared" si="12"/>
        <v>4.7104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2352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26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6.72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0.03095238095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6.750952381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8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2822.4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52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2874.4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987.84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30.1056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0.5546666667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30.66026667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188</v>
      </c>
      <c r="C2" s="10">
        <v>10.0</v>
      </c>
      <c r="D2" s="10">
        <v>10.0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320</v>
      </c>
      <c r="N2" s="13">
        <f t="shared" ref="N2:N49" si="2">IF(H2,C2*D2,0)</f>
        <v>0</v>
      </c>
      <c r="O2" s="13">
        <f t="shared" ref="O2:O49" si="3">(C2+D2)*2</f>
        <v>40</v>
      </c>
      <c r="P2" s="14">
        <f t="shared" ref="P2:P49" si="4">M2*$AB$7</f>
        <v>384</v>
      </c>
      <c r="Q2" s="15">
        <f t="shared" ref="Q2:Q1000" si="5">IFERROR(P2*0.35,0)</f>
        <v>134.4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80</v>
      </c>
      <c r="V2" s="14">
        <f t="shared" ref="V2:V49" si="10">IF(J2,O2*$AB$11,0)</f>
        <v>0</v>
      </c>
      <c r="W2" s="14">
        <f t="shared" ref="W2:W1000" si="11">SUM(P2,R2:V2)</f>
        <v>464</v>
      </c>
      <c r="X2" s="16">
        <f t="shared" ref="X2:X1000" si="12">IFERROR((W2*$AB$49)/$AB$50,0)</f>
        <v>4.949333333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146</v>
      </c>
      <c r="C3" s="10">
        <v>10.0</v>
      </c>
      <c r="D3" s="10">
        <v>10.0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320</v>
      </c>
      <c r="N3" s="13">
        <f t="shared" si="2"/>
        <v>0</v>
      </c>
      <c r="O3" s="13">
        <f t="shared" si="3"/>
        <v>40</v>
      </c>
      <c r="P3" s="14">
        <f t="shared" si="4"/>
        <v>384</v>
      </c>
      <c r="Q3" s="15">
        <f t="shared" si="5"/>
        <v>134.4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80</v>
      </c>
      <c r="V3" s="14">
        <f t="shared" si="10"/>
        <v>0</v>
      </c>
      <c r="W3" s="14">
        <f t="shared" si="11"/>
        <v>464</v>
      </c>
      <c r="X3" s="19">
        <f t="shared" si="12"/>
        <v>4.949333333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100</v>
      </c>
      <c r="C4" s="10">
        <v>14.0</v>
      </c>
      <c r="D4" s="10">
        <v>10.0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384</v>
      </c>
      <c r="N4" s="13">
        <f t="shared" si="2"/>
        <v>0</v>
      </c>
      <c r="O4" s="13">
        <f t="shared" si="3"/>
        <v>48</v>
      </c>
      <c r="P4" s="14">
        <f t="shared" si="4"/>
        <v>460.8</v>
      </c>
      <c r="Q4" s="15">
        <f t="shared" si="5"/>
        <v>161.28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96</v>
      </c>
      <c r="V4" s="14">
        <f t="shared" si="10"/>
        <v>0</v>
      </c>
      <c r="W4" s="14">
        <f t="shared" si="11"/>
        <v>556.8</v>
      </c>
      <c r="X4" s="19">
        <f t="shared" si="12"/>
        <v>5.9392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111</v>
      </c>
      <c r="C5" s="10">
        <v>5.0</v>
      </c>
      <c r="D5" s="10">
        <v>4.0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144</v>
      </c>
      <c r="N5" s="13">
        <f t="shared" si="2"/>
        <v>0</v>
      </c>
      <c r="O5" s="13">
        <f t="shared" si="3"/>
        <v>18</v>
      </c>
      <c r="P5" s="14">
        <f t="shared" si="4"/>
        <v>172.8</v>
      </c>
      <c r="Q5" s="15">
        <f t="shared" si="5"/>
        <v>60.48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36</v>
      </c>
      <c r="V5" s="14">
        <f t="shared" si="10"/>
        <v>0</v>
      </c>
      <c r="W5" s="14">
        <f t="shared" si="11"/>
        <v>208.8</v>
      </c>
      <c r="X5" s="19">
        <f t="shared" si="12"/>
        <v>2.2272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247</v>
      </c>
      <c r="C6" s="10">
        <v>18.0</v>
      </c>
      <c r="D6" s="10">
        <v>11.0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464</v>
      </c>
      <c r="N6" s="13">
        <f t="shared" si="2"/>
        <v>0</v>
      </c>
      <c r="O6" s="13">
        <f t="shared" si="3"/>
        <v>58</v>
      </c>
      <c r="P6" s="14">
        <f t="shared" si="4"/>
        <v>556.8</v>
      </c>
      <c r="Q6" s="15">
        <f t="shared" si="5"/>
        <v>194.88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116</v>
      </c>
      <c r="V6" s="14">
        <f t="shared" si="10"/>
        <v>0</v>
      </c>
      <c r="W6" s="14">
        <f t="shared" si="11"/>
        <v>672.8</v>
      </c>
      <c r="X6" s="19">
        <f t="shared" si="12"/>
        <v>7.176533333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248</v>
      </c>
      <c r="C7" s="11">
        <v>14.0</v>
      </c>
      <c r="D7" s="11">
        <v>10.0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384</v>
      </c>
      <c r="N7" s="13">
        <f t="shared" si="2"/>
        <v>0</v>
      </c>
      <c r="O7" s="13">
        <f t="shared" si="3"/>
        <v>48</v>
      </c>
      <c r="P7" s="14">
        <f t="shared" si="4"/>
        <v>460.8</v>
      </c>
      <c r="Q7" s="15">
        <f t="shared" si="5"/>
        <v>161.28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96</v>
      </c>
      <c r="V7" s="14">
        <f t="shared" si="10"/>
        <v>0</v>
      </c>
      <c r="W7" s="14">
        <f t="shared" si="11"/>
        <v>556.8</v>
      </c>
      <c r="X7" s="19">
        <f t="shared" si="12"/>
        <v>5.9392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 t="s">
        <v>248</v>
      </c>
      <c r="C8" s="11">
        <v>10.0</v>
      </c>
      <c r="D8" s="11">
        <v>9.0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304</v>
      </c>
      <c r="N8" s="13">
        <f t="shared" si="2"/>
        <v>0</v>
      </c>
      <c r="O8" s="13">
        <f t="shared" si="3"/>
        <v>38</v>
      </c>
      <c r="P8" s="14">
        <f t="shared" si="4"/>
        <v>364.8</v>
      </c>
      <c r="Q8" s="15">
        <f t="shared" si="5"/>
        <v>127.68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76</v>
      </c>
      <c r="V8" s="14">
        <f t="shared" si="10"/>
        <v>0</v>
      </c>
      <c r="W8" s="14">
        <f t="shared" si="11"/>
        <v>440.8</v>
      </c>
      <c r="X8" s="19">
        <f t="shared" si="12"/>
        <v>4.701866667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 t="s">
        <v>37</v>
      </c>
      <c r="C9" s="11">
        <v>4.0</v>
      </c>
      <c r="D9" s="11">
        <v>4.0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128</v>
      </c>
      <c r="N9" s="13">
        <f t="shared" si="2"/>
        <v>0</v>
      </c>
      <c r="O9" s="13">
        <f t="shared" si="3"/>
        <v>16</v>
      </c>
      <c r="P9" s="14">
        <f t="shared" si="4"/>
        <v>153.6</v>
      </c>
      <c r="Q9" s="15">
        <f t="shared" si="5"/>
        <v>53.76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32</v>
      </c>
      <c r="V9" s="14">
        <f t="shared" si="10"/>
        <v>0</v>
      </c>
      <c r="W9" s="14">
        <f t="shared" si="11"/>
        <v>185.6</v>
      </c>
      <c r="X9" s="19">
        <f t="shared" si="12"/>
        <v>1.979733333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2448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306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6.994285714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0.3642857143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7.358571429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8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2937.6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612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3549.6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1028.16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31.3344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6.528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37.8624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249</v>
      </c>
      <c r="C2" s="10">
        <v>14.0</v>
      </c>
      <c r="D2" s="10">
        <v>14.0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448</v>
      </c>
      <c r="N2" s="13">
        <f t="shared" ref="N2:N49" si="2">IF(H2,C2*D2,0)</f>
        <v>0</v>
      </c>
      <c r="O2" s="13">
        <f t="shared" ref="O2:O49" si="3">(C2+D2)*2</f>
        <v>56</v>
      </c>
      <c r="P2" s="14">
        <f t="shared" ref="P2:P49" si="4">M2*$AB$7</f>
        <v>537.6</v>
      </c>
      <c r="Q2" s="15">
        <f t="shared" ref="Q2:Q1000" si="5">IFERROR(P2*0.35,0)</f>
        <v>188.16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112</v>
      </c>
      <c r="V2" s="14">
        <f t="shared" ref="V2:V49" si="10">IF(J2,O2*$AB$11,0)</f>
        <v>0</v>
      </c>
      <c r="W2" s="14">
        <f t="shared" ref="W2:W1000" si="11">SUM(P2,R2:V2)</f>
        <v>649.6</v>
      </c>
      <c r="X2" s="16">
        <f t="shared" ref="X2:X1000" si="12">IFERROR((W2*$AB$49)/$AB$50,0)</f>
        <v>6.929066667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/>
      <c r="C3" s="10">
        <v>5.0</v>
      </c>
      <c r="D3" s="10">
        <v>8.0</v>
      </c>
      <c r="E3" s="10">
        <v>8.0</v>
      </c>
      <c r="F3" s="11"/>
      <c r="G3" s="11" t="b">
        <v>0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0</v>
      </c>
      <c r="N3" s="13">
        <f t="shared" si="2"/>
        <v>0</v>
      </c>
      <c r="O3" s="13">
        <f t="shared" si="3"/>
        <v>26</v>
      </c>
      <c r="P3" s="14">
        <f t="shared" si="4"/>
        <v>0</v>
      </c>
      <c r="Q3" s="15">
        <f t="shared" si="5"/>
        <v>0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52</v>
      </c>
      <c r="V3" s="14">
        <f t="shared" si="10"/>
        <v>0</v>
      </c>
      <c r="W3" s="14">
        <f t="shared" si="11"/>
        <v>52</v>
      </c>
      <c r="X3" s="19">
        <f t="shared" si="12"/>
        <v>0.5546666667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/>
      <c r="C4" s="10">
        <v>24.0</v>
      </c>
      <c r="D4" s="10"/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48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/>
      <c r="C5" s="10"/>
      <c r="D5" s="10"/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0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448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82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1.28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0.09761904762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1.377619048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3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537.6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164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701.6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188.16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5.7344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1.749333333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7.483733333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>
        <v>1.0</v>
      </c>
      <c r="C2" s="10">
        <v>28.0</v>
      </c>
      <c r="D2" s="10">
        <v>15.0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688</v>
      </c>
      <c r="N2" s="13">
        <f t="shared" ref="N2:N49" si="2">IF(H2,C2*D2,0)</f>
        <v>0</v>
      </c>
      <c r="O2" s="13">
        <f t="shared" ref="O2:O49" si="3">(C2+D2)*2</f>
        <v>86</v>
      </c>
      <c r="P2" s="14">
        <f t="shared" ref="P2:P49" si="4">M2*$AB$7</f>
        <v>688</v>
      </c>
      <c r="Q2" s="15">
        <f t="shared" ref="Q2:Q1000" si="5">IFERROR(P2*0.35,0)</f>
        <v>240.8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688</v>
      </c>
      <c r="X2" s="16">
        <f t="shared" ref="X2:X1000" si="12">IFERROR((W2*$AB$49)/$AB$50,0)</f>
        <v>7.338666667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>
        <v>2.0</v>
      </c>
      <c r="C3" s="10">
        <v>12.0</v>
      </c>
      <c r="D3" s="10">
        <v>9.0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336</v>
      </c>
      <c r="N3" s="13">
        <f t="shared" si="2"/>
        <v>0</v>
      </c>
      <c r="O3" s="13">
        <f t="shared" si="3"/>
        <v>42</v>
      </c>
      <c r="P3" s="14">
        <f t="shared" si="4"/>
        <v>336</v>
      </c>
      <c r="Q3" s="15">
        <f t="shared" si="5"/>
        <v>117.6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336</v>
      </c>
      <c r="X3" s="19">
        <f t="shared" si="12"/>
        <v>3.584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>
        <v>3.0</v>
      </c>
      <c r="C4" s="10">
        <v>10.0</v>
      </c>
      <c r="D4" s="10">
        <v>18.0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448</v>
      </c>
      <c r="N4" s="13">
        <f t="shared" si="2"/>
        <v>0</v>
      </c>
      <c r="O4" s="13">
        <f t="shared" si="3"/>
        <v>56</v>
      </c>
      <c r="P4" s="14">
        <f t="shared" si="4"/>
        <v>448</v>
      </c>
      <c r="Q4" s="15">
        <f t="shared" si="5"/>
        <v>156.8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448</v>
      </c>
      <c r="X4" s="19">
        <f t="shared" si="12"/>
        <v>4.778666667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>
        <v>4.0</v>
      </c>
      <c r="C5" s="10">
        <v>4.0</v>
      </c>
      <c r="D5" s="10">
        <v>6.0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160</v>
      </c>
      <c r="N5" s="13">
        <f t="shared" si="2"/>
        <v>0</v>
      </c>
      <c r="O5" s="13">
        <f t="shared" si="3"/>
        <v>20</v>
      </c>
      <c r="P5" s="14">
        <f t="shared" si="4"/>
        <v>160</v>
      </c>
      <c r="Q5" s="15">
        <f t="shared" si="5"/>
        <v>56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160</v>
      </c>
      <c r="X5" s="19">
        <f t="shared" si="12"/>
        <v>1.706666667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28</v>
      </c>
      <c r="AC6" s="20" t="s">
        <v>26</v>
      </c>
    </row>
    <row r="7" ht="15.75" customHeight="1">
      <c r="A7" s="21">
        <v>6.0</v>
      </c>
      <c r="B7" s="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1632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4.662857143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4.662857143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4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1632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1632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571.2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17.408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17.408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250</v>
      </c>
      <c r="C2" s="10">
        <v>7.0</v>
      </c>
      <c r="D2" s="10">
        <v>5.0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192</v>
      </c>
      <c r="N2" s="13">
        <f t="shared" ref="N2:N49" si="2">IF(H2,C2*D2,0)</f>
        <v>0</v>
      </c>
      <c r="O2" s="13">
        <f t="shared" ref="O2:O49" si="3">(C2+D2)*2</f>
        <v>24</v>
      </c>
      <c r="P2" s="14">
        <f t="shared" ref="P2:P49" si="4">M2*$AB$7</f>
        <v>230.4</v>
      </c>
      <c r="Q2" s="15">
        <f t="shared" ref="Q2:Q1000" si="5">IFERROR(P2*0.35,0)</f>
        <v>80.64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230.4</v>
      </c>
      <c r="X2" s="16">
        <f t="shared" ref="X2:X1000" si="12">IFERROR((W2*$AB$49)/$AB$50,0)</f>
        <v>2.4576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151</v>
      </c>
      <c r="C3" s="10">
        <v>20.0</v>
      </c>
      <c r="D3" s="10">
        <v>16.0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576</v>
      </c>
      <c r="N3" s="13">
        <f t="shared" si="2"/>
        <v>0</v>
      </c>
      <c r="O3" s="13">
        <f t="shared" si="3"/>
        <v>72</v>
      </c>
      <c r="P3" s="14">
        <f t="shared" si="4"/>
        <v>691.2</v>
      </c>
      <c r="Q3" s="15">
        <f t="shared" si="5"/>
        <v>241.92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691.2</v>
      </c>
      <c r="X3" s="19">
        <f t="shared" si="12"/>
        <v>7.3728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251</v>
      </c>
      <c r="C4" s="10">
        <v>10.0</v>
      </c>
      <c r="D4" s="10">
        <v>13.0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368</v>
      </c>
      <c r="N4" s="13">
        <f t="shared" si="2"/>
        <v>0</v>
      </c>
      <c r="O4" s="13">
        <f t="shared" si="3"/>
        <v>46</v>
      </c>
      <c r="P4" s="14">
        <f t="shared" si="4"/>
        <v>441.6</v>
      </c>
      <c r="Q4" s="15">
        <f t="shared" si="5"/>
        <v>154.56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441.6</v>
      </c>
      <c r="X4" s="19">
        <f t="shared" si="12"/>
        <v>4.7104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146</v>
      </c>
      <c r="C5" s="10">
        <v>10.0</v>
      </c>
      <c r="D5" s="10">
        <v>13.0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368</v>
      </c>
      <c r="N5" s="13">
        <f t="shared" si="2"/>
        <v>0</v>
      </c>
      <c r="O5" s="13">
        <f t="shared" si="3"/>
        <v>46</v>
      </c>
      <c r="P5" s="14">
        <f t="shared" si="4"/>
        <v>441.6</v>
      </c>
      <c r="Q5" s="15">
        <f t="shared" si="5"/>
        <v>154.56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441.6</v>
      </c>
      <c r="X5" s="19">
        <f t="shared" si="12"/>
        <v>4.7104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97</v>
      </c>
      <c r="C6" s="10">
        <v>15.0</v>
      </c>
      <c r="D6" s="10">
        <v>4.0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304</v>
      </c>
      <c r="N6" s="13">
        <f t="shared" si="2"/>
        <v>0</v>
      </c>
      <c r="O6" s="13">
        <f t="shared" si="3"/>
        <v>38</v>
      </c>
      <c r="P6" s="14">
        <f t="shared" si="4"/>
        <v>364.8</v>
      </c>
      <c r="Q6" s="15">
        <f t="shared" si="5"/>
        <v>127.68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364.8</v>
      </c>
      <c r="X6" s="19">
        <f t="shared" si="12"/>
        <v>3.8912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165</v>
      </c>
      <c r="C7" s="11">
        <v>9.0</v>
      </c>
      <c r="D7" s="11">
        <v>12.0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336</v>
      </c>
      <c r="N7" s="13">
        <f t="shared" si="2"/>
        <v>0</v>
      </c>
      <c r="O7" s="13">
        <f t="shared" si="3"/>
        <v>42</v>
      </c>
      <c r="P7" s="14">
        <f t="shared" si="4"/>
        <v>403.2</v>
      </c>
      <c r="Q7" s="15">
        <f t="shared" si="5"/>
        <v>141.12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403.2</v>
      </c>
      <c r="X7" s="19">
        <f t="shared" si="12"/>
        <v>4.3008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 t="s">
        <v>165</v>
      </c>
      <c r="C8" s="11">
        <v>9.0</v>
      </c>
      <c r="D8" s="11">
        <v>16.0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400</v>
      </c>
      <c r="N8" s="13">
        <f t="shared" si="2"/>
        <v>0</v>
      </c>
      <c r="O8" s="13">
        <f t="shared" si="3"/>
        <v>50</v>
      </c>
      <c r="P8" s="14">
        <f t="shared" si="4"/>
        <v>480</v>
      </c>
      <c r="Q8" s="15">
        <f t="shared" si="5"/>
        <v>168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480</v>
      </c>
      <c r="X8" s="19">
        <f t="shared" si="12"/>
        <v>5.12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 t="s">
        <v>165</v>
      </c>
      <c r="C9" s="11">
        <v>18.0</v>
      </c>
      <c r="D9" s="11">
        <v>12.0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480</v>
      </c>
      <c r="N9" s="13">
        <f t="shared" si="2"/>
        <v>0</v>
      </c>
      <c r="O9" s="13">
        <f t="shared" si="3"/>
        <v>60</v>
      </c>
      <c r="P9" s="14">
        <f t="shared" si="4"/>
        <v>576</v>
      </c>
      <c r="Q9" s="15">
        <f t="shared" si="5"/>
        <v>201.6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576</v>
      </c>
      <c r="X9" s="19">
        <f t="shared" si="12"/>
        <v>6.144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 t="s">
        <v>49</v>
      </c>
      <c r="C10" s="11">
        <v>6.0</v>
      </c>
      <c r="D10" s="11">
        <v>13.0</v>
      </c>
      <c r="E10" s="11">
        <v>8.0</v>
      </c>
      <c r="F10" s="21"/>
      <c r="G10" s="11" t="b">
        <v>1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304</v>
      </c>
      <c r="N10" s="13">
        <f t="shared" si="2"/>
        <v>0</v>
      </c>
      <c r="O10" s="13">
        <f t="shared" si="3"/>
        <v>38</v>
      </c>
      <c r="P10" s="14">
        <f t="shared" si="4"/>
        <v>364.8</v>
      </c>
      <c r="Q10" s="15">
        <f t="shared" si="5"/>
        <v>127.68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364.8</v>
      </c>
      <c r="X10" s="19">
        <f t="shared" si="12"/>
        <v>3.8912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3328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9.508571429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9.508571429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9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3993.6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3993.6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1397.76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42.5984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42.5984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252</v>
      </c>
      <c r="C2" s="10">
        <v>10.0</v>
      </c>
      <c r="D2" s="10">
        <v>14.0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384</v>
      </c>
      <c r="N2" s="13">
        <f t="shared" ref="N2:N49" si="2">IF(H2,C2*D2,0)</f>
        <v>0</v>
      </c>
      <c r="O2" s="13">
        <f t="shared" ref="O2:O49" si="3">(C2+D2)*2</f>
        <v>48</v>
      </c>
      <c r="P2" s="14">
        <f t="shared" ref="P2:P49" si="4">M2*$AB$7</f>
        <v>460.8</v>
      </c>
      <c r="Q2" s="15">
        <f t="shared" ref="Q2:Q1000" si="5">IFERROR(P2*0.35,0)</f>
        <v>161.28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460.8</v>
      </c>
      <c r="X2" s="16">
        <f t="shared" ref="X2:X1000" si="12">IFERROR((W2*$AB$49)/$AB$50,0)</f>
        <v>4.9152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253</v>
      </c>
      <c r="C3" s="10">
        <v>9.0</v>
      </c>
      <c r="D3" s="10">
        <v>12.0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336</v>
      </c>
      <c r="N3" s="13">
        <f t="shared" si="2"/>
        <v>0</v>
      </c>
      <c r="O3" s="13">
        <f t="shared" si="3"/>
        <v>42</v>
      </c>
      <c r="P3" s="14">
        <f t="shared" si="4"/>
        <v>403.2</v>
      </c>
      <c r="Q3" s="15">
        <f t="shared" si="5"/>
        <v>141.12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403.2</v>
      </c>
      <c r="X3" s="19">
        <f t="shared" si="12"/>
        <v>4.3008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/>
      <c r="C4" s="10"/>
      <c r="D4" s="10"/>
      <c r="E4" s="10">
        <v>8.0</v>
      </c>
      <c r="F4" s="11"/>
      <c r="G4" s="11" t="b">
        <v>0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0</v>
      </c>
      <c r="N4" s="13">
        <f t="shared" si="2"/>
        <v>0</v>
      </c>
      <c r="O4" s="13">
        <f t="shared" si="3"/>
        <v>0</v>
      </c>
      <c r="P4" s="14">
        <f t="shared" si="4"/>
        <v>0</v>
      </c>
      <c r="Q4" s="15">
        <f t="shared" si="5"/>
        <v>0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0</v>
      </c>
      <c r="X4" s="19">
        <f t="shared" si="12"/>
        <v>0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/>
      <c r="C5" s="10"/>
      <c r="D5" s="10"/>
      <c r="E5" s="10">
        <v>8.0</v>
      </c>
      <c r="F5" s="21"/>
      <c r="G5" s="11" t="b">
        <v>0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0</v>
      </c>
      <c r="N5" s="13">
        <f t="shared" si="2"/>
        <v>0</v>
      </c>
      <c r="O5" s="13">
        <f t="shared" si="3"/>
        <v>0</v>
      </c>
      <c r="P5" s="14">
        <f t="shared" si="4"/>
        <v>0</v>
      </c>
      <c r="Q5" s="15">
        <f t="shared" si="5"/>
        <v>0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0</v>
      </c>
      <c r="X5" s="19">
        <f t="shared" si="12"/>
        <v>0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/>
      <c r="C6" s="10"/>
      <c r="D6" s="10"/>
      <c r="E6" s="10">
        <v>8.0</v>
      </c>
      <c r="F6" s="21"/>
      <c r="G6" s="11" t="b">
        <v>0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0</v>
      </c>
      <c r="N6" s="13">
        <f t="shared" si="2"/>
        <v>0</v>
      </c>
      <c r="O6" s="13">
        <f t="shared" si="3"/>
        <v>0</v>
      </c>
      <c r="P6" s="14">
        <f t="shared" si="4"/>
        <v>0</v>
      </c>
      <c r="Q6" s="15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9">
        <f t="shared" si="12"/>
        <v>0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/>
      <c r="C7" s="11"/>
      <c r="D7" s="11"/>
      <c r="E7" s="11">
        <v>8.0</v>
      </c>
      <c r="F7" s="21"/>
      <c r="G7" s="11" t="b">
        <v>0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0</v>
      </c>
      <c r="N7" s="13">
        <f t="shared" si="2"/>
        <v>0</v>
      </c>
      <c r="O7" s="13">
        <f t="shared" si="3"/>
        <v>0</v>
      </c>
      <c r="P7" s="14">
        <f t="shared" si="4"/>
        <v>0</v>
      </c>
      <c r="Q7" s="15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9">
        <f t="shared" si="12"/>
        <v>0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/>
      <c r="C8" s="11"/>
      <c r="D8" s="11"/>
      <c r="E8" s="11"/>
      <c r="F8" s="21"/>
      <c r="G8" s="11" t="b">
        <v>0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0</v>
      </c>
      <c r="N8" s="13">
        <f t="shared" si="2"/>
        <v>0</v>
      </c>
      <c r="O8" s="13">
        <f t="shared" si="3"/>
        <v>0</v>
      </c>
      <c r="P8" s="14">
        <f t="shared" si="4"/>
        <v>0</v>
      </c>
      <c r="Q8" s="15">
        <f t="shared" si="5"/>
        <v>0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0</v>
      </c>
      <c r="X8" s="19">
        <f t="shared" si="12"/>
        <v>0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720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2.057142857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2.057142857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2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864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864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302.4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9.216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9.216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102</v>
      </c>
      <c r="C2" s="10">
        <v>11.0</v>
      </c>
      <c r="D2" s="10">
        <v>12.0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368</v>
      </c>
      <c r="N2" s="13">
        <f t="shared" ref="N2:N49" si="2">IF(H2,C2*D2,0)</f>
        <v>0</v>
      </c>
      <c r="O2" s="13">
        <f t="shared" ref="O2:O49" si="3">(C2+D2)*2</f>
        <v>46</v>
      </c>
      <c r="P2" s="14">
        <f t="shared" ref="P2:P49" si="4">M2*$AB$7</f>
        <v>441.6</v>
      </c>
      <c r="Q2" s="15">
        <f t="shared" ref="Q2:Q1000" si="5">IFERROR(P2*0.35,0)</f>
        <v>154.56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441.6</v>
      </c>
      <c r="X2" s="16">
        <f t="shared" ref="X2:X1000" si="12">IFERROR((W2*$AB$49)/$AB$50,0)</f>
        <v>4.7104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254</v>
      </c>
      <c r="C3" s="10">
        <v>9.0</v>
      </c>
      <c r="D3" s="10">
        <v>7.0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256</v>
      </c>
      <c r="N3" s="13">
        <f t="shared" si="2"/>
        <v>0</v>
      </c>
      <c r="O3" s="13">
        <f t="shared" si="3"/>
        <v>32</v>
      </c>
      <c r="P3" s="14">
        <f t="shared" si="4"/>
        <v>307.2</v>
      </c>
      <c r="Q3" s="15">
        <f t="shared" si="5"/>
        <v>107.52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307.2</v>
      </c>
      <c r="X3" s="19">
        <f t="shared" si="12"/>
        <v>3.2768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108</v>
      </c>
      <c r="C4" s="10">
        <v>11.0</v>
      </c>
      <c r="D4" s="10">
        <v>9.0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320</v>
      </c>
      <c r="N4" s="13">
        <f t="shared" si="2"/>
        <v>0</v>
      </c>
      <c r="O4" s="13">
        <f t="shared" si="3"/>
        <v>40</v>
      </c>
      <c r="P4" s="14">
        <f t="shared" si="4"/>
        <v>384</v>
      </c>
      <c r="Q4" s="15">
        <f t="shared" si="5"/>
        <v>134.4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384</v>
      </c>
      <c r="X4" s="19">
        <f t="shared" si="12"/>
        <v>4.096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255</v>
      </c>
      <c r="C5" s="10">
        <v>12.0</v>
      </c>
      <c r="D5" s="10">
        <v>11.0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368</v>
      </c>
      <c r="N5" s="13">
        <f t="shared" si="2"/>
        <v>0</v>
      </c>
      <c r="O5" s="13">
        <f t="shared" si="3"/>
        <v>46</v>
      </c>
      <c r="P5" s="14">
        <f t="shared" si="4"/>
        <v>441.6</v>
      </c>
      <c r="Q5" s="15">
        <f t="shared" si="5"/>
        <v>154.56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441.6</v>
      </c>
      <c r="X5" s="19">
        <f t="shared" si="12"/>
        <v>4.7104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256</v>
      </c>
      <c r="C6" s="10">
        <v>12.0</v>
      </c>
      <c r="D6" s="10">
        <v>15.0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432</v>
      </c>
      <c r="N6" s="13">
        <f t="shared" si="2"/>
        <v>0</v>
      </c>
      <c r="O6" s="13">
        <f t="shared" si="3"/>
        <v>54</v>
      </c>
      <c r="P6" s="14">
        <f t="shared" si="4"/>
        <v>518.4</v>
      </c>
      <c r="Q6" s="15">
        <f t="shared" si="5"/>
        <v>181.44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518.4</v>
      </c>
      <c r="X6" s="19">
        <f t="shared" si="12"/>
        <v>5.5296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105</v>
      </c>
      <c r="C7" s="11">
        <v>5.0</v>
      </c>
      <c r="D7" s="11">
        <v>8.0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208</v>
      </c>
      <c r="N7" s="13">
        <f t="shared" si="2"/>
        <v>0</v>
      </c>
      <c r="O7" s="13">
        <f t="shared" si="3"/>
        <v>26</v>
      </c>
      <c r="P7" s="14">
        <f t="shared" si="4"/>
        <v>249.6</v>
      </c>
      <c r="Q7" s="15">
        <f t="shared" si="5"/>
        <v>87.36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249.6</v>
      </c>
      <c r="X7" s="19">
        <f t="shared" si="12"/>
        <v>2.6624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 t="s">
        <v>257</v>
      </c>
      <c r="C8" s="11">
        <v>8.0</v>
      </c>
      <c r="D8" s="11">
        <v>5.0</v>
      </c>
      <c r="E8" s="11">
        <v>8.0</v>
      </c>
      <c r="F8" s="11">
        <v>4.0</v>
      </c>
      <c r="G8" s="11" t="b">
        <v>1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208</v>
      </c>
      <c r="N8" s="13">
        <f t="shared" si="2"/>
        <v>0</v>
      </c>
      <c r="O8" s="13">
        <f t="shared" si="3"/>
        <v>26</v>
      </c>
      <c r="P8" s="14">
        <f t="shared" si="4"/>
        <v>249.6</v>
      </c>
      <c r="Q8" s="15">
        <f t="shared" si="5"/>
        <v>87.36</v>
      </c>
      <c r="R8" s="14">
        <f t="shared" si="6"/>
        <v>0</v>
      </c>
      <c r="S8" s="14">
        <f t="shared" si="7"/>
        <v>0</v>
      </c>
      <c r="T8" s="14">
        <f t="shared" si="8"/>
        <v>360</v>
      </c>
      <c r="U8" s="14">
        <f t="shared" si="9"/>
        <v>0</v>
      </c>
      <c r="V8" s="14">
        <f t="shared" si="10"/>
        <v>0</v>
      </c>
      <c r="W8" s="14">
        <f t="shared" si="11"/>
        <v>609.6</v>
      </c>
      <c r="X8" s="19">
        <f t="shared" si="12"/>
        <v>6.5024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/>
      <c r="C9" s="11"/>
      <c r="D9" s="11"/>
      <c r="E9" s="11"/>
      <c r="F9" s="21"/>
      <c r="G9" s="11" t="b">
        <v>0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0</v>
      </c>
      <c r="N9" s="13">
        <f t="shared" si="2"/>
        <v>0</v>
      </c>
      <c r="O9" s="13">
        <f t="shared" si="3"/>
        <v>0</v>
      </c>
      <c r="P9" s="14">
        <f t="shared" si="4"/>
        <v>0</v>
      </c>
      <c r="Q9" s="15">
        <f t="shared" si="5"/>
        <v>0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0</v>
      </c>
      <c r="X9" s="19">
        <f t="shared" si="12"/>
        <v>0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/>
      <c r="C10" s="11"/>
      <c r="D10" s="11"/>
      <c r="E10" s="11"/>
      <c r="F10" s="21"/>
      <c r="G10" s="11" t="b">
        <v>0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0</v>
      </c>
      <c r="N10" s="13">
        <f t="shared" si="2"/>
        <v>0</v>
      </c>
      <c r="O10" s="13">
        <f t="shared" si="3"/>
        <v>0</v>
      </c>
      <c r="P10" s="14">
        <f t="shared" si="4"/>
        <v>0</v>
      </c>
      <c r="Q10" s="15">
        <f t="shared" si="5"/>
        <v>0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0</v>
      </c>
      <c r="X10" s="19">
        <f t="shared" si="12"/>
        <v>0</v>
      </c>
      <c r="AA10" s="8" t="s">
        <v>42</v>
      </c>
      <c r="AB10" s="8">
        <v>2.0</v>
      </c>
    </row>
    <row r="11" ht="15.75" customHeight="1">
      <c r="A11" s="21">
        <v>10.0</v>
      </c>
      <c r="B11" s="11"/>
      <c r="C11" s="11"/>
      <c r="D11" s="11"/>
      <c r="E11" s="11"/>
      <c r="F11" s="21"/>
      <c r="G11" s="11" t="b">
        <v>0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0</v>
      </c>
      <c r="N11" s="13">
        <f t="shared" si="2"/>
        <v>0</v>
      </c>
      <c r="O11" s="13">
        <f t="shared" si="3"/>
        <v>0</v>
      </c>
      <c r="P11" s="14">
        <f t="shared" si="4"/>
        <v>0</v>
      </c>
      <c r="Q11" s="15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9">
        <f t="shared" si="12"/>
        <v>0</v>
      </c>
      <c r="AA11" s="8" t="s">
        <v>44</v>
      </c>
      <c r="AB11" s="3">
        <v>1.1</v>
      </c>
    </row>
    <row r="12" ht="15.75" customHeight="1">
      <c r="A12" s="21">
        <v>11.0</v>
      </c>
      <c r="B12" s="11"/>
      <c r="C12" s="11"/>
      <c r="D12" s="11"/>
      <c r="E12" s="11"/>
      <c r="F12" s="21"/>
      <c r="G12" s="11" t="b">
        <v>0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0</v>
      </c>
      <c r="N12" s="13">
        <f t="shared" si="2"/>
        <v>0</v>
      </c>
      <c r="O12" s="13">
        <f t="shared" si="3"/>
        <v>0</v>
      </c>
      <c r="P12" s="14">
        <f t="shared" si="4"/>
        <v>0</v>
      </c>
      <c r="Q12" s="15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9">
        <f t="shared" si="12"/>
        <v>0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2160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4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6.171428571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0.4571428571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6.628571429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7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2592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360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2952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907.2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27.648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3.84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31.488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49</v>
      </c>
      <c r="C2" s="10">
        <v>7.0</v>
      </c>
      <c r="D2" s="10">
        <v>3.0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1</v>
      </c>
      <c r="L2" s="8">
        <v>1.0</v>
      </c>
      <c r="M2" s="13">
        <f t="shared" ref="M2:M49" si="1">IF(G2,(C2*E2*2)+(D2*E2*2),0)</f>
        <v>160</v>
      </c>
      <c r="N2" s="13">
        <f t="shared" ref="N2:N49" si="2">IF(H2,C2*D2,0)</f>
        <v>0</v>
      </c>
      <c r="O2" s="13">
        <f t="shared" ref="O2:O49" si="3">(C2+D2)*2</f>
        <v>20</v>
      </c>
      <c r="P2" s="14">
        <f t="shared" ref="P2:P49" si="4">M2*$AB$7</f>
        <v>192</v>
      </c>
      <c r="Q2" s="15">
        <f t="shared" ref="Q2:Q1000" si="5">IFERROR(P2*0.35,0)</f>
        <v>67.2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40</v>
      </c>
      <c r="V2" s="14">
        <f t="shared" ref="V2:V49" si="10">IF(J2,O2*$AB$11,0)</f>
        <v>0</v>
      </c>
      <c r="W2" s="14">
        <f t="shared" ref="W2:W1000" si="11">SUM(P2,R2:V2)</f>
        <v>232</v>
      </c>
      <c r="X2" s="16">
        <f t="shared" ref="X2:X1000" si="12">IFERROR((W2*$AB$49)/$AB$50,0)</f>
        <v>2.474666667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29</v>
      </c>
      <c r="C3" s="10">
        <v>13.0</v>
      </c>
      <c r="D3" s="10">
        <v>7.0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1</v>
      </c>
      <c r="L3" s="8">
        <v>1.0</v>
      </c>
      <c r="M3" s="13">
        <f t="shared" si="1"/>
        <v>320</v>
      </c>
      <c r="N3" s="13">
        <f t="shared" si="2"/>
        <v>0</v>
      </c>
      <c r="O3" s="13">
        <f t="shared" si="3"/>
        <v>40</v>
      </c>
      <c r="P3" s="14">
        <f t="shared" si="4"/>
        <v>384</v>
      </c>
      <c r="Q3" s="15">
        <f t="shared" si="5"/>
        <v>134.4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80</v>
      </c>
      <c r="V3" s="14">
        <f t="shared" si="10"/>
        <v>0</v>
      </c>
      <c r="W3" s="14">
        <f t="shared" si="11"/>
        <v>464</v>
      </c>
      <c r="X3" s="19">
        <f t="shared" si="12"/>
        <v>4.949333333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47</v>
      </c>
      <c r="C4" s="10">
        <v>15.0</v>
      </c>
      <c r="D4" s="10">
        <v>9.0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1</v>
      </c>
      <c r="L4" s="8">
        <v>1.0</v>
      </c>
      <c r="M4" s="13">
        <f t="shared" si="1"/>
        <v>384</v>
      </c>
      <c r="N4" s="13">
        <f t="shared" si="2"/>
        <v>0</v>
      </c>
      <c r="O4" s="13">
        <f t="shared" si="3"/>
        <v>48</v>
      </c>
      <c r="P4" s="14">
        <f t="shared" si="4"/>
        <v>460.8</v>
      </c>
      <c r="Q4" s="15">
        <f t="shared" si="5"/>
        <v>161.28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96</v>
      </c>
      <c r="V4" s="14">
        <f t="shared" si="10"/>
        <v>0</v>
      </c>
      <c r="W4" s="14">
        <f t="shared" si="11"/>
        <v>556.8</v>
      </c>
      <c r="X4" s="19">
        <f t="shared" si="12"/>
        <v>5.9392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258</v>
      </c>
      <c r="C5" s="10">
        <v>5.0</v>
      </c>
      <c r="D5" s="10">
        <v>9.0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1</v>
      </c>
      <c r="L5" s="8">
        <v>1.0</v>
      </c>
      <c r="M5" s="13">
        <f t="shared" si="1"/>
        <v>224</v>
      </c>
      <c r="N5" s="13">
        <f t="shared" si="2"/>
        <v>0</v>
      </c>
      <c r="O5" s="13">
        <f t="shared" si="3"/>
        <v>28</v>
      </c>
      <c r="P5" s="14">
        <f t="shared" si="4"/>
        <v>268.8</v>
      </c>
      <c r="Q5" s="15">
        <f t="shared" si="5"/>
        <v>94.08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56</v>
      </c>
      <c r="V5" s="14">
        <f t="shared" si="10"/>
        <v>0</v>
      </c>
      <c r="W5" s="14">
        <f t="shared" si="11"/>
        <v>324.8</v>
      </c>
      <c r="X5" s="19">
        <f t="shared" si="12"/>
        <v>3.464533333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151</v>
      </c>
      <c r="C6" s="10">
        <v>16.0</v>
      </c>
      <c r="D6" s="10">
        <v>11.0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1</v>
      </c>
      <c r="L6" s="8">
        <v>1.0</v>
      </c>
      <c r="M6" s="13">
        <f t="shared" si="1"/>
        <v>432</v>
      </c>
      <c r="N6" s="13">
        <f t="shared" si="2"/>
        <v>0</v>
      </c>
      <c r="O6" s="13">
        <f t="shared" si="3"/>
        <v>54</v>
      </c>
      <c r="P6" s="14">
        <f t="shared" si="4"/>
        <v>518.4</v>
      </c>
      <c r="Q6" s="15">
        <f t="shared" si="5"/>
        <v>181.44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108</v>
      </c>
      <c r="V6" s="14">
        <f t="shared" si="10"/>
        <v>0</v>
      </c>
      <c r="W6" s="14">
        <f t="shared" si="11"/>
        <v>626.4</v>
      </c>
      <c r="X6" s="19">
        <f t="shared" si="12"/>
        <v>6.6816</v>
      </c>
      <c r="AA6" s="8" t="s">
        <v>34</v>
      </c>
      <c r="AB6" s="3" t="s">
        <v>31</v>
      </c>
      <c r="AC6" s="20" t="s">
        <v>26</v>
      </c>
    </row>
    <row r="7" ht="15.75" customHeight="1">
      <c r="A7" s="21">
        <v>6.0</v>
      </c>
      <c r="B7" s="9" t="s">
        <v>33</v>
      </c>
      <c r="C7" s="11">
        <v>10.0</v>
      </c>
      <c r="D7" s="11">
        <v>9.0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1</v>
      </c>
      <c r="L7" s="8">
        <v>1.0</v>
      </c>
      <c r="M7" s="13">
        <f t="shared" si="1"/>
        <v>304</v>
      </c>
      <c r="N7" s="13">
        <f t="shared" si="2"/>
        <v>0</v>
      </c>
      <c r="O7" s="13">
        <f t="shared" si="3"/>
        <v>38</v>
      </c>
      <c r="P7" s="14">
        <f t="shared" si="4"/>
        <v>364.8</v>
      </c>
      <c r="Q7" s="15">
        <f t="shared" si="5"/>
        <v>127.68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76</v>
      </c>
      <c r="V7" s="14">
        <f t="shared" si="10"/>
        <v>0</v>
      </c>
      <c r="W7" s="14">
        <f t="shared" si="11"/>
        <v>440.8</v>
      </c>
      <c r="X7" s="19">
        <f t="shared" si="12"/>
        <v>4.701866667</v>
      </c>
      <c r="AA7" s="8" t="s">
        <v>36</v>
      </c>
      <c r="AB7" s="22">
        <f>IFERROR(VLOOKUP(AB6,AA2:AB4,2,FALSE),0)</f>
        <v>1.2</v>
      </c>
      <c r="AC7" s="20" t="s">
        <v>26</v>
      </c>
    </row>
    <row r="8" ht="15.75" customHeight="1">
      <c r="A8" s="21">
        <v>7.0</v>
      </c>
      <c r="B8" s="11" t="s">
        <v>236</v>
      </c>
      <c r="C8" s="11">
        <v>11.0</v>
      </c>
      <c r="D8" s="11">
        <v>10.0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1</v>
      </c>
      <c r="L8" s="8">
        <v>1.0</v>
      </c>
      <c r="M8" s="13">
        <f t="shared" si="1"/>
        <v>336</v>
      </c>
      <c r="N8" s="13">
        <f t="shared" si="2"/>
        <v>0</v>
      </c>
      <c r="O8" s="13">
        <f t="shared" si="3"/>
        <v>42</v>
      </c>
      <c r="P8" s="14">
        <f t="shared" si="4"/>
        <v>403.2</v>
      </c>
      <c r="Q8" s="15">
        <f t="shared" si="5"/>
        <v>141.12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84</v>
      </c>
      <c r="V8" s="14">
        <f t="shared" si="10"/>
        <v>0</v>
      </c>
      <c r="W8" s="14">
        <f t="shared" si="11"/>
        <v>487.2</v>
      </c>
      <c r="X8" s="19">
        <f t="shared" si="12"/>
        <v>5.1968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 t="s">
        <v>236</v>
      </c>
      <c r="C9" s="11">
        <v>13.0</v>
      </c>
      <c r="D9" s="11">
        <v>10.0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1</v>
      </c>
      <c r="L9" s="8">
        <v>1.0</v>
      </c>
      <c r="M9" s="13">
        <f t="shared" si="1"/>
        <v>368</v>
      </c>
      <c r="N9" s="13">
        <f t="shared" si="2"/>
        <v>0</v>
      </c>
      <c r="O9" s="13">
        <f t="shared" si="3"/>
        <v>46</v>
      </c>
      <c r="P9" s="14">
        <f t="shared" si="4"/>
        <v>441.6</v>
      </c>
      <c r="Q9" s="15">
        <f t="shared" si="5"/>
        <v>154.56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92</v>
      </c>
      <c r="V9" s="14">
        <f t="shared" si="10"/>
        <v>0</v>
      </c>
      <c r="W9" s="14">
        <f t="shared" si="11"/>
        <v>533.6</v>
      </c>
      <c r="X9" s="19">
        <f t="shared" si="12"/>
        <v>5.691733333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 t="s">
        <v>165</v>
      </c>
      <c r="C10" s="11">
        <v>16.0</v>
      </c>
      <c r="D10" s="11">
        <v>11.0</v>
      </c>
      <c r="E10" s="11">
        <v>8.0</v>
      </c>
      <c r="F10" s="21"/>
      <c r="G10" s="11" t="b">
        <v>1</v>
      </c>
      <c r="H10" s="12" t="b">
        <v>0</v>
      </c>
      <c r="I10" s="8" t="b">
        <v>0</v>
      </c>
      <c r="J10" s="3" t="b">
        <v>0</v>
      </c>
      <c r="K10" s="3" t="b">
        <v>1</v>
      </c>
      <c r="L10" s="8">
        <v>1.0</v>
      </c>
      <c r="M10" s="13">
        <f t="shared" si="1"/>
        <v>432</v>
      </c>
      <c r="N10" s="13">
        <f t="shared" si="2"/>
        <v>0</v>
      </c>
      <c r="O10" s="13">
        <f t="shared" si="3"/>
        <v>54</v>
      </c>
      <c r="P10" s="14">
        <f t="shared" si="4"/>
        <v>518.4</v>
      </c>
      <c r="Q10" s="15">
        <f t="shared" si="5"/>
        <v>181.44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108</v>
      </c>
      <c r="V10" s="14">
        <f t="shared" si="10"/>
        <v>0</v>
      </c>
      <c r="W10" s="14">
        <f t="shared" si="11"/>
        <v>626.4</v>
      </c>
      <c r="X10" s="19">
        <f t="shared" si="12"/>
        <v>6.6816</v>
      </c>
      <c r="AA10" s="8" t="s">
        <v>42</v>
      </c>
      <c r="AB10" s="8">
        <v>2.0</v>
      </c>
    </row>
    <row r="11" ht="15.75" customHeight="1">
      <c r="A11" s="21">
        <v>10.0</v>
      </c>
      <c r="B11" s="11" t="s">
        <v>90</v>
      </c>
      <c r="C11" s="11">
        <v>10.0</v>
      </c>
      <c r="D11" s="11">
        <v>9.0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1</v>
      </c>
      <c r="L11" s="8">
        <v>1.0</v>
      </c>
      <c r="M11" s="13">
        <f t="shared" si="1"/>
        <v>304</v>
      </c>
      <c r="N11" s="13">
        <f t="shared" si="2"/>
        <v>0</v>
      </c>
      <c r="O11" s="13">
        <f t="shared" si="3"/>
        <v>38</v>
      </c>
      <c r="P11" s="14">
        <f t="shared" si="4"/>
        <v>364.8</v>
      </c>
      <c r="Q11" s="15">
        <f t="shared" si="5"/>
        <v>127.68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76</v>
      </c>
      <c r="V11" s="14">
        <f t="shared" si="10"/>
        <v>0</v>
      </c>
      <c r="W11" s="14">
        <f t="shared" si="11"/>
        <v>440.8</v>
      </c>
      <c r="X11" s="19">
        <f t="shared" si="12"/>
        <v>4.701866667</v>
      </c>
      <c r="AA11" s="8" t="s">
        <v>44</v>
      </c>
      <c r="AB11" s="3">
        <v>1.1</v>
      </c>
    </row>
    <row r="12" ht="15.75" customHeight="1">
      <c r="A12" s="21">
        <v>11.0</v>
      </c>
      <c r="B12" s="11" t="s">
        <v>259</v>
      </c>
      <c r="C12" s="11">
        <v>7.0</v>
      </c>
      <c r="D12" s="11">
        <v>9.0</v>
      </c>
      <c r="E12" s="11">
        <v>8.0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1</v>
      </c>
      <c r="L12" s="8">
        <v>1.0</v>
      </c>
      <c r="M12" s="13">
        <f t="shared" si="1"/>
        <v>256</v>
      </c>
      <c r="N12" s="13">
        <f t="shared" si="2"/>
        <v>0</v>
      </c>
      <c r="O12" s="13">
        <f t="shared" si="3"/>
        <v>32</v>
      </c>
      <c r="P12" s="14">
        <f t="shared" si="4"/>
        <v>307.2</v>
      </c>
      <c r="Q12" s="15">
        <f t="shared" si="5"/>
        <v>107.52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64</v>
      </c>
      <c r="V12" s="14">
        <f t="shared" si="10"/>
        <v>0</v>
      </c>
      <c r="W12" s="14">
        <f t="shared" si="11"/>
        <v>371.2</v>
      </c>
      <c r="X12" s="19">
        <f t="shared" si="12"/>
        <v>3.959466667</v>
      </c>
      <c r="AA12" s="8" t="s">
        <v>46</v>
      </c>
      <c r="AB12" s="3">
        <v>8.0</v>
      </c>
    </row>
    <row r="13" ht="21.0" customHeight="1">
      <c r="A13" s="21">
        <v>12.0</v>
      </c>
      <c r="B13" s="11" t="s">
        <v>260</v>
      </c>
      <c r="C13" s="11">
        <v>4.0</v>
      </c>
      <c r="D13" s="11">
        <v>5.0</v>
      </c>
      <c r="E13" s="11">
        <v>8.0</v>
      </c>
      <c r="F13" s="21"/>
      <c r="G13" s="11" t="b">
        <v>1</v>
      </c>
      <c r="H13" s="12" t="b">
        <v>0</v>
      </c>
      <c r="I13" s="8" t="b">
        <v>0</v>
      </c>
      <c r="J13" s="3" t="b">
        <v>0</v>
      </c>
      <c r="K13" s="3" t="b">
        <v>1</v>
      </c>
      <c r="L13" s="8">
        <v>1.0</v>
      </c>
      <c r="M13" s="13">
        <f t="shared" si="1"/>
        <v>144</v>
      </c>
      <c r="N13" s="13">
        <f t="shared" si="2"/>
        <v>0</v>
      </c>
      <c r="O13" s="13">
        <f t="shared" si="3"/>
        <v>18</v>
      </c>
      <c r="P13" s="14">
        <f t="shared" si="4"/>
        <v>172.8</v>
      </c>
      <c r="Q13" s="15">
        <f t="shared" si="5"/>
        <v>60.48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36</v>
      </c>
      <c r="V13" s="14">
        <f t="shared" si="10"/>
        <v>0</v>
      </c>
      <c r="W13" s="14">
        <f t="shared" si="11"/>
        <v>208.8</v>
      </c>
      <c r="X13" s="19">
        <f t="shared" si="12"/>
        <v>2.2272</v>
      </c>
      <c r="AA13" s="3" t="s">
        <v>211</v>
      </c>
      <c r="AB13" s="3">
        <v>185.0</v>
      </c>
    </row>
    <row r="14" ht="15.75" customHeight="1">
      <c r="A14" s="21">
        <v>13.0</v>
      </c>
      <c r="B14" s="11" t="s">
        <v>163</v>
      </c>
      <c r="C14" s="11">
        <v>12.0</v>
      </c>
      <c r="D14" s="11">
        <v>8.0</v>
      </c>
      <c r="E14" s="11">
        <v>8.0</v>
      </c>
      <c r="F14" s="21"/>
      <c r="G14" s="11" t="b">
        <v>1</v>
      </c>
      <c r="H14" s="12" t="b">
        <v>0</v>
      </c>
      <c r="I14" s="8" t="b">
        <v>0</v>
      </c>
      <c r="J14" s="3" t="b">
        <v>0</v>
      </c>
      <c r="K14" s="3" t="b">
        <v>1</v>
      </c>
      <c r="L14" s="8">
        <v>1.0</v>
      </c>
      <c r="M14" s="13">
        <f t="shared" si="1"/>
        <v>320</v>
      </c>
      <c r="N14" s="13">
        <f t="shared" si="2"/>
        <v>0</v>
      </c>
      <c r="O14" s="13">
        <f t="shared" si="3"/>
        <v>40</v>
      </c>
      <c r="P14" s="14">
        <f t="shared" si="4"/>
        <v>384</v>
      </c>
      <c r="Q14" s="15">
        <f t="shared" si="5"/>
        <v>134.4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80</v>
      </c>
      <c r="V14" s="14">
        <f t="shared" si="10"/>
        <v>0</v>
      </c>
      <c r="W14" s="14">
        <f t="shared" si="11"/>
        <v>464</v>
      </c>
      <c r="X14" s="19">
        <f t="shared" si="12"/>
        <v>4.949333333</v>
      </c>
    </row>
    <row r="15" ht="15.75" customHeight="1">
      <c r="A15" s="21">
        <v>14.0</v>
      </c>
      <c r="B15" s="11" t="s">
        <v>261</v>
      </c>
      <c r="C15" s="11">
        <v>7.0</v>
      </c>
      <c r="D15" s="11">
        <v>11.0</v>
      </c>
      <c r="E15" s="11">
        <v>8.0</v>
      </c>
      <c r="F15" s="21"/>
      <c r="G15" s="11" t="b">
        <v>1</v>
      </c>
      <c r="H15" s="12" t="b">
        <v>0</v>
      </c>
      <c r="I15" s="8" t="b">
        <v>0</v>
      </c>
      <c r="J15" s="3" t="b">
        <v>0</v>
      </c>
      <c r="K15" s="3" t="b">
        <v>1</v>
      </c>
      <c r="L15" s="8">
        <v>1.0</v>
      </c>
      <c r="M15" s="13">
        <f t="shared" si="1"/>
        <v>288</v>
      </c>
      <c r="N15" s="13">
        <f t="shared" si="2"/>
        <v>0</v>
      </c>
      <c r="O15" s="13">
        <f t="shared" si="3"/>
        <v>36</v>
      </c>
      <c r="P15" s="14">
        <f t="shared" si="4"/>
        <v>345.6</v>
      </c>
      <c r="Q15" s="15">
        <f t="shared" si="5"/>
        <v>120.96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72</v>
      </c>
      <c r="V15" s="14">
        <f t="shared" si="10"/>
        <v>0</v>
      </c>
      <c r="W15" s="14">
        <f t="shared" si="11"/>
        <v>417.6</v>
      </c>
      <c r="X15" s="19">
        <f t="shared" si="12"/>
        <v>4.4544</v>
      </c>
      <c r="AA15" s="25" t="s">
        <v>51</v>
      </c>
      <c r="AB15" s="26"/>
    </row>
    <row r="16" ht="15.75" customHeight="1">
      <c r="A16" s="21">
        <v>15.0</v>
      </c>
      <c r="B16" s="11" t="s">
        <v>262</v>
      </c>
      <c r="C16" s="11">
        <v>19.0</v>
      </c>
      <c r="D16" s="11">
        <v>19.0</v>
      </c>
      <c r="E16" s="11">
        <v>8.0</v>
      </c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1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76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152</v>
      </c>
      <c r="V16" s="14">
        <f t="shared" si="10"/>
        <v>0</v>
      </c>
      <c r="W16" s="14">
        <f t="shared" si="11"/>
        <v>152</v>
      </c>
      <c r="X16" s="19">
        <f t="shared" si="12"/>
        <v>1.621333333</v>
      </c>
      <c r="AA16" s="28" t="s">
        <v>52</v>
      </c>
      <c r="AB16" s="29">
        <f>SUM(M2:M1000)</f>
        <v>4272</v>
      </c>
    </row>
    <row r="17" ht="15.75" customHeight="1">
      <c r="A17" s="21">
        <v>16.0</v>
      </c>
      <c r="B17" s="11" t="s">
        <v>263</v>
      </c>
      <c r="C17" s="11">
        <v>3.0</v>
      </c>
      <c r="D17" s="11">
        <v>8.0</v>
      </c>
      <c r="E17" s="11">
        <v>8.0</v>
      </c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1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22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44</v>
      </c>
      <c r="V17" s="14">
        <f t="shared" si="10"/>
        <v>0</v>
      </c>
      <c r="W17" s="14">
        <f t="shared" si="11"/>
        <v>44</v>
      </c>
      <c r="X17" s="19">
        <f t="shared" si="12"/>
        <v>0.4693333333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632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11" t="b">
        <v>0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12.20571429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0.7523809524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12.95809524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16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5126.4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1264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6390.4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1794.24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54.6816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13.48266667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68.16426667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5.88"/>
    <col customWidth="1" min="4" max="4" width="5.13"/>
    <col customWidth="1" min="5" max="5" width="5.75"/>
    <col customWidth="1" min="6" max="6" width="5.25"/>
    <col customWidth="1" min="7" max="7" width="10.5"/>
    <col customWidth="1" min="8" max="8" width="11.5"/>
    <col customWidth="1" min="9" max="9" width="12.38"/>
    <col customWidth="1" min="10" max="10" width="11.88"/>
    <col customWidth="1" min="11" max="11" width="9.88"/>
    <col customWidth="1" min="12" max="12" width="8.88"/>
    <col customWidth="1" min="13" max="13" width="7.75"/>
    <col customWidth="1" min="14" max="14" width="9.63"/>
    <col customWidth="1" min="15" max="15" width="8.0"/>
    <col customWidth="1" min="16" max="16" width="8.13"/>
    <col customWidth="1" min="17" max="17" width="15.13"/>
    <col customWidth="1" min="18" max="18" width="6.25"/>
    <col customWidth="1" min="19" max="19" width="7.38"/>
    <col customWidth="1" min="20" max="20" width="5.13"/>
    <col customWidth="1" min="21" max="21" width="7.0"/>
    <col customWidth="1" min="22" max="22" width="6.0"/>
    <col customWidth="1" min="23" max="23" width="8.38"/>
    <col customWidth="1" min="24" max="24" width="14.5"/>
    <col customWidth="1" min="27" max="27" width="23.25"/>
    <col customWidth="1" min="28" max="28" width="15.13"/>
    <col customWidth="1" min="29" max="29" width="8.38"/>
  </cols>
  <sheetData>
    <row r="1" ht="15.75" customHeight="1">
      <c r="A1" s="58" t="s">
        <v>85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5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6" t="s">
        <v>22</v>
      </c>
      <c r="AA1" s="8" t="s">
        <v>24</v>
      </c>
      <c r="AB1" s="8" t="s">
        <v>25</v>
      </c>
      <c r="AC1" s="8" t="s">
        <v>26</v>
      </c>
    </row>
    <row r="2" ht="15.75" customHeight="1">
      <c r="A2" s="21">
        <v>1.0</v>
      </c>
      <c r="B2" s="9" t="s">
        <v>264</v>
      </c>
      <c r="C2" s="10">
        <v>11.0</v>
      </c>
      <c r="D2" s="10">
        <v>12.0</v>
      </c>
      <c r="E2" s="10">
        <v>8.0</v>
      </c>
      <c r="F2" s="11"/>
      <c r="G2" s="11" t="b">
        <v>1</v>
      </c>
      <c r="H2" s="12" t="b">
        <v>0</v>
      </c>
      <c r="I2" s="3" t="b">
        <v>0</v>
      </c>
      <c r="J2" s="3" t="b">
        <v>0</v>
      </c>
      <c r="K2" s="3" t="b">
        <v>0</v>
      </c>
      <c r="L2" s="8">
        <v>1.0</v>
      </c>
      <c r="M2" s="13">
        <f t="shared" ref="M2:M49" si="1">IF(G2,(C2*E2*2)+(D2*E2*2),0)</f>
        <v>368</v>
      </c>
      <c r="N2" s="13">
        <f t="shared" ref="N2:N49" si="2">IF(H2,C2*D2,0)</f>
        <v>0</v>
      </c>
      <c r="O2" s="13">
        <f t="shared" ref="O2:O49" si="3">(C2+D2)*2</f>
        <v>46</v>
      </c>
      <c r="P2" s="14">
        <f t="shared" ref="P2:P49" si="4">M2*$AB$7</f>
        <v>404.8</v>
      </c>
      <c r="Q2" s="15">
        <f t="shared" ref="Q2:Q1000" si="5">IFERROR(P2*0.35,0)</f>
        <v>141.68</v>
      </c>
      <c r="R2" s="14">
        <f t="shared" ref="R2:R49" si="6">N2*$AB$8</f>
        <v>0</v>
      </c>
      <c r="S2" s="14">
        <f t="shared" ref="S2:S49" si="7">IF(I2,C2*D2*$AB$12,0)</f>
        <v>0</v>
      </c>
      <c r="T2" s="14">
        <f t="shared" ref="T2:T49" si="8">F2*$AB$9</f>
        <v>0</v>
      </c>
      <c r="U2" s="14">
        <f t="shared" ref="U2:U49" si="9">IF(K2,IF(L2&gt;0,O2*$AB$10*L2,0),0)</f>
        <v>0</v>
      </c>
      <c r="V2" s="14">
        <f t="shared" ref="V2:V49" si="10">IF(J2,O2*$AB$11,0)</f>
        <v>0</v>
      </c>
      <c r="W2" s="14">
        <f t="shared" ref="W2:W1000" si="11">SUM(P2,R2:V2)</f>
        <v>404.8</v>
      </c>
      <c r="X2" s="16">
        <f t="shared" ref="X2:X1000" si="12">IFERROR((W2*$AB$49)/$AB$50,0)</f>
        <v>4.317866667</v>
      </c>
      <c r="AA2" s="18" t="s">
        <v>28</v>
      </c>
      <c r="AB2" s="1">
        <v>1.0</v>
      </c>
      <c r="AC2" s="2" t="s">
        <v>26</v>
      </c>
    </row>
    <row r="3" ht="15.75" customHeight="1">
      <c r="A3" s="21">
        <v>2.0</v>
      </c>
      <c r="B3" s="9" t="s">
        <v>102</v>
      </c>
      <c r="C3" s="10">
        <v>17.0</v>
      </c>
      <c r="D3" s="10">
        <v>13.0</v>
      </c>
      <c r="E3" s="10">
        <v>8.0</v>
      </c>
      <c r="F3" s="11"/>
      <c r="G3" s="11" t="b">
        <v>1</v>
      </c>
      <c r="H3" s="12" t="b">
        <v>0</v>
      </c>
      <c r="I3" s="3" t="b">
        <v>0</v>
      </c>
      <c r="J3" s="3" t="b">
        <v>0</v>
      </c>
      <c r="K3" s="3" t="b">
        <v>0</v>
      </c>
      <c r="L3" s="8">
        <v>1.0</v>
      </c>
      <c r="M3" s="13">
        <f t="shared" si="1"/>
        <v>480</v>
      </c>
      <c r="N3" s="13">
        <f t="shared" si="2"/>
        <v>0</v>
      </c>
      <c r="O3" s="13">
        <f t="shared" si="3"/>
        <v>60</v>
      </c>
      <c r="P3" s="14">
        <f t="shared" si="4"/>
        <v>528</v>
      </c>
      <c r="Q3" s="15">
        <f t="shared" si="5"/>
        <v>184.8</v>
      </c>
      <c r="R3" s="14">
        <f t="shared" si="6"/>
        <v>0</v>
      </c>
      <c r="S3" s="14">
        <f t="shared" si="7"/>
        <v>0</v>
      </c>
      <c r="T3" s="14">
        <f t="shared" si="8"/>
        <v>0</v>
      </c>
      <c r="U3" s="14">
        <f t="shared" si="9"/>
        <v>0</v>
      </c>
      <c r="V3" s="14">
        <f t="shared" si="10"/>
        <v>0</v>
      </c>
      <c r="W3" s="14">
        <f t="shared" si="11"/>
        <v>528</v>
      </c>
      <c r="X3" s="19">
        <f t="shared" si="12"/>
        <v>5.632</v>
      </c>
      <c r="AA3" s="8" t="s">
        <v>30</v>
      </c>
      <c r="AB3" s="3">
        <v>1.1</v>
      </c>
      <c r="AC3" s="20" t="s">
        <v>26</v>
      </c>
    </row>
    <row r="4" ht="15.75" customHeight="1">
      <c r="A4" s="21">
        <v>3.0</v>
      </c>
      <c r="B4" s="9" t="s">
        <v>265</v>
      </c>
      <c r="C4" s="10">
        <v>12.0</v>
      </c>
      <c r="D4" s="10">
        <v>11.0</v>
      </c>
      <c r="E4" s="10">
        <v>8.0</v>
      </c>
      <c r="F4" s="11"/>
      <c r="G4" s="11" t="b">
        <v>1</v>
      </c>
      <c r="H4" s="12" t="b">
        <v>0</v>
      </c>
      <c r="I4" s="3" t="b">
        <v>0</v>
      </c>
      <c r="J4" s="3" t="b">
        <v>0</v>
      </c>
      <c r="K4" s="3" t="b">
        <v>0</v>
      </c>
      <c r="L4" s="8">
        <v>1.0</v>
      </c>
      <c r="M4" s="13">
        <f t="shared" si="1"/>
        <v>368</v>
      </c>
      <c r="N4" s="13">
        <f t="shared" si="2"/>
        <v>0</v>
      </c>
      <c r="O4" s="13">
        <f t="shared" si="3"/>
        <v>46</v>
      </c>
      <c r="P4" s="14">
        <f t="shared" si="4"/>
        <v>404.8</v>
      </c>
      <c r="Q4" s="15">
        <f t="shared" si="5"/>
        <v>141.68</v>
      </c>
      <c r="R4" s="14">
        <f t="shared" si="6"/>
        <v>0</v>
      </c>
      <c r="S4" s="14">
        <f t="shared" si="7"/>
        <v>0</v>
      </c>
      <c r="T4" s="14">
        <f t="shared" si="8"/>
        <v>0</v>
      </c>
      <c r="U4" s="14">
        <f t="shared" si="9"/>
        <v>0</v>
      </c>
      <c r="V4" s="14">
        <f t="shared" si="10"/>
        <v>0</v>
      </c>
      <c r="W4" s="14">
        <f t="shared" si="11"/>
        <v>404.8</v>
      </c>
      <c r="X4" s="19">
        <f t="shared" si="12"/>
        <v>4.317866667</v>
      </c>
      <c r="AA4" s="8" t="s">
        <v>31</v>
      </c>
      <c r="AB4" s="3">
        <v>1.2</v>
      </c>
      <c r="AC4" s="20" t="s">
        <v>26</v>
      </c>
    </row>
    <row r="5" ht="15.75" customHeight="1">
      <c r="A5" s="21">
        <v>4.0</v>
      </c>
      <c r="B5" s="9" t="s">
        <v>224</v>
      </c>
      <c r="C5" s="10">
        <v>6.0</v>
      </c>
      <c r="D5" s="10">
        <v>7.0</v>
      </c>
      <c r="E5" s="10">
        <v>8.0</v>
      </c>
      <c r="F5" s="21"/>
      <c r="G5" s="11" t="b">
        <v>1</v>
      </c>
      <c r="H5" s="12" t="b">
        <v>0</v>
      </c>
      <c r="I5" s="3" t="b">
        <v>0</v>
      </c>
      <c r="J5" s="3" t="b">
        <v>0</v>
      </c>
      <c r="K5" s="3" t="b">
        <v>0</v>
      </c>
      <c r="L5" s="8">
        <v>1.0</v>
      </c>
      <c r="M5" s="13">
        <f t="shared" si="1"/>
        <v>208</v>
      </c>
      <c r="N5" s="13">
        <f t="shared" si="2"/>
        <v>0</v>
      </c>
      <c r="O5" s="13">
        <f t="shared" si="3"/>
        <v>26</v>
      </c>
      <c r="P5" s="14">
        <f t="shared" si="4"/>
        <v>228.8</v>
      </c>
      <c r="Q5" s="15">
        <f t="shared" si="5"/>
        <v>80.08</v>
      </c>
      <c r="R5" s="14">
        <f t="shared" si="6"/>
        <v>0</v>
      </c>
      <c r="S5" s="14">
        <f t="shared" si="7"/>
        <v>0</v>
      </c>
      <c r="T5" s="14">
        <f t="shared" si="8"/>
        <v>0</v>
      </c>
      <c r="U5" s="14">
        <f t="shared" si="9"/>
        <v>0</v>
      </c>
      <c r="V5" s="14">
        <f t="shared" si="10"/>
        <v>0</v>
      </c>
      <c r="W5" s="14">
        <f t="shared" si="11"/>
        <v>228.8</v>
      </c>
      <c r="X5" s="19">
        <f t="shared" si="12"/>
        <v>2.440533333</v>
      </c>
      <c r="AA5" s="8" t="s">
        <v>26</v>
      </c>
      <c r="AB5" s="8" t="s">
        <v>26</v>
      </c>
      <c r="AC5" s="20" t="s">
        <v>26</v>
      </c>
    </row>
    <row r="6" ht="15.75" customHeight="1">
      <c r="A6" s="21">
        <v>5.0</v>
      </c>
      <c r="B6" s="9" t="s">
        <v>105</v>
      </c>
      <c r="C6" s="10">
        <v>5.0</v>
      </c>
      <c r="D6" s="10">
        <v>5.0</v>
      </c>
      <c r="E6" s="10">
        <v>8.0</v>
      </c>
      <c r="F6" s="21"/>
      <c r="G6" s="11" t="b">
        <v>1</v>
      </c>
      <c r="H6" s="12" t="b">
        <v>0</v>
      </c>
      <c r="I6" s="3" t="b">
        <v>0</v>
      </c>
      <c r="J6" s="3" t="b">
        <v>0</v>
      </c>
      <c r="K6" s="3" t="b">
        <v>0</v>
      </c>
      <c r="L6" s="8">
        <v>1.0</v>
      </c>
      <c r="M6" s="13">
        <f t="shared" si="1"/>
        <v>160</v>
      </c>
      <c r="N6" s="13">
        <f t="shared" si="2"/>
        <v>0</v>
      </c>
      <c r="O6" s="13">
        <f t="shared" si="3"/>
        <v>20</v>
      </c>
      <c r="P6" s="14">
        <f t="shared" si="4"/>
        <v>176</v>
      </c>
      <c r="Q6" s="15">
        <f t="shared" si="5"/>
        <v>61.6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176</v>
      </c>
      <c r="X6" s="19">
        <f t="shared" si="12"/>
        <v>1.877333333</v>
      </c>
      <c r="AA6" s="8" t="s">
        <v>34</v>
      </c>
      <c r="AB6" s="3" t="s">
        <v>30</v>
      </c>
      <c r="AC6" s="20" t="s">
        <v>26</v>
      </c>
    </row>
    <row r="7" ht="15.75" customHeight="1">
      <c r="A7" s="21">
        <v>6.0</v>
      </c>
      <c r="B7" s="9" t="s">
        <v>266</v>
      </c>
      <c r="C7" s="11">
        <v>11.0</v>
      </c>
      <c r="D7" s="11">
        <v>11.0</v>
      </c>
      <c r="E7" s="11">
        <v>8.0</v>
      </c>
      <c r="F7" s="21"/>
      <c r="G7" s="11" t="b">
        <v>1</v>
      </c>
      <c r="H7" s="12" t="b">
        <v>0</v>
      </c>
      <c r="I7" s="3" t="b">
        <v>0</v>
      </c>
      <c r="J7" s="3" t="b">
        <v>0</v>
      </c>
      <c r="K7" s="3" t="b">
        <v>0</v>
      </c>
      <c r="L7" s="8">
        <v>1.0</v>
      </c>
      <c r="M7" s="13">
        <f t="shared" si="1"/>
        <v>352</v>
      </c>
      <c r="N7" s="13">
        <f t="shared" si="2"/>
        <v>0</v>
      </c>
      <c r="O7" s="13">
        <f t="shared" si="3"/>
        <v>44</v>
      </c>
      <c r="P7" s="14">
        <f t="shared" si="4"/>
        <v>387.2</v>
      </c>
      <c r="Q7" s="15">
        <f t="shared" si="5"/>
        <v>135.52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387.2</v>
      </c>
      <c r="X7" s="19">
        <f t="shared" si="12"/>
        <v>4.130133333</v>
      </c>
      <c r="AA7" s="8" t="s">
        <v>36</v>
      </c>
      <c r="AB7" s="22">
        <f>IFERROR(VLOOKUP(AB6,AA2:AB4,2,FALSE),0)</f>
        <v>1.1</v>
      </c>
      <c r="AC7" s="20" t="s">
        <v>26</v>
      </c>
    </row>
    <row r="8" ht="15.75" customHeight="1">
      <c r="A8" s="21">
        <v>7.0</v>
      </c>
      <c r="B8" s="11" t="s">
        <v>108</v>
      </c>
      <c r="C8" s="11">
        <v>18.0</v>
      </c>
      <c r="D8" s="11">
        <v>12.0</v>
      </c>
      <c r="E8" s="11">
        <v>8.0</v>
      </c>
      <c r="F8" s="21"/>
      <c r="G8" s="11" t="b">
        <v>1</v>
      </c>
      <c r="H8" s="12" t="b">
        <v>0</v>
      </c>
      <c r="I8" s="3" t="b">
        <v>0</v>
      </c>
      <c r="J8" s="3" t="b">
        <v>0</v>
      </c>
      <c r="K8" s="3" t="b">
        <v>0</v>
      </c>
      <c r="L8" s="8">
        <v>1.0</v>
      </c>
      <c r="M8" s="13">
        <f t="shared" si="1"/>
        <v>480</v>
      </c>
      <c r="N8" s="13">
        <f t="shared" si="2"/>
        <v>0</v>
      </c>
      <c r="O8" s="13">
        <f t="shared" si="3"/>
        <v>60</v>
      </c>
      <c r="P8" s="14">
        <f t="shared" si="4"/>
        <v>528</v>
      </c>
      <c r="Q8" s="15">
        <f t="shared" si="5"/>
        <v>184.8</v>
      </c>
      <c r="R8" s="14">
        <f t="shared" si="6"/>
        <v>0</v>
      </c>
      <c r="S8" s="14">
        <f t="shared" si="7"/>
        <v>0</v>
      </c>
      <c r="T8" s="14">
        <f t="shared" si="8"/>
        <v>0</v>
      </c>
      <c r="U8" s="14">
        <f t="shared" si="9"/>
        <v>0</v>
      </c>
      <c r="V8" s="14">
        <f t="shared" si="10"/>
        <v>0</v>
      </c>
      <c r="W8" s="14">
        <f t="shared" si="11"/>
        <v>528</v>
      </c>
      <c r="X8" s="19">
        <f t="shared" si="12"/>
        <v>5.632</v>
      </c>
      <c r="AA8" s="8" t="s">
        <v>38</v>
      </c>
      <c r="AB8" s="3">
        <v>1.2</v>
      </c>
      <c r="AC8" s="20" t="s">
        <v>26</v>
      </c>
    </row>
    <row r="9" ht="15.75" customHeight="1">
      <c r="A9" s="21">
        <v>8.0</v>
      </c>
      <c r="B9" s="11" t="s">
        <v>150</v>
      </c>
      <c r="C9" s="11">
        <v>12.0</v>
      </c>
      <c r="D9" s="11">
        <v>18.0</v>
      </c>
      <c r="E9" s="11">
        <v>8.0</v>
      </c>
      <c r="F9" s="21"/>
      <c r="G9" s="11" t="b">
        <v>1</v>
      </c>
      <c r="H9" s="12" t="b">
        <v>0</v>
      </c>
      <c r="I9" s="3" t="b">
        <v>0</v>
      </c>
      <c r="J9" s="3" t="b">
        <v>0</v>
      </c>
      <c r="K9" s="3" t="b">
        <v>0</v>
      </c>
      <c r="L9" s="8">
        <v>1.0</v>
      </c>
      <c r="M9" s="13">
        <f t="shared" si="1"/>
        <v>480</v>
      </c>
      <c r="N9" s="13">
        <f t="shared" si="2"/>
        <v>0</v>
      </c>
      <c r="O9" s="13">
        <f t="shared" si="3"/>
        <v>60</v>
      </c>
      <c r="P9" s="14">
        <f t="shared" si="4"/>
        <v>528</v>
      </c>
      <c r="Q9" s="15">
        <f t="shared" si="5"/>
        <v>184.8</v>
      </c>
      <c r="R9" s="14">
        <f t="shared" si="6"/>
        <v>0</v>
      </c>
      <c r="S9" s="14">
        <f t="shared" si="7"/>
        <v>0</v>
      </c>
      <c r="T9" s="14">
        <f t="shared" si="8"/>
        <v>0</v>
      </c>
      <c r="U9" s="14">
        <f t="shared" si="9"/>
        <v>0</v>
      </c>
      <c r="V9" s="14">
        <f t="shared" si="10"/>
        <v>0</v>
      </c>
      <c r="W9" s="14">
        <f t="shared" si="11"/>
        <v>528</v>
      </c>
      <c r="X9" s="19">
        <f t="shared" si="12"/>
        <v>5.632</v>
      </c>
      <c r="AA9" s="8" t="s">
        <v>40</v>
      </c>
      <c r="AB9" s="3">
        <v>90.0</v>
      </c>
      <c r="AC9" s="24" t="s">
        <v>26</v>
      </c>
    </row>
    <row r="10" ht="15.75" customHeight="1">
      <c r="A10" s="21">
        <v>9.0</v>
      </c>
      <c r="B10" s="11" t="s">
        <v>129</v>
      </c>
      <c r="C10" s="11">
        <v>15.0</v>
      </c>
      <c r="D10" s="11">
        <v>14.0</v>
      </c>
      <c r="E10" s="11">
        <v>8.0</v>
      </c>
      <c r="F10" s="21"/>
      <c r="G10" s="11" t="b">
        <v>1</v>
      </c>
      <c r="H10" s="12" t="b">
        <v>0</v>
      </c>
      <c r="I10" s="8" t="b">
        <v>0</v>
      </c>
      <c r="J10" s="3" t="b">
        <v>0</v>
      </c>
      <c r="K10" s="3" t="b">
        <v>0</v>
      </c>
      <c r="L10" s="8">
        <v>1.0</v>
      </c>
      <c r="M10" s="13">
        <f t="shared" si="1"/>
        <v>464</v>
      </c>
      <c r="N10" s="13">
        <f t="shared" si="2"/>
        <v>0</v>
      </c>
      <c r="O10" s="13">
        <f t="shared" si="3"/>
        <v>58</v>
      </c>
      <c r="P10" s="14">
        <f t="shared" si="4"/>
        <v>510.4</v>
      </c>
      <c r="Q10" s="15">
        <f t="shared" si="5"/>
        <v>178.64</v>
      </c>
      <c r="R10" s="14">
        <f t="shared" si="6"/>
        <v>0</v>
      </c>
      <c r="S10" s="14">
        <f t="shared" si="7"/>
        <v>0</v>
      </c>
      <c r="T10" s="14">
        <f t="shared" si="8"/>
        <v>0</v>
      </c>
      <c r="U10" s="14">
        <f t="shared" si="9"/>
        <v>0</v>
      </c>
      <c r="V10" s="14">
        <f t="shared" si="10"/>
        <v>0</v>
      </c>
      <c r="W10" s="14">
        <f t="shared" si="11"/>
        <v>510.4</v>
      </c>
      <c r="X10" s="19">
        <f t="shared" si="12"/>
        <v>5.444266667</v>
      </c>
      <c r="AA10" s="8" t="s">
        <v>42</v>
      </c>
      <c r="AB10" s="8">
        <v>2.0</v>
      </c>
    </row>
    <row r="11" ht="15.75" customHeight="1">
      <c r="A11" s="21">
        <v>10.0</v>
      </c>
      <c r="B11" s="11" t="s">
        <v>130</v>
      </c>
      <c r="C11" s="11">
        <v>10.0</v>
      </c>
      <c r="D11" s="11">
        <v>16.0</v>
      </c>
      <c r="E11" s="11">
        <v>8.0</v>
      </c>
      <c r="F11" s="21"/>
      <c r="G11" s="11" t="b">
        <v>1</v>
      </c>
      <c r="H11" s="12" t="b">
        <v>0</v>
      </c>
      <c r="I11" s="8" t="b">
        <v>0</v>
      </c>
      <c r="J11" s="3" t="b">
        <v>0</v>
      </c>
      <c r="K11" s="3" t="b">
        <v>0</v>
      </c>
      <c r="L11" s="8">
        <v>1.0</v>
      </c>
      <c r="M11" s="13">
        <f t="shared" si="1"/>
        <v>416</v>
      </c>
      <c r="N11" s="13">
        <f t="shared" si="2"/>
        <v>0</v>
      </c>
      <c r="O11" s="13">
        <f t="shared" si="3"/>
        <v>52</v>
      </c>
      <c r="P11" s="14">
        <f t="shared" si="4"/>
        <v>457.6</v>
      </c>
      <c r="Q11" s="15">
        <f t="shared" si="5"/>
        <v>160.16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457.6</v>
      </c>
      <c r="X11" s="19">
        <f t="shared" si="12"/>
        <v>4.881066667</v>
      </c>
      <c r="AA11" s="8" t="s">
        <v>44</v>
      </c>
      <c r="AB11" s="3">
        <v>1.1</v>
      </c>
    </row>
    <row r="12" ht="15.75" customHeight="1">
      <c r="A12" s="21">
        <v>11.0</v>
      </c>
      <c r="B12" s="11" t="s">
        <v>197</v>
      </c>
      <c r="C12" s="11">
        <v>16.0</v>
      </c>
      <c r="D12" s="11">
        <v>11.0</v>
      </c>
      <c r="E12" s="11">
        <v>8.0</v>
      </c>
      <c r="F12" s="21"/>
      <c r="G12" s="11" t="b">
        <v>1</v>
      </c>
      <c r="H12" s="12" t="b">
        <v>0</v>
      </c>
      <c r="I12" s="3" t="b">
        <v>0</v>
      </c>
      <c r="J12" s="3" t="b">
        <v>0</v>
      </c>
      <c r="K12" s="3" t="b">
        <v>0</v>
      </c>
      <c r="L12" s="8">
        <v>1.0</v>
      </c>
      <c r="M12" s="13">
        <f t="shared" si="1"/>
        <v>432</v>
      </c>
      <c r="N12" s="13">
        <f t="shared" si="2"/>
        <v>0</v>
      </c>
      <c r="O12" s="13">
        <f t="shared" si="3"/>
        <v>54</v>
      </c>
      <c r="P12" s="14">
        <f t="shared" si="4"/>
        <v>475.2</v>
      </c>
      <c r="Q12" s="15">
        <f t="shared" si="5"/>
        <v>166.32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475.2</v>
      </c>
      <c r="X12" s="19">
        <f t="shared" si="12"/>
        <v>5.0688</v>
      </c>
      <c r="AA12" s="8" t="s">
        <v>46</v>
      </c>
      <c r="AB12" s="3">
        <v>8.0</v>
      </c>
    </row>
    <row r="13" ht="21.0" customHeight="1">
      <c r="A13" s="21">
        <v>12.0</v>
      </c>
      <c r="B13" s="11"/>
      <c r="C13" s="11"/>
      <c r="D13" s="11"/>
      <c r="E13" s="11"/>
      <c r="F13" s="21"/>
      <c r="G13" s="11" t="b">
        <v>0</v>
      </c>
      <c r="H13" s="12" t="b">
        <v>0</v>
      </c>
      <c r="I13" s="8" t="b">
        <v>0</v>
      </c>
      <c r="J13" s="3" t="b">
        <v>0</v>
      </c>
      <c r="K13" s="3" t="b">
        <v>0</v>
      </c>
      <c r="L13" s="8">
        <v>1.0</v>
      </c>
      <c r="M13" s="13">
        <f t="shared" si="1"/>
        <v>0</v>
      </c>
      <c r="N13" s="13">
        <f t="shared" si="2"/>
        <v>0</v>
      </c>
      <c r="O13" s="13">
        <f t="shared" si="3"/>
        <v>0</v>
      </c>
      <c r="P13" s="14">
        <f t="shared" si="4"/>
        <v>0</v>
      </c>
      <c r="Q13" s="15">
        <f t="shared" si="5"/>
        <v>0</v>
      </c>
      <c r="R13" s="14">
        <f t="shared" si="6"/>
        <v>0</v>
      </c>
      <c r="S13" s="14">
        <f t="shared" si="7"/>
        <v>0</v>
      </c>
      <c r="T13" s="14">
        <f t="shared" si="8"/>
        <v>0</v>
      </c>
      <c r="U13" s="14">
        <f t="shared" si="9"/>
        <v>0</v>
      </c>
      <c r="V13" s="14">
        <f t="shared" si="10"/>
        <v>0</v>
      </c>
      <c r="W13" s="14">
        <f t="shared" si="11"/>
        <v>0</v>
      </c>
      <c r="X13" s="19">
        <f t="shared" si="12"/>
        <v>0</v>
      </c>
      <c r="AA13" s="3" t="s">
        <v>211</v>
      </c>
      <c r="AB13" s="3">
        <v>185.0</v>
      </c>
    </row>
    <row r="14" ht="15.75" customHeight="1">
      <c r="A14" s="21">
        <v>13.0</v>
      </c>
      <c r="B14" s="11"/>
      <c r="C14" s="11"/>
      <c r="D14" s="11"/>
      <c r="E14" s="11"/>
      <c r="F14" s="21"/>
      <c r="G14" s="11" t="b">
        <v>0</v>
      </c>
      <c r="H14" s="12" t="b">
        <v>0</v>
      </c>
      <c r="I14" s="8" t="b">
        <v>0</v>
      </c>
      <c r="J14" s="3" t="b">
        <v>0</v>
      </c>
      <c r="K14" s="3" t="b">
        <v>0</v>
      </c>
      <c r="L14" s="8">
        <v>1.0</v>
      </c>
      <c r="M14" s="13">
        <f t="shared" si="1"/>
        <v>0</v>
      </c>
      <c r="N14" s="13">
        <f t="shared" si="2"/>
        <v>0</v>
      </c>
      <c r="O14" s="13">
        <f t="shared" si="3"/>
        <v>0</v>
      </c>
      <c r="P14" s="14">
        <f t="shared" si="4"/>
        <v>0</v>
      </c>
      <c r="Q14" s="15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9">
        <f t="shared" si="12"/>
        <v>0</v>
      </c>
    </row>
    <row r="15" ht="15.75" customHeight="1">
      <c r="A15" s="21">
        <v>14.0</v>
      </c>
      <c r="B15" s="11"/>
      <c r="C15" s="11"/>
      <c r="D15" s="11"/>
      <c r="E15" s="11"/>
      <c r="F15" s="21"/>
      <c r="G15" s="11" t="b">
        <v>0</v>
      </c>
      <c r="H15" s="12" t="b">
        <v>0</v>
      </c>
      <c r="I15" s="8" t="b">
        <v>0</v>
      </c>
      <c r="J15" s="3" t="b">
        <v>0</v>
      </c>
      <c r="K15" s="3" t="b">
        <v>0</v>
      </c>
      <c r="L15" s="8">
        <v>1.0</v>
      </c>
      <c r="M15" s="13">
        <f t="shared" si="1"/>
        <v>0</v>
      </c>
      <c r="N15" s="13">
        <f t="shared" si="2"/>
        <v>0</v>
      </c>
      <c r="O15" s="13">
        <f t="shared" si="3"/>
        <v>0</v>
      </c>
      <c r="P15" s="14">
        <f t="shared" si="4"/>
        <v>0</v>
      </c>
      <c r="Q15" s="15">
        <f t="shared" si="5"/>
        <v>0</v>
      </c>
      <c r="R15" s="14">
        <f t="shared" si="6"/>
        <v>0</v>
      </c>
      <c r="S15" s="14">
        <f t="shared" si="7"/>
        <v>0</v>
      </c>
      <c r="T15" s="14">
        <f t="shared" si="8"/>
        <v>0</v>
      </c>
      <c r="U15" s="14">
        <f t="shared" si="9"/>
        <v>0</v>
      </c>
      <c r="V15" s="14">
        <f t="shared" si="10"/>
        <v>0</v>
      </c>
      <c r="W15" s="14">
        <f t="shared" si="11"/>
        <v>0</v>
      </c>
      <c r="X15" s="19">
        <f t="shared" si="12"/>
        <v>0</v>
      </c>
      <c r="AA15" s="25" t="s">
        <v>51</v>
      </c>
      <c r="AB15" s="26"/>
    </row>
    <row r="16" ht="15.75" customHeight="1">
      <c r="A16" s="21">
        <v>15.0</v>
      </c>
      <c r="B16" s="11"/>
      <c r="C16" s="11"/>
      <c r="D16" s="11"/>
      <c r="E16" s="11"/>
      <c r="F16" s="21"/>
      <c r="G16" s="11" t="b">
        <v>0</v>
      </c>
      <c r="H16" s="12" t="b">
        <v>0</v>
      </c>
      <c r="I16" s="8" t="b">
        <v>0</v>
      </c>
      <c r="J16" s="3" t="b">
        <v>0</v>
      </c>
      <c r="K16" s="3" t="b">
        <v>0</v>
      </c>
      <c r="L16" s="8">
        <v>1.0</v>
      </c>
      <c r="M16" s="13">
        <f t="shared" si="1"/>
        <v>0</v>
      </c>
      <c r="N16" s="13">
        <f t="shared" si="2"/>
        <v>0</v>
      </c>
      <c r="O16" s="13">
        <f t="shared" si="3"/>
        <v>0</v>
      </c>
      <c r="P16" s="14">
        <f t="shared" si="4"/>
        <v>0</v>
      </c>
      <c r="Q16" s="15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9">
        <f t="shared" si="12"/>
        <v>0</v>
      </c>
      <c r="AA16" s="28" t="s">
        <v>52</v>
      </c>
      <c r="AB16" s="29">
        <f>SUM(M2:M1000)</f>
        <v>4208</v>
      </c>
    </row>
    <row r="17" ht="15.75" customHeight="1">
      <c r="A17" s="21">
        <v>16.0</v>
      </c>
      <c r="B17" s="21"/>
      <c r="C17" s="21"/>
      <c r="D17" s="21"/>
      <c r="E17" s="21"/>
      <c r="F17" s="21"/>
      <c r="G17" s="11" t="b">
        <v>0</v>
      </c>
      <c r="H17" s="12" t="b">
        <v>0</v>
      </c>
      <c r="I17" s="3" t="b">
        <v>0</v>
      </c>
      <c r="J17" s="3" t="b">
        <v>0</v>
      </c>
      <c r="K17" s="3" t="b">
        <v>0</v>
      </c>
      <c r="L17" s="8">
        <v>1.0</v>
      </c>
      <c r="M17" s="13">
        <f t="shared" si="1"/>
        <v>0</v>
      </c>
      <c r="N17" s="13">
        <f t="shared" si="2"/>
        <v>0</v>
      </c>
      <c r="O17" s="13">
        <f t="shared" si="3"/>
        <v>0</v>
      </c>
      <c r="P17" s="14">
        <f t="shared" si="4"/>
        <v>0</v>
      </c>
      <c r="Q17" s="15">
        <f t="shared" si="5"/>
        <v>0</v>
      </c>
      <c r="R17" s="14">
        <f t="shared" si="6"/>
        <v>0</v>
      </c>
      <c r="S17" s="14">
        <f t="shared" si="7"/>
        <v>0</v>
      </c>
      <c r="T17" s="14">
        <f t="shared" si="8"/>
        <v>0</v>
      </c>
      <c r="U17" s="14">
        <f t="shared" si="9"/>
        <v>0</v>
      </c>
      <c r="V17" s="14">
        <f t="shared" si="10"/>
        <v>0</v>
      </c>
      <c r="W17" s="14">
        <f t="shared" si="11"/>
        <v>0</v>
      </c>
      <c r="X17" s="19">
        <f t="shared" si="12"/>
        <v>0</v>
      </c>
      <c r="AA17" s="28" t="s">
        <v>54</v>
      </c>
      <c r="AB17" s="29">
        <f>SUM(N2:N1000)</f>
        <v>0</v>
      </c>
    </row>
    <row r="18" ht="15.75" customHeight="1">
      <c r="A18" s="21">
        <v>17.0</v>
      </c>
      <c r="B18" s="21"/>
      <c r="C18" s="21"/>
      <c r="D18" s="21"/>
      <c r="E18" s="21"/>
      <c r="F18" s="21"/>
      <c r="G18" s="11" t="b">
        <v>0</v>
      </c>
      <c r="H18" s="12" t="b">
        <v>0</v>
      </c>
      <c r="I18" s="3" t="b">
        <v>0</v>
      </c>
      <c r="J18" s="3" t="b">
        <v>0</v>
      </c>
      <c r="K18" s="3" t="b">
        <v>0</v>
      </c>
      <c r="L18" s="8">
        <v>1.0</v>
      </c>
      <c r="M18" s="13">
        <f t="shared" si="1"/>
        <v>0</v>
      </c>
      <c r="N18" s="13">
        <f t="shared" si="2"/>
        <v>0</v>
      </c>
      <c r="O18" s="13">
        <f t="shared" si="3"/>
        <v>0</v>
      </c>
      <c r="P18" s="14">
        <f t="shared" si="4"/>
        <v>0</v>
      </c>
      <c r="Q18" s="15">
        <f t="shared" si="5"/>
        <v>0</v>
      </c>
      <c r="R18" s="14">
        <f t="shared" si="6"/>
        <v>0</v>
      </c>
      <c r="S18" s="14">
        <f t="shared" si="7"/>
        <v>0</v>
      </c>
      <c r="T18" s="14">
        <f t="shared" si="8"/>
        <v>0</v>
      </c>
      <c r="U18" s="14">
        <f t="shared" si="9"/>
        <v>0</v>
      </c>
      <c r="V18" s="14">
        <f t="shared" si="10"/>
        <v>0</v>
      </c>
      <c r="W18" s="14">
        <f t="shared" si="11"/>
        <v>0</v>
      </c>
      <c r="X18" s="19">
        <f t="shared" si="12"/>
        <v>0</v>
      </c>
      <c r="AA18" s="28" t="s">
        <v>56</v>
      </c>
      <c r="AB18" s="29">
        <f>SUM(F2:F1000)</f>
        <v>0</v>
      </c>
    </row>
    <row r="19" ht="7.5" customHeight="1">
      <c r="A19" s="21">
        <v>18.0</v>
      </c>
      <c r="B19" s="21"/>
      <c r="C19" s="21"/>
      <c r="D19" s="21"/>
      <c r="E19" s="21"/>
      <c r="F19" s="21"/>
      <c r="G19" s="11" t="b">
        <v>0</v>
      </c>
      <c r="H19" s="12" t="b">
        <v>0</v>
      </c>
      <c r="I19" s="3" t="b">
        <v>0</v>
      </c>
      <c r="J19" s="3" t="b">
        <v>0</v>
      </c>
      <c r="K19" s="3" t="b">
        <v>0</v>
      </c>
      <c r="L19" s="8">
        <v>1.0</v>
      </c>
      <c r="M19" s="13">
        <f t="shared" si="1"/>
        <v>0</v>
      </c>
      <c r="N19" s="13">
        <f t="shared" si="2"/>
        <v>0</v>
      </c>
      <c r="O19" s="13">
        <f t="shared" si="3"/>
        <v>0</v>
      </c>
      <c r="P19" s="14">
        <f t="shared" si="4"/>
        <v>0</v>
      </c>
      <c r="Q19" s="15">
        <f t="shared" si="5"/>
        <v>0</v>
      </c>
      <c r="R19" s="14">
        <f t="shared" si="6"/>
        <v>0</v>
      </c>
      <c r="S19" s="14">
        <f t="shared" si="7"/>
        <v>0</v>
      </c>
      <c r="T19" s="14">
        <f t="shared" si="8"/>
        <v>0</v>
      </c>
      <c r="U19" s="14">
        <f t="shared" si="9"/>
        <v>0</v>
      </c>
      <c r="V19" s="14">
        <f t="shared" si="10"/>
        <v>0</v>
      </c>
      <c r="W19" s="14">
        <f t="shared" si="11"/>
        <v>0</v>
      </c>
      <c r="X19" s="19">
        <f t="shared" si="12"/>
        <v>0</v>
      </c>
      <c r="AA19" s="28" t="s">
        <v>58</v>
      </c>
      <c r="AB19" s="30">
        <f>SUMPRODUCT((K2:K1000=TRUE)*(L2:L1000&gt;0)*O2:O1000)</f>
        <v>0</v>
      </c>
    </row>
    <row r="20" ht="21.0" customHeight="1">
      <c r="A20" s="31">
        <v>19.0</v>
      </c>
      <c r="B20" s="21"/>
      <c r="C20" s="21"/>
      <c r="D20" s="21"/>
      <c r="E20" s="21"/>
      <c r="F20" s="21"/>
      <c r="G20" s="11" t="b">
        <v>0</v>
      </c>
      <c r="H20" s="12" t="b">
        <v>0</v>
      </c>
      <c r="I20" s="3" t="b">
        <v>0</v>
      </c>
      <c r="J20" s="3" t="b">
        <v>0</v>
      </c>
      <c r="K20" s="3" t="b">
        <v>0</v>
      </c>
      <c r="L20" s="8">
        <v>1.0</v>
      </c>
      <c r="M20" s="13">
        <f t="shared" si="1"/>
        <v>0</v>
      </c>
      <c r="N20" s="13">
        <f t="shared" si="2"/>
        <v>0</v>
      </c>
      <c r="O20" s="13">
        <f t="shared" si="3"/>
        <v>0</v>
      </c>
      <c r="P20" s="14">
        <f t="shared" si="4"/>
        <v>0</v>
      </c>
      <c r="Q20" s="15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9">
        <f t="shared" si="12"/>
        <v>0</v>
      </c>
      <c r="AA20" s="32" t="s">
        <v>60</v>
      </c>
      <c r="AB20" s="33">
        <f>SUMPRODUCT((J2:J1000=TRUE)*O2:O1000)</f>
        <v>0</v>
      </c>
    </row>
    <row r="21" ht="15.75" customHeight="1">
      <c r="A21" s="31">
        <v>20.0</v>
      </c>
      <c r="B21" s="21"/>
      <c r="C21" s="21"/>
      <c r="D21" s="21"/>
      <c r="E21" s="21"/>
      <c r="F21" s="21"/>
      <c r="G21" s="11" t="b">
        <v>0</v>
      </c>
      <c r="H21" s="12" t="b">
        <v>0</v>
      </c>
      <c r="I21" s="3" t="b">
        <v>0</v>
      </c>
      <c r="J21" s="3" t="b">
        <v>0</v>
      </c>
      <c r="K21" s="3" t="b">
        <v>0</v>
      </c>
      <c r="L21" s="8">
        <v>1.0</v>
      </c>
      <c r="M21" s="13">
        <f t="shared" si="1"/>
        <v>0</v>
      </c>
      <c r="N21" s="13">
        <f t="shared" si="2"/>
        <v>0</v>
      </c>
      <c r="O21" s="13">
        <f t="shared" si="3"/>
        <v>0</v>
      </c>
      <c r="P21" s="14">
        <f t="shared" si="4"/>
        <v>0</v>
      </c>
      <c r="Q21" s="15">
        <f t="shared" si="5"/>
        <v>0</v>
      </c>
      <c r="R21" s="14">
        <f t="shared" si="6"/>
        <v>0</v>
      </c>
      <c r="S21" s="14">
        <f t="shared" si="7"/>
        <v>0</v>
      </c>
      <c r="T21" s="14">
        <f t="shared" si="8"/>
        <v>0</v>
      </c>
      <c r="U21" s="14">
        <f t="shared" si="9"/>
        <v>0</v>
      </c>
      <c r="V21" s="14">
        <f t="shared" si="10"/>
        <v>0</v>
      </c>
      <c r="W21" s="14">
        <f t="shared" si="11"/>
        <v>0</v>
      </c>
      <c r="X21" s="19">
        <f t="shared" si="12"/>
        <v>0</v>
      </c>
      <c r="AA21" s="34" t="s">
        <v>26</v>
      </c>
      <c r="AB21" s="34" t="s">
        <v>26</v>
      </c>
    </row>
    <row r="22" ht="15.75" customHeight="1">
      <c r="A22" s="31">
        <v>21.0</v>
      </c>
      <c r="B22" s="21"/>
      <c r="C22" s="21"/>
      <c r="D22" s="21"/>
      <c r="E22" s="21"/>
      <c r="F22" s="21"/>
      <c r="G22" s="11" t="b">
        <v>0</v>
      </c>
      <c r="H22" s="12" t="b">
        <v>0</v>
      </c>
      <c r="I22" s="3" t="b">
        <v>0</v>
      </c>
      <c r="J22" s="3" t="b">
        <v>0</v>
      </c>
      <c r="K22" s="3" t="b">
        <v>0</v>
      </c>
      <c r="L22" s="8">
        <v>1.0</v>
      </c>
      <c r="M22" s="13">
        <f t="shared" si="1"/>
        <v>0</v>
      </c>
      <c r="N22" s="13">
        <f t="shared" si="2"/>
        <v>0</v>
      </c>
      <c r="O22" s="13">
        <f t="shared" si="3"/>
        <v>0</v>
      </c>
      <c r="P22" s="14">
        <f t="shared" si="4"/>
        <v>0</v>
      </c>
      <c r="Q22" s="15">
        <f t="shared" si="5"/>
        <v>0</v>
      </c>
      <c r="R22" s="14">
        <f t="shared" si="6"/>
        <v>0</v>
      </c>
      <c r="S22" s="14">
        <f t="shared" si="7"/>
        <v>0</v>
      </c>
      <c r="T22" s="14">
        <f t="shared" si="8"/>
        <v>0</v>
      </c>
      <c r="U22" s="14">
        <f t="shared" si="9"/>
        <v>0</v>
      </c>
      <c r="V22" s="14">
        <f t="shared" si="10"/>
        <v>0</v>
      </c>
      <c r="W22" s="14">
        <f t="shared" si="11"/>
        <v>0</v>
      </c>
      <c r="X22" s="19">
        <f t="shared" si="12"/>
        <v>0</v>
      </c>
      <c r="AA22" s="25" t="s">
        <v>61</v>
      </c>
      <c r="AB22" s="26"/>
    </row>
    <row r="23" ht="15.75" customHeight="1">
      <c r="A23" s="31">
        <v>22.0</v>
      </c>
      <c r="B23" s="21"/>
      <c r="C23" s="21"/>
      <c r="D23" s="21"/>
      <c r="E23" s="21"/>
      <c r="F23" s="21"/>
      <c r="G23" s="11" t="b">
        <v>0</v>
      </c>
      <c r="H23" s="12" t="b">
        <v>0</v>
      </c>
      <c r="I23" s="3" t="b">
        <v>0</v>
      </c>
      <c r="J23" s="3" t="b">
        <v>0</v>
      </c>
      <c r="K23" s="3" t="b">
        <v>0</v>
      </c>
      <c r="L23" s="8">
        <v>1.0</v>
      </c>
      <c r="M23" s="13">
        <f t="shared" si="1"/>
        <v>0</v>
      </c>
      <c r="N23" s="13">
        <f t="shared" si="2"/>
        <v>0</v>
      </c>
      <c r="O23" s="13">
        <f t="shared" si="3"/>
        <v>0</v>
      </c>
      <c r="P23" s="14">
        <f t="shared" si="4"/>
        <v>0</v>
      </c>
      <c r="Q23" s="15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9">
        <f t="shared" si="12"/>
        <v>0</v>
      </c>
      <c r="AA23" s="28" t="s">
        <v>62</v>
      </c>
      <c r="AB23" s="35">
        <v>350.0</v>
      </c>
    </row>
    <row r="24" ht="15.75" customHeight="1">
      <c r="A24" s="11">
        <v>23.0</v>
      </c>
      <c r="B24" s="21"/>
      <c r="C24" s="21"/>
      <c r="D24" s="21"/>
      <c r="E24" s="21"/>
      <c r="F24" s="21"/>
      <c r="G24" s="11" t="b">
        <v>0</v>
      </c>
      <c r="H24" s="12" t="b">
        <v>0</v>
      </c>
      <c r="I24" s="3" t="b">
        <v>0</v>
      </c>
      <c r="J24" s="3" t="b">
        <v>0</v>
      </c>
      <c r="K24" s="3" t="b">
        <v>0</v>
      </c>
      <c r="L24" s="8">
        <v>1.0</v>
      </c>
      <c r="M24" s="13">
        <f t="shared" si="1"/>
        <v>0</v>
      </c>
      <c r="N24" s="13">
        <f t="shared" si="2"/>
        <v>0</v>
      </c>
      <c r="O24" s="13">
        <f t="shared" si="3"/>
        <v>0</v>
      </c>
      <c r="P24" s="14">
        <f t="shared" si="4"/>
        <v>0</v>
      </c>
      <c r="Q24" s="15">
        <f t="shared" si="5"/>
        <v>0</v>
      </c>
      <c r="R24" s="14">
        <f t="shared" si="6"/>
        <v>0</v>
      </c>
      <c r="S24" s="14">
        <f t="shared" si="7"/>
        <v>0</v>
      </c>
      <c r="T24" s="14">
        <f t="shared" si="8"/>
        <v>0</v>
      </c>
      <c r="U24" s="14">
        <f t="shared" si="9"/>
        <v>0</v>
      </c>
      <c r="V24" s="14">
        <f t="shared" si="10"/>
        <v>0</v>
      </c>
      <c r="W24" s="14">
        <f t="shared" si="11"/>
        <v>0</v>
      </c>
      <c r="X24" s="19">
        <f t="shared" si="12"/>
        <v>0</v>
      </c>
      <c r="AA24" s="28" t="s">
        <v>63</v>
      </c>
      <c r="AB24" s="35">
        <v>40.0</v>
      </c>
    </row>
    <row r="25" ht="7.5" customHeight="1">
      <c r="A25" s="11">
        <v>24.0</v>
      </c>
      <c r="B25" s="21"/>
      <c r="C25" s="21"/>
      <c r="D25" s="21"/>
      <c r="E25" s="21"/>
      <c r="F25" s="21"/>
      <c r="G25" s="11" t="b">
        <v>0</v>
      </c>
      <c r="H25" s="12" t="b">
        <v>0</v>
      </c>
      <c r="I25" s="3" t="b">
        <v>0</v>
      </c>
      <c r="J25" s="3" t="b">
        <v>0</v>
      </c>
      <c r="K25" s="3" t="b">
        <v>0</v>
      </c>
      <c r="L25" s="8">
        <v>1.0</v>
      </c>
      <c r="M25" s="13">
        <f t="shared" si="1"/>
        <v>0</v>
      </c>
      <c r="N25" s="13">
        <f t="shared" si="2"/>
        <v>0</v>
      </c>
      <c r="O25" s="13">
        <f t="shared" si="3"/>
        <v>0</v>
      </c>
      <c r="P25" s="14">
        <f t="shared" si="4"/>
        <v>0</v>
      </c>
      <c r="Q25" s="15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9">
        <f t="shared" si="12"/>
        <v>0</v>
      </c>
      <c r="AA25" s="28" t="s">
        <v>64</v>
      </c>
      <c r="AB25" s="35">
        <v>5.0</v>
      </c>
    </row>
    <row r="26" ht="21.0" customHeight="1">
      <c r="A26" s="31">
        <v>25.0</v>
      </c>
      <c r="B26" s="21"/>
      <c r="C26" s="21"/>
      <c r="D26" s="21"/>
      <c r="E26" s="21"/>
      <c r="F26" s="21"/>
      <c r="G26" s="11" t="b">
        <v>0</v>
      </c>
      <c r="H26" s="12" t="b">
        <v>0</v>
      </c>
      <c r="I26" s="3" t="b">
        <v>0</v>
      </c>
      <c r="J26" s="3" t="b">
        <v>0</v>
      </c>
      <c r="K26" s="3" t="b">
        <v>0</v>
      </c>
      <c r="L26" s="8">
        <v>1.0</v>
      </c>
      <c r="M26" s="13">
        <f t="shared" si="1"/>
        <v>0</v>
      </c>
      <c r="N26" s="13">
        <f t="shared" si="2"/>
        <v>0</v>
      </c>
      <c r="O26" s="13">
        <f t="shared" si="3"/>
        <v>0</v>
      </c>
      <c r="P26" s="14">
        <f t="shared" si="4"/>
        <v>0</v>
      </c>
      <c r="Q26" s="15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9">
        <f t="shared" si="12"/>
        <v>0</v>
      </c>
      <c r="AA26" s="32" t="s">
        <v>65</v>
      </c>
      <c r="AB26" s="36">
        <v>4.0</v>
      </c>
    </row>
    <row r="27" ht="15.75" customHeight="1">
      <c r="A27" s="31">
        <v>26.0</v>
      </c>
      <c r="B27" s="21"/>
      <c r="C27" s="21"/>
      <c r="D27" s="21"/>
      <c r="E27" s="21"/>
      <c r="F27" s="21"/>
      <c r="G27" s="31" t="b">
        <v>1</v>
      </c>
      <c r="H27" s="12" t="b">
        <v>0</v>
      </c>
      <c r="I27" s="3" t="b">
        <v>0</v>
      </c>
      <c r="J27" s="3" t="b">
        <v>0</v>
      </c>
      <c r="K27" s="3" t="b">
        <v>0</v>
      </c>
      <c r="L27" s="8">
        <v>1.0</v>
      </c>
      <c r="M27" s="13">
        <f t="shared" si="1"/>
        <v>0</v>
      </c>
      <c r="N27" s="13">
        <f t="shared" si="2"/>
        <v>0</v>
      </c>
      <c r="O27" s="13">
        <f t="shared" si="3"/>
        <v>0</v>
      </c>
      <c r="P27" s="14">
        <f t="shared" si="4"/>
        <v>0</v>
      </c>
      <c r="Q27" s="15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9">
        <f t="shared" si="12"/>
        <v>0</v>
      </c>
      <c r="AA27" s="34" t="s">
        <v>26</v>
      </c>
      <c r="AB27" s="34" t="s">
        <v>26</v>
      </c>
    </row>
    <row r="28" ht="15.75" customHeight="1">
      <c r="A28" s="31">
        <v>27.0</v>
      </c>
      <c r="B28" s="21"/>
      <c r="C28" s="21"/>
      <c r="D28" s="21"/>
      <c r="E28" s="21"/>
      <c r="F28" s="21"/>
      <c r="G28" s="31" t="b">
        <v>1</v>
      </c>
      <c r="H28" s="12" t="b">
        <v>0</v>
      </c>
      <c r="I28" s="3" t="b">
        <v>0</v>
      </c>
      <c r="J28" s="3" t="b">
        <v>0</v>
      </c>
      <c r="K28" s="3" t="b">
        <v>0</v>
      </c>
      <c r="L28" s="8">
        <v>1.0</v>
      </c>
      <c r="M28" s="13">
        <f t="shared" si="1"/>
        <v>0</v>
      </c>
      <c r="N28" s="13">
        <f t="shared" si="2"/>
        <v>0</v>
      </c>
      <c r="O28" s="13">
        <f t="shared" si="3"/>
        <v>0</v>
      </c>
      <c r="P28" s="14">
        <f t="shared" si="4"/>
        <v>0</v>
      </c>
      <c r="Q28" s="15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9">
        <f t="shared" si="12"/>
        <v>0</v>
      </c>
      <c r="AA28" s="25" t="s">
        <v>66</v>
      </c>
      <c r="AB28" s="26"/>
    </row>
    <row r="29" ht="15.75" customHeight="1">
      <c r="A29" s="31">
        <v>28.0</v>
      </c>
      <c r="B29" s="21"/>
      <c r="C29" s="21"/>
      <c r="D29" s="21"/>
      <c r="E29" s="21"/>
      <c r="F29" s="21"/>
      <c r="G29" s="31" t="b">
        <v>1</v>
      </c>
      <c r="H29" s="12" t="b">
        <v>0</v>
      </c>
      <c r="I29" s="3" t="b">
        <v>0</v>
      </c>
      <c r="J29" s="3" t="b">
        <v>0</v>
      </c>
      <c r="K29" s="3" t="b">
        <v>0</v>
      </c>
      <c r="L29" s="8">
        <v>1.0</v>
      </c>
      <c r="M29" s="13">
        <f t="shared" si="1"/>
        <v>0</v>
      </c>
      <c r="N29" s="13">
        <f t="shared" si="2"/>
        <v>0</v>
      </c>
      <c r="O29" s="13">
        <f t="shared" si="3"/>
        <v>0</v>
      </c>
      <c r="P29" s="14">
        <f t="shared" si="4"/>
        <v>0</v>
      </c>
      <c r="Q29" s="15">
        <f t="shared" si="5"/>
        <v>0</v>
      </c>
      <c r="R29" s="14">
        <f t="shared" si="6"/>
        <v>0</v>
      </c>
      <c r="S29" s="14">
        <f t="shared" si="7"/>
        <v>0</v>
      </c>
      <c r="T29" s="14">
        <f t="shared" si="8"/>
        <v>0</v>
      </c>
      <c r="U29" s="14">
        <f t="shared" si="9"/>
        <v>0</v>
      </c>
      <c r="V29" s="14">
        <f t="shared" si="10"/>
        <v>0</v>
      </c>
      <c r="W29" s="14">
        <f t="shared" si="11"/>
        <v>0</v>
      </c>
      <c r="X29" s="19">
        <f t="shared" si="12"/>
        <v>0</v>
      </c>
      <c r="AA29" s="37" t="s">
        <v>67</v>
      </c>
      <c r="AB29" s="29">
        <f>IFERROR(AB16/AB23,0)</f>
        <v>12.02285714</v>
      </c>
    </row>
    <row r="30" ht="15.75" customHeight="1">
      <c r="A30" s="31">
        <v>29.0</v>
      </c>
      <c r="B30" s="21"/>
      <c r="C30" s="21"/>
      <c r="D30" s="21"/>
      <c r="E30" s="21"/>
      <c r="F30" s="21"/>
      <c r="G30" s="31" t="b">
        <v>1</v>
      </c>
      <c r="H30" s="12" t="b">
        <v>0</v>
      </c>
      <c r="I30" s="3" t="b">
        <v>0</v>
      </c>
      <c r="J30" s="3" t="b">
        <v>0</v>
      </c>
      <c r="K30" s="3" t="b">
        <v>0</v>
      </c>
      <c r="L30" s="8">
        <v>1.0</v>
      </c>
      <c r="M30" s="13">
        <f t="shared" si="1"/>
        <v>0</v>
      </c>
      <c r="N30" s="13">
        <f t="shared" si="2"/>
        <v>0</v>
      </c>
      <c r="O30" s="13">
        <f t="shared" si="3"/>
        <v>0</v>
      </c>
      <c r="P30" s="14">
        <f t="shared" si="4"/>
        <v>0</v>
      </c>
      <c r="Q30" s="15">
        <f t="shared" si="5"/>
        <v>0</v>
      </c>
      <c r="R30" s="14">
        <f t="shared" si="6"/>
        <v>0</v>
      </c>
      <c r="S30" s="14">
        <f t="shared" si="7"/>
        <v>0</v>
      </c>
      <c r="T30" s="14">
        <f t="shared" si="8"/>
        <v>0</v>
      </c>
      <c r="U30" s="14">
        <f t="shared" si="9"/>
        <v>0</v>
      </c>
      <c r="V30" s="14">
        <f t="shared" si="10"/>
        <v>0</v>
      </c>
      <c r="W30" s="14">
        <f t="shared" si="11"/>
        <v>0</v>
      </c>
      <c r="X30" s="19">
        <f t="shared" si="12"/>
        <v>0</v>
      </c>
      <c r="AA30" s="37" t="s">
        <v>68</v>
      </c>
      <c r="AB30" s="30">
        <f>IFERROR(AB17/AB23,0)</f>
        <v>0</v>
      </c>
    </row>
    <row r="31" ht="15.75" customHeight="1">
      <c r="A31" s="31">
        <v>30.0</v>
      </c>
      <c r="B31" s="21"/>
      <c r="C31" s="21"/>
      <c r="D31" s="21"/>
      <c r="E31" s="21"/>
      <c r="F31" s="21"/>
      <c r="G31" s="31" t="b">
        <v>1</v>
      </c>
      <c r="H31" s="12" t="b">
        <v>0</v>
      </c>
      <c r="I31" s="3" t="b">
        <v>0</v>
      </c>
      <c r="J31" s="3" t="b">
        <v>0</v>
      </c>
      <c r="K31" s="3" t="b">
        <v>0</v>
      </c>
      <c r="L31" s="8">
        <v>1.0</v>
      </c>
      <c r="M31" s="13">
        <f t="shared" si="1"/>
        <v>0</v>
      </c>
      <c r="N31" s="13">
        <f t="shared" si="2"/>
        <v>0</v>
      </c>
      <c r="O31" s="13">
        <f t="shared" si="3"/>
        <v>0</v>
      </c>
      <c r="P31" s="14">
        <f t="shared" si="4"/>
        <v>0</v>
      </c>
      <c r="Q31" s="15">
        <f t="shared" si="5"/>
        <v>0</v>
      </c>
      <c r="R31" s="14">
        <f t="shared" si="6"/>
        <v>0</v>
      </c>
      <c r="S31" s="14">
        <f t="shared" si="7"/>
        <v>0</v>
      </c>
      <c r="T31" s="14">
        <f t="shared" si="8"/>
        <v>0</v>
      </c>
      <c r="U31" s="14">
        <f t="shared" si="9"/>
        <v>0</v>
      </c>
      <c r="V31" s="14">
        <f t="shared" si="10"/>
        <v>0</v>
      </c>
      <c r="W31" s="14">
        <f t="shared" si="11"/>
        <v>0</v>
      </c>
      <c r="X31" s="19">
        <f t="shared" si="12"/>
        <v>0</v>
      </c>
      <c r="AA31" s="37" t="s">
        <v>69</v>
      </c>
      <c r="AB31" s="29">
        <f>IFERROR((AB18*AB24)/AB23,0)</f>
        <v>0</v>
      </c>
    </row>
    <row r="32">
      <c r="A32" s="31">
        <v>31.0</v>
      </c>
      <c r="B32" s="21"/>
      <c r="C32" s="21"/>
      <c r="D32" s="21"/>
      <c r="E32" s="21"/>
      <c r="F32" s="21"/>
      <c r="G32" s="31" t="b">
        <v>1</v>
      </c>
      <c r="H32" s="12" t="b">
        <v>0</v>
      </c>
      <c r="I32" s="3" t="b">
        <v>0</v>
      </c>
      <c r="J32" s="3" t="b">
        <v>0</v>
      </c>
      <c r="K32" s="3" t="b">
        <v>0</v>
      </c>
      <c r="L32" s="8">
        <v>1.0</v>
      </c>
      <c r="M32" s="13">
        <f t="shared" si="1"/>
        <v>0</v>
      </c>
      <c r="N32" s="13">
        <f t="shared" si="2"/>
        <v>0</v>
      </c>
      <c r="O32" s="13">
        <f t="shared" si="3"/>
        <v>0</v>
      </c>
      <c r="P32" s="14">
        <f t="shared" si="4"/>
        <v>0</v>
      </c>
      <c r="Q32" s="15">
        <f t="shared" si="5"/>
        <v>0</v>
      </c>
      <c r="R32" s="14">
        <f t="shared" si="6"/>
        <v>0</v>
      </c>
      <c r="S32" s="14">
        <f t="shared" si="7"/>
        <v>0</v>
      </c>
      <c r="T32" s="14">
        <f t="shared" si="8"/>
        <v>0</v>
      </c>
      <c r="U32" s="14">
        <f t="shared" si="9"/>
        <v>0</v>
      </c>
      <c r="V32" s="14">
        <f t="shared" si="10"/>
        <v>0</v>
      </c>
      <c r="W32" s="14">
        <f t="shared" si="11"/>
        <v>0</v>
      </c>
      <c r="X32" s="19">
        <f t="shared" si="12"/>
        <v>0</v>
      </c>
      <c r="AA32" s="37" t="s">
        <v>70</v>
      </c>
      <c r="AB32" s="29">
        <f>IFERROR(SUMPRODUCT((K2:K1000=TRUE)*(L2:L1000&gt;0)*O2:O1000*L2:L1000)*(AB25/12)/AB23,0)</f>
        <v>0</v>
      </c>
    </row>
    <row r="33">
      <c r="A33" s="31">
        <v>32.0</v>
      </c>
      <c r="B33" s="21"/>
      <c r="C33" s="21"/>
      <c r="D33" s="21"/>
      <c r="E33" s="21"/>
      <c r="F33" s="21"/>
      <c r="G33" s="31" t="b">
        <v>1</v>
      </c>
      <c r="H33" s="12" t="b">
        <v>0</v>
      </c>
      <c r="I33" s="3" t="b">
        <v>0</v>
      </c>
      <c r="J33" s="3" t="b">
        <v>0</v>
      </c>
      <c r="K33" s="3" t="b">
        <v>0</v>
      </c>
      <c r="L33" s="8">
        <v>1.0</v>
      </c>
      <c r="M33" s="13">
        <f t="shared" si="1"/>
        <v>0</v>
      </c>
      <c r="N33" s="13">
        <f t="shared" si="2"/>
        <v>0</v>
      </c>
      <c r="O33" s="13">
        <f t="shared" si="3"/>
        <v>0</v>
      </c>
      <c r="P33" s="14">
        <f t="shared" si="4"/>
        <v>0</v>
      </c>
      <c r="Q33" s="15">
        <f t="shared" si="5"/>
        <v>0</v>
      </c>
      <c r="R33" s="14">
        <f t="shared" si="6"/>
        <v>0</v>
      </c>
      <c r="S33" s="14">
        <f t="shared" si="7"/>
        <v>0</v>
      </c>
      <c r="T33" s="14">
        <f t="shared" si="8"/>
        <v>0</v>
      </c>
      <c r="U33" s="14">
        <f t="shared" si="9"/>
        <v>0</v>
      </c>
      <c r="V33" s="14">
        <f t="shared" si="10"/>
        <v>0</v>
      </c>
      <c r="W33" s="14">
        <f t="shared" si="11"/>
        <v>0</v>
      </c>
      <c r="X33" s="19">
        <f t="shared" si="12"/>
        <v>0</v>
      </c>
      <c r="AA33" s="32" t="s">
        <v>71</v>
      </c>
      <c r="AB33" s="33">
        <f>IFERROR((AB20*(AB26/12))/AB23,0)</f>
        <v>0</v>
      </c>
    </row>
    <row r="34" ht="15.75" customHeight="1">
      <c r="A34" s="31">
        <v>33.0</v>
      </c>
      <c r="B34" s="21"/>
      <c r="C34" s="21"/>
      <c r="D34" s="21"/>
      <c r="E34" s="21"/>
      <c r="F34" s="21"/>
      <c r="G34" s="31" t="b">
        <v>1</v>
      </c>
      <c r="H34" s="12" t="b">
        <v>0</v>
      </c>
      <c r="I34" s="3" t="b">
        <v>0</v>
      </c>
      <c r="J34" s="3" t="b">
        <v>0</v>
      </c>
      <c r="K34" s="3" t="b">
        <v>0</v>
      </c>
      <c r="L34" s="8">
        <v>1.0</v>
      </c>
      <c r="M34" s="13">
        <f t="shared" si="1"/>
        <v>0</v>
      </c>
      <c r="N34" s="13">
        <f t="shared" si="2"/>
        <v>0</v>
      </c>
      <c r="O34" s="13">
        <f t="shared" si="3"/>
        <v>0</v>
      </c>
      <c r="P34" s="14">
        <f t="shared" si="4"/>
        <v>0</v>
      </c>
      <c r="Q34" s="15">
        <f t="shared" si="5"/>
        <v>0</v>
      </c>
      <c r="R34" s="14">
        <f t="shared" si="6"/>
        <v>0</v>
      </c>
      <c r="S34" s="14">
        <f t="shared" si="7"/>
        <v>0</v>
      </c>
      <c r="T34" s="14">
        <f t="shared" si="8"/>
        <v>0</v>
      </c>
      <c r="U34" s="14">
        <f t="shared" si="9"/>
        <v>0</v>
      </c>
      <c r="V34" s="14">
        <f t="shared" si="10"/>
        <v>0</v>
      </c>
      <c r="W34" s="14">
        <f t="shared" si="11"/>
        <v>0</v>
      </c>
      <c r="X34" s="19">
        <f t="shared" si="12"/>
        <v>0</v>
      </c>
      <c r="AA34" s="38" t="s">
        <v>21</v>
      </c>
      <c r="AB34" s="39">
        <f>SUM(AB29:AB33)</f>
        <v>12.02285714</v>
      </c>
    </row>
    <row r="35" ht="15.75" customHeight="1">
      <c r="A35" s="31">
        <v>34.0</v>
      </c>
      <c r="B35" s="21"/>
      <c r="C35" s="21"/>
      <c r="D35" s="21"/>
      <c r="E35" s="21"/>
      <c r="F35" s="21"/>
      <c r="G35" s="31" t="b">
        <v>1</v>
      </c>
      <c r="H35" s="12" t="b">
        <v>0</v>
      </c>
      <c r="I35" s="3" t="b">
        <v>0</v>
      </c>
      <c r="J35" s="3" t="b">
        <v>0</v>
      </c>
      <c r="K35" s="3" t="b">
        <v>0</v>
      </c>
      <c r="L35" s="8">
        <v>1.0</v>
      </c>
      <c r="M35" s="13">
        <f t="shared" si="1"/>
        <v>0</v>
      </c>
      <c r="N35" s="13">
        <f t="shared" si="2"/>
        <v>0</v>
      </c>
      <c r="O35" s="13">
        <f t="shared" si="3"/>
        <v>0</v>
      </c>
      <c r="P35" s="14">
        <f t="shared" si="4"/>
        <v>0</v>
      </c>
      <c r="Q35" s="15">
        <f t="shared" si="5"/>
        <v>0</v>
      </c>
      <c r="R35" s="14">
        <f t="shared" si="6"/>
        <v>0</v>
      </c>
      <c r="S35" s="14">
        <f t="shared" si="7"/>
        <v>0</v>
      </c>
      <c r="T35" s="14">
        <f t="shared" si="8"/>
        <v>0</v>
      </c>
      <c r="U35" s="14">
        <f t="shared" si="9"/>
        <v>0</v>
      </c>
      <c r="V35" s="14">
        <f t="shared" si="10"/>
        <v>0</v>
      </c>
      <c r="W35" s="14">
        <f t="shared" si="11"/>
        <v>0</v>
      </c>
      <c r="X35" s="19">
        <f t="shared" si="12"/>
        <v>0</v>
      </c>
    </row>
    <row r="36" ht="15.75" customHeight="1">
      <c r="A36" s="31">
        <v>35.0</v>
      </c>
      <c r="B36" s="21"/>
      <c r="C36" s="21"/>
      <c r="D36" s="21"/>
      <c r="E36" s="21"/>
      <c r="F36" s="21"/>
      <c r="G36" s="31" t="b">
        <v>1</v>
      </c>
      <c r="H36" s="12" t="b">
        <v>0</v>
      </c>
      <c r="I36" s="3" t="b">
        <v>0</v>
      </c>
      <c r="J36" s="3" t="b">
        <v>0</v>
      </c>
      <c r="K36" s="3" t="b">
        <v>0</v>
      </c>
      <c r="L36" s="8">
        <v>1.0</v>
      </c>
      <c r="M36" s="13">
        <f t="shared" si="1"/>
        <v>0</v>
      </c>
      <c r="N36" s="13">
        <f t="shared" si="2"/>
        <v>0</v>
      </c>
      <c r="O36" s="13">
        <f t="shared" si="3"/>
        <v>0</v>
      </c>
      <c r="P36" s="14">
        <f t="shared" si="4"/>
        <v>0</v>
      </c>
      <c r="Q36" s="15">
        <f t="shared" si="5"/>
        <v>0</v>
      </c>
      <c r="R36" s="14">
        <f t="shared" si="6"/>
        <v>0</v>
      </c>
      <c r="S36" s="14">
        <f t="shared" si="7"/>
        <v>0</v>
      </c>
      <c r="T36" s="14">
        <f t="shared" si="8"/>
        <v>0</v>
      </c>
      <c r="U36" s="14">
        <f t="shared" si="9"/>
        <v>0</v>
      </c>
      <c r="V36" s="14">
        <f t="shared" si="10"/>
        <v>0</v>
      </c>
      <c r="W36" s="14">
        <f t="shared" si="11"/>
        <v>0</v>
      </c>
      <c r="X36" s="19">
        <f t="shared" si="12"/>
        <v>0</v>
      </c>
      <c r="AA36" s="25" t="s">
        <v>72</v>
      </c>
      <c r="AB36" s="26"/>
    </row>
    <row r="37" ht="15.75" customHeight="1">
      <c r="A37" s="31">
        <v>36.0</v>
      </c>
      <c r="B37" s="21"/>
      <c r="C37" s="21"/>
      <c r="D37" s="21"/>
      <c r="E37" s="21"/>
      <c r="F37" s="21"/>
      <c r="G37" s="31" t="b">
        <v>1</v>
      </c>
      <c r="H37" s="12" t="b">
        <v>0</v>
      </c>
      <c r="I37" s="3" t="b">
        <v>0</v>
      </c>
      <c r="J37" s="3" t="b">
        <v>0</v>
      </c>
      <c r="K37" s="3" t="b">
        <v>0</v>
      </c>
      <c r="L37" s="8">
        <v>1.0</v>
      </c>
      <c r="M37" s="13">
        <f t="shared" si="1"/>
        <v>0</v>
      </c>
      <c r="N37" s="13">
        <f t="shared" si="2"/>
        <v>0</v>
      </c>
      <c r="O37" s="13">
        <f t="shared" si="3"/>
        <v>0</v>
      </c>
      <c r="P37" s="14">
        <f t="shared" si="4"/>
        <v>0</v>
      </c>
      <c r="Q37" s="15">
        <f t="shared" si="5"/>
        <v>0</v>
      </c>
      <c r="R37" s="14">
        <f t="shared" si="6"/>
        <v>0</v>
      </c>
      <c r="S37" s="14">
        <f t="shared" si="7"/>
        <v>0</v>
      </c>
      <c r="T37" s="14">
        <f t="shared" si="8"/>
        <v>0</v>
      </c>
      <c r="U37" s="14">
        <f t="shared" si="9"/>
        <v>0</v>
      </c>
      <c r="V37" s="14">
        <f t="shared" si="10"/>
        <v>0</v>
      </c>
      <c r="W37" s="14">
        <f t="shared" si="11"/>
        <v>0</v>
      </c>
      <c r="X37" s="19">
        <f t="shared" si="12"/>
        <v>0</v>
      </c>
      <c r="AA37" s="37" t="s">
        <v>73</v>
      </c>
      <c r="AB37" s="40">
        <f>COUNTIF(C2:C1000,"&gt;0")</f>
        <v>11</v>
      </c>
    </row>
    <row r="38" ht="15.75" customHeight="1">
      <c r="A38" s="31">
        <v>37.0</v>
      </c>
      <c r="B38" s="21"/>
      <c r="C38" s="21"/>
      <c r="D38" s="21"/>
      <c r="E38" s="21"/>
      <c r="F38" s="21"/>
      <c r="G38" s="31" t="b">
        <v>1</v>
      </c>
      <c r="H38" s="12" t="b">
        <v>0</v>
      </c>
      <c r="I38" s="3" t="b">
        <v>0</v>
      </c>
      <c r="J38" s="3" t="b">
        <v>0</v>
      </c>
      <c r="K38" s="3" t="b">
        <v>0</v>
      </c>
      <c r="L38" s="8">
        <v>1.0</v>
      </c>
      <c r="M38" s="13">
        <f t="shared" si="1"/>
        <v>0</v>
      </c>
      <c r="N38" s="13">
        <f t="shared" si="2"/>
        <v>0</v>
      </c>
      <c r="O38" s="13">
        <f t="shared" si="3"/>
        <v>0</v>
      </c>
      <c r="P38" s="14">
        <f t="shared" si="4"/>
        <v>0</v>
      </c>
      <c r="Q38" s="15">
        <f t="shared" si="5"/>
        <v>0</v>
      </c>
      <c r="R38" s="14">
        <f t="shared" si="6"/>
        <v>0</v>
      </c>
      <c r="S38" s="14">
        <f t="shared" si="7"/>
        <v>0</v>
      </c>
      <c r="T38" s="14">
        <f t="shared" si="8"/>
        <v>0</v>
      </c>
      <c r="U38" s="14">
        <f t="shared" si="9"/>
        <v>0</v>
      </c>
      <c r="V38" s="14">
        <f t="shared" si="10"/>
        <v>0</v>
      </c>
      <c r="W38" s="14">
        <f t="shared" si="11"/>
        <v>0</v>
      </c>
      <c r="X38" s="19">
        <f t="shared" si="12"/>
        <v>0</v>
      </c>
      <c r="AA38" s="37" t="s">
        <v>74</v>
      </c>
      <c r="AB38" s="41">
        <f>SUM(P2:P1000)</f>
        <v>4628.8</v>
      </c>
    </row>
    <row r="39" ht="15.75" customHeight="1">
      <c r="A39" s="31">
        <v>38.0</v>
      </c>
      <c r="B39" s="21"/>
      <c r="C39" s="21"/>
      <c r="D39" s="21"/>
      <c r="E39" s="21"/>
      <c r="F39" s="21"/>
      <c r="G39" s="31" t="b">
        <v>1</v>
      </c>
      <c r="H39" s="12" t="b">
        <v>0</v>
      </c>
      <c r="I39" s="3" t="b">
        <v>0</v>
      </c>
      <c r="J39" s="3" t="b">
        <v>0</v>
      </c>
      <c r="K39" s="3" t="b">
        <v>0</v>
      </c>
      <c r="L39" s="8">
        <v>1.0</v>
      </c>
      <c r="M39" s="13">
        <f t="shared" si="1"/>
        <v>0</v>
      </c>
      <c r="N39" s="13">
        <f t="shared" si="2"/>
        <v>0</v>
      </c>
      <c r="O39" s="13">
        <f t="shared" si="3"/>
        <v>0</v>
      </c>
      <c r="P39" s="14">
        <f t="shared" si="4"/>
        <v>0</v>
      </c>
      <c r="Q39" s="15">
        <f t="shared" si="5"/>
        <v>0</v>
      </c>
      <c r="R39" s="14">
        <f t="shared" si="6"/>
        <v>0</v>
      </c>
      <c r="S39" s="14">
        <f t="shared" si="7"/>
        <v>0</v>
      </c>
      <c r="T39" s="14">
        <f t="shared" si="8"/>
        <v>0</v>
      </c>
      <c r="U39" s="14">
        <f t="shared" si="9"/>
        <v>0</v>
      </c>
      <c r="V39" s="14">
        <f t="shared" si="10"/>
        <v>0</v>
      </c>
      <c r="W39" s="14">
        <f t="shared" si="11"/>
        <v>0</v>
      </c>
      <c r="X39" s="19">
        <f t="shared" si="12"/>
        <v>0</v>
      </c>
      <c r="AA39" s="37" t="s">
        <v>75</v>
      </c>
      <c r="AB39" s="41">
        <f>SUM(R2:R1000)</f>
        <v>0</v>
      </c>
    </row>
    <row r="40" ht="15.75" customHeight="1">
      <c r="A40" s="31">
        <v>39.0</v>
      </c>
      <c r="B40" s="21"/>
      <c r="C40" s="21"/>
      <c r="D40" s="21"/>
      <c r="E40" s="21"/>
      <c r="F40" s="21"/>
      <c r="G40" s="31" t="b">
        <v>1</v>
      </c>
      <c r="H40" s="12" t="b">
        <v>0</v>
      </c>
      <c r="I40" s="3" t="b">
        <v>0</v>
      </c>
      <c r="J40" s="3" t="b">
        <v>0</v>
      </c>
      <c r="K40" s="3" t="b">
        <v>0</v>
      </c>
      <c r="L40" s="8">
        <v>1.0</v>
      </c>
      <c r="M40" s="13">
        <f t="shared" si="1"/>
        <v>0</v>
      </c>
      <c r="N40" s="13">
        <f t="shared" si="2"/>
        <v>0</v>
      </c>
      <c r="O40" s="13">
        <f t="shared" si="3"/>
        <v>0</v>
      </c>
      <c r="P40" s="14">
        <f t="shared" si="4"/>
        <v>0</v>
      </c>
      <c r="Q40" s="15">
        <f t="shared" si="5"/>
        <v>0</v>
      </c>
      <c r="R40" s="14">
        <f t="shared" si="6"/>
        <v>0</v>
      </c>
      <c r="S40" s="14">
        <f t="shared" si="7"/>
        <v>0</v>
      </c>
      <c r="T40" s="14">
        <f t="shared" si="8"/>
        <v>0</v>
      </c>
      <c r="U40" s="14">
        <f t="shared" si="9"/>
        <v>0</v>
      </c>
      <c r="V40" s="14">
        <f t="shared" si="10"/>
        <v>0</v>
      </c>
      <c r="W40" s="14">
        <f t="shared" si="11"/>
        <v>0</v>
      </c>
      <c r="X40" s="19">
        <f t="shared" si="12"/>
        <v>0</v>
      </c>
      <c r="AA40" s="37" t="s">
        <v>76</v>
      </c>
      <c r="AB40" s="41">
        <f>SUM(S2:S1000)</f>
        <v>0</v>
      </c>
    </row>
    <row r="41" ht="15.75" customHeight="1">
      <c r="A41" s="31">
        <v>40.0</v>
      </c>
      <c r="B41" s="21"/>
      <c r="C41" s="21"/>
      <c r="D41" s="21"/>
      <c r="E41" s="21"/>
      <c r="F41" s="21"/>
      <c r="G41" s="31" t="b">
        <v>1</v>
      </c>
      <c r="H41" s="12" t="b">
        <v>0</v>
      </c>
      <c r="I41" s="3" t="b">
        <v>0</v>
      </c>
      <c r="J41" s="3" t="b">
        <v>0</v>
      </c>
      <c r="K41" s="3" t="b">
        <v>0</v>
      </c>
      <c r="L41" s="8">
        <v>1.0</v>
      </c>
      <c r="M41" s="13">
        <f t="shared" si="1"/>
        <v>0</v>
      </c>
      <c r="N41" s="13">
        <f t="shared" si="2"/>
        <v>0</v>
      </c>
      <c r="O41" s="13">
        <f t="shared" si="3"/>
        <v>0</v>
      </c>
      <c r="P41" s="14">
        <f t="shared" si="4"/>
        <v>0</v>
      </c>
      <c r="Q41" s="15">
        <f t="shared" si="5"/>
        <v>0</v>
      </c>
      <c r="R41" s="14">
        <f t="shared" si="6"/>
        <v>0</v>
      </c>
      <c r="S41" s="14">
        <f t="shared" si="7"/>
        <v>0</v>
      </c>
      <c r="T41" s="14">
        <f t="shared" si="8"/>
        <v>0</v>
      </c>
      <c r="U41" s="14">
        <f t="shared" si="9"/>
        <v>0</v>
      </c>
      <c r="V41" s="14">
        <f t="shared" si="10"/>
        <v>0</v>
      </c>
      <c r="W41" s="14">
        <f t="shared" si="11"/>
        <v>0</v>
      </c>
      <c r="X41" s="19">
        <f t="shared" si="12"/>
        <v>0</v>
      </c>
      <c r="AA41" s="37" t="s">
        <v>4</v>
      </c>
      <c r="AB41" s="41">
        <f>SUM(T2:T1000)</f>
        <v>0</v>
      </c>
    </row>
    <row r="42" ht="15.75" customHeight="1">
      <c r="A42" s="31">
        <v>41.0</v>
      </c>
      <c r="B42" s="21"/>
      <c r="C42" s="21"/>
      <c r="D42" s="21"/>
      <c r="E42" s="21"/>
      <c r="F42" s="21"/>
      <c r="G42" s="31" t="b">
        <v>1</v>
      </c>
      <c r="H42" s="12" t="b">
        <v>0</v>
      </c>
      <c r="I42" s="3" t="b">
        <v>0</v>
      </c>
      <c r="J42" s="3" t="b">
        <v>0</v>
      </c>
      <c r="K42" s="3" t="b">
        <v>0</v>
      </c>
      <c r="L42" s="8">
        <v>1.0</v>
      </c>
      <c r="M42" s="13">
        <f t="shared" si="1"/>
        <v>0</v>
      </c>
      <c r="N42" s="13">
        <f t="shared" si="2"/>
        <v>0</v>
      </c>
      <c r="O42" s="13">
        <f t="shared" si="3"/>
        <v>0</v>
      </c>
      <c r="P42" s="14">
        <f t="shared" si="4"/>
        <v>0</v>
      </c>
      <c r="Q42" s="15">
        <f t="shared" si="5"/>
        <v>0</v>
      </c>
      <c r="R42" s="14">
        <f t="shared" si="6"/>
        <v>0</v>
      </c>
      <c r="S42" s="14">
        <f t="shared" si="7"/>
        <v>0</v>
      </c>
      <c r="T42" s="14">
        <f t="shared" si="8"/>
        <v>0</v>
      </c>
      <c r="U42" s="14">
        <f t="shared" si="9"/>
        <v>0</v>
      </c>
      <c r="V42" s="14">
        <f t="shared" si="10"/>
        <v>0</v>
      </c>
      <c r="W42" s="14">
        <f t="shared" si="11"/>
        <v>0</v>
      </c>
      <c r="X42" s="19">
        <f t="shared" si="12"/>
        <v>0</v>
      </c>
      <c r="AA42" s="37" t="s">
        <v>77</v>
      </c>
      <c r="AB42" s="41">
        <f>SUM(U2:U1000)</f>
        <v>0</v>
      </c>
    </row>
    <row r="43" ht="21.0" customHeight="1">
      <c r="A43" s="31">
        <v>42.0</v>
      </c>
      <c r="B43" s="21"/>
      <c r="C43" s="21"/>
      <c r="D43" s="21"/>
      <c r="E43" s="21"/>
      <c r="F43" s="21"/>
      <c r="G43" s="31" t="b">
        <v>1</v>
      </c>
      <c r="H43" s="12" t="b">
        <v>0</v>
      </c>
      <c r="I43" s="3" t="b">
        <v>0</v>
      </c>
      <c r="J43" s="3" t="b">
        <v>0</v>
      </c>
      <c r="K43" s="3" t="b">
        <v>0</v>
      </c>
      <c r="L43" s="8">
        <v>1.0</v>
      </c>
      <c r="M43" s="13">
        <f t="shared" si="1"/>
        <v>0</v>
      </c>
      <c r="N43" s="13">
        <f t="shared" si="2"/>
        <v>0</v>
      </c>
      <c r="O43" s="13">
        <f t="shared" si="3"/>
        <v>0</v>
      </c>
      <c r="P43" s="14">
        <f t="shared" si="4"/>
        <v>0</v>
      </c>
      <c r="Q43" s="15">
        <f t="shared" si="5"/>
        <v>0</v>
      </c>
      <c r="R43" s="14">
        <f t="shared" si="6"/>
        <v>0</v>
      </c>
      <c r="S43" s="14">
        <f t="shared" si="7"/>
        <v>0</v>
      </c>
      <c r="T43" s="14">
        <f t="shared" si="8"/>
        <v>0</v>
      </c>
      <c r="U43" s="14">
        <f t="shared" si="9"/>
        <v>0</v>
      </c>
      <c r="V43" s="14">
        <f t="shared" si="10"/>
        <v>0</v>
      </c>
      <c r="W43" s="14">
        <f t="shared" si="11"/>
        <v>0</v>
      </c>
      <c r="X43" s="19">
        <f t="shared" si="12"/>
        <v>0</v>
      </c>
      <c r="AA43" s="37" t="s">
        <v>78</v>
      </c>
      <c r="AB43" s="41">
        <f>SUM(V2:V1000)</f>
        <v>0</v>
      </c>
    </row>
    <row r="44" ht="15.75" customHeight="1">
      <c r="A44" s="31">
        <v>43.0</v>
      </c>
      <c r="B44" s="21"/>
      <c r="C44" s="21"/>
      <c r="D44" s="21"/>
      <c r="E44" s="21"/>
      <c r="F44" s="21"/>
      <c r="G44" s="31" t="b">
        <v>1</v>
      </c>
      <c r="H44" s="12" t="b">
        <v>0</v>
      </c>
      <c r="I44" s="3" t="b">
        <v>0</v>
      </c>
      <c r="J44" s="3" t="b">
        <v>0</v>
      </c>
      <c r="K44" s="3" t="b">
        <v>0</v>
      </c>
      <c r="L44" s="8">
        <v>1.0</v>
      </c>
      <c r="M44" s="13">
        <f t="shared" si="1"/>
        <v>0</v>
      </c>
      <c r="N44" s="13">
        <f t="shared" si="2"/>
        <v>0</v>
      </c>
      <c r="O44" s="13">
        <f t="shared" si="3"/>
        <v>0</v>
      </c>
      <c r="P44" s="14">
        <f t="shared" si="4"/>
        <v>0</v>
      </c>
      <c r="Q44" s="15">
        <f t="shared" si="5"/>
        <v>0</v>
      </c>
      <c r="R44" s="14">
        <f t="shared" si="6"/>
        <v>0</v>
      </c>
      <c r="S44" s="14">
        <f t="shared" si="7"/>
        <v>0</v>
      </c>
      <c r="T44" s="14">
        <f t="shared" si="8"/>
        <v>0</v>
      </c>
      <c r="U44" s="14">
        <f t="shared" si="9"/>
        <v>0</v>
      </c>
      <c r="V44" s="14">
        <f t="shared" si="10"/>
        <v>0</v>
      </c>
      <c r="W44" s="14">
        <f t="shared" si="11"/>
        <v>0</v>
      </c>
      <c r="X44" s="19">
        <f t="shared" si="12"/>
        <v>0</v>
      </c>
      <c r="AA44" s="42" t="s">
        <v>79</v>
      </c>
      <c r="AB44" s="43">
        <f>SUM(W2:W1000)</f>
        <v>4628.8</v>
      </c>
    </row>
    <row r="45" ht="15.75" customHeight="1">
      <c r="A45" s="31">
        <v>44.0</v>
      </c>
      <c r="B45" s="21"/>
      <c r="C45" s="21"/>
      <c r="D45" s="21"/>
      <c r="E45" s="21"/>
      <c r="F45" s="21"/>
      <c r="G45" s="31" t="b">
        <v>1</v>
      </c>
      <c r="H45" s="12" t="b">
        <v>0</v>
      </c>
      <c r="I45" s="3" t="b">
        <v>0</v>
      </c>
      <c r="J45" s="3" t="b">
        <v>0</v>
      </c>
      <c r="K45" s="3" t="b">
        <v>0</v>
      </c>
      <c r="L45" s="8">
        <v>1.0</v>
      </c>
      <c r="M45" s="13">
        <f t="shared" si="1"/>
        <v>0</v>
      </c>
      <c r="N45" s="13">
        <f t="shared" si="2"/>
        <v>0</v>
      </c>
      <c r="O45" s="13">
        <f t="shared" si="3"/>
        <v>0</v>
      </c>
      <c r="P45" s="14">
        <f t="shared" si="4"/>
        <v>0</v>
      </c>
      <c r="Q45" s="15">
        <f t="shared" si="5"/>
        <v>0</v>
      </c>
      <c r="R45" s="14">
        <f t="shared" si="6"/>
        <v>0</v>
      </c>
      <c r="S45" s="14">
        <f t="shared" si="7"/>
        <v>0</v>
      </c>
      <c r="T45" s="14">
        <f t="shared" si="8"/>
        <v>0</v>
      </c>
      <c r="U45" s="14">
        <f t="shared" si="9"/>
        <v>0</v>
      </c>
      <c r="V45" s="14">
        <f t="shared" si="10"/>
        <v>0</v>
      </c>
      <c r="W45" s="14">
        <f t="shared" si="11"/>
        <v>0</v>
      </c>
      <c r="X45" s="19">
        <f t="shared" si="12"/>
        <v>0</v>
      </c>
      <c r="AA45" s="44" t="s">
        <v>80</v>
      </c>
      <c r="AB45" s="45">
        <f>SUM(Q2:Q1000)</f>
        <v>1620.08</v>
      </c>
    </row>
    <row r="46" ht="15.75" customHeight="1">
      <c r="A46" s="31">
        <v>45.0</v>
      </c>
      <c r="B46" s="21"/>
      <c r="C46" s="21"/>
      <c r="D46" s="21"/>
      <c r="E46" s="21"/>
      <c r="F46" s="21"/>
      <c r="G46" s="31" t="b">
        <v>1</v>
      </c>
      <c r="H46" s="12" t="b">
        <v>0</v>
      </c>
      <c r="I46" s="3" t="b">
        <v>0</v>
      </c>
      <c r="J46" s="3" t="b">
        <v>0</v>
      </c>
      <c r="K46" s="3" t="b">
        <v>0</v>
      </c>
      <c r="L46" s="8">
        <v>1.0</v>
      </c>
      <c r="M46" s="13">
        <f t="shared" si="1"/>
        <v>0</v>
      </c>
      <c r="N46" s="13">
        <f t="shared" si="2"/>
        <v>0</v>
      </c>
      <c r="O46" s="13">
        <f t="shared" si="3"/>
        <v>0</v>
      </c>
      <c r="P46" s="14">
        <f t="shared" si="4"/>
        <v>0</v>
      </c>
      <c r="Q46" s="15">
        <f t="shared" si="5"/>
        <v>0</v>
      </c>
      <c r="R46" s="14">
        <f t="shared" si="6"/>
        <v>0</v>
      </c>
      <c r="S46" s="14">
        <f t="shared" si="7"/>
        <v>0</v>
      </c>
      <c r="T46" s="14">
        <f t="shared" si="8"/>
        <v>0</v>
      </c>
      <c r="U46" s="14">
        <f t="shared" si="9"/>
        <v>0</v>
      </c>
      <c r="V46" s="14">
        <f t="shared" si="10"/>
        <v>0</v>
      </c>
      <c r="W46" s="14">
        <f t="shared" si="11"/>
        <v>0</v>
      </c>
      <c r="X46" s="19">
        <f t="shared" si="12"/>
        <v>0</v>
      </c>
    </row>
    <row r="47" ht="15.75" customHeight="1">
      <c r="A47" s="31">
        <v>46.0</v>
      </c>
      <c r="B47" s="21"/>
      <c r="C47" s="21"/>
      <c r="D47" s="21"/>
      <c r="E47" s="21"/>
      <c r="F47" s="21"/>
      <c r="G47" s="31" t="b">
        <v>1</v>
      </c>
      <c r="H47" s="12" t="b">
        <v>0</v>
      </c>
      <c r="I47" s="3" t="b">
        <v>0</v>
      </c>
      <c r="J47" s="3" t="b">
        <v>0</v>
      </c>
      <c r="K47" s="3" t="b">
        <v>0</v>
      </c>
      <c r="L47" s="8">
        <v>1.0</v>
      </c>
      <c r="M47" s="13">
        <f t="shared" si="1"/>
        <v>0</v>
      </c>
      <c r="N47" s="13">
        <f t="shared" si="2"/>
        <v>0</v>
      </c>
      <c r="O47" s="13">
        <f t="shared" si="3"/>
        <v>0</v>
      </c>
      <c r="P47" s="14">
        <f t="shared" si="4"/>
        <v>0</v>
      </c>
      <c r="Q47" s="15">
        <f t="shared" si="5"/>
        <v>0</v>
      </c>
      <c r="R47" s="14">
        <f t="shared" si="6"/>
        <v>0</v>
      </c>
      <c r="S47" s="14">
        <f t="shared" si="7"/>
        <v>0</v>
      </c>
      <c r="T47" s="14">
        <f t="shared" si="8"/>
        <v>0</v>
      </c>
      <c r="U47" s="14">
        <f t="shared" si="9"/>
        <v>0</v>
      </c>
      <c r="V47" s="14">
        <f t="shared" si="10"/>
        <v>0</v>
      </c>
      <c r="W47" s="14">
        <f t="shared" si="11"/>
        <v>0</v>
      </c>
      <c r="X47" s="19">
        <f t="shared" si="12"/>
        <v>0</v>
      </c>
    </row>
    <row r="48" ht="15.75" customHeight="1">
      <c r="A48" s="31">
        <v>47.0</v>
      </c>
      <c r="B48" s="21"/>
      <c r="C48" s="21"/>
      <c r="D48" s="21"/>
      <c r="E48" s="21"/>
      <c r="F48" s="21"/>
      <c r="G48" s="31" t="b">
        <v>1</v>
      </c>
      <c r="H48" s="12" t="b">
        <v>0</v>
      </c>
      <c r="I48" s="3" t="b">
        <v>0</v>
      </c>
      <c r="J48" s="3" t="b">
        <v>0</v>
      </c>
      <c r="K48" s="3" t="b">
        <v>0</v>
      </c>
      <c r="L48" s="8">
        <v>1.0</v>
      </c>
      <c r="M48" s="13">
        <f t="shared" si="1"/>
        <v>0</v>
      </c>
      <c r="N48" s="13">
        <f t="shared" si="2"/>
        <v>0</v>
      </c>
      <c r="O48" s="13">
        <f t="shared" si="3"/>
        <v>0</v>
      </c>
      <c r="P48" s="14">
        <f t="shared" si="4"/>
        <v>0</v>
      </c>
      <c r="Q48" s="15">
        <f t="shared" si="5"/>
        <v>0</v>
      </c>
      <c r="R48" s="14">
        <f t="shared" si="6"/>
        <v>0</v>
      </c>
      <c r="S48" s="14">
        <f t="shared" si="7"/>
        <v>0</v>
      </c>
      <c r="T48" s="14">
        <f t="shared" si="8"/>
        <v>0</v>
      </c>
      <c r="U48" s="14">
        <f t="shared" si="9"/>
        <v>0</v>
      </c>
      <c r="V48" s="14">
        <f t="shared" si="10"/>
        <v>0</v>
      </c>
      <c r="W48" s="14">
        <f t="shared" si="11"/>
        <v>0</v>
      </c>
      <c r="X48" s="19">
        <f t="shared" si="12"/>
        <v>0</v>
      </c>
      <c r="AA48" s="46" t="s">
        <v>81</v>
      </c>
      <c r="AB48" s="26"/>
    </row>
    <row r="49" ht="15.75" customHeight="1">
      <c r="A49" s="31">
        <v>48.0</v>
      </c>
      <c r="B49" s="21"/>
      <c r="C49" s="21"/>
      <c r="D49" s="21"/>
      <c r="E49" s="21"/>
      <c r="F49" s="21"/>
      <c r="G49" s="31" t="b">
        <v>1</v>
      </c>
      <c r="H49" s="12" t="b">
        <v>0</v>
      </c>
      <c r="I49" s="3" t="b">
        <v>0</v>
      </c>
      <c r="J49" s="3" t="b">
        <v>0</v>
      </c>
      <c r="K49" s="3" t="b">
        <v>0</v>
      </c>
      <c r="L49" s="8">
        <v>1.0</v>
      </c>
      <c r="M49" s="13">
        <f t="shared" si="1"/>
        <v>0</v>
      </c>
      <c r="N49" s="13">
        <f t="shared" si="2"/>
        <v>0</v>
      </c>
      <c r="O49" s="13">
        <f t="shared" si="3"/>
        <v>0</v>
      </c>
      <c r="P49" s="14">
        <f t="shared" si="4"/>
        <v>0</v>
      </c>
      <c r="Q49" s="15">
        <f t="shared" si="5"/>
        <v>0</v>
      </c>
      <c r="R49" s="14">
        <f t="shared" si="6"/>
        <v>0</v>
      </c>
      <c r="S49" s="14">
        <f t="shared" si="7"/>
        <v>0</v>
      </c>
      <c r="T49" s="14">
        <f t="shared" si="8"/>
        <v>0</v>
      </c>
      <c r="U49" s="14">
        <f t="shared" si="9"/>
        <v>0</v>
      </c>
      <c r="V49" s="14">
        <f t="shared" si="10"/>
        <v>0</v>
      </c>
      <c r="W49" s="14">
        <f t="shared" si="11"/>
        <v>0</v>
      </c>
      <c r="X49" s="19">
        <f t="shared" si="12"/>
        <v>0</v>
      </c>
      <c r="AA49" s="47" t="s">
        <v>82</v>
      </c>
      <c r="AB49" s="48">
        <v>0.4</v>
      </c>
    </row>
    <row r="50" ht="15.75" customHeight="1">
      <c r="A50" s="31"/>
      <c r="B50" s="21"/>
      <c r="C50" s="21"/>
      <c r="D50" s="21"/>
      <c r="E50" s="21"/>
      <c r="F50" s="21"/>
      <c r="G50" s="31"/>
      <c r="H50" s="12"/>
      <c r="M50" s="13"/>
      <c r="N50" s="13"/>
      <c r="O50" s="13"/>
      <c r="P50" s="14"/>
      <c r="Q50" s="15">
        <f t="shared" si="5"/>
        <v>0</v>
      </c>
      <c r="R50" s="14"/>
      <c r="S50" s="14"/>
      <c r="T50" s="14"/>
      <c r="U50" s="14"/>
      <c r="V50" s="14"/>
      <c r="W50" s="14">
        <f t="shared" si="11"/>
        <v>0</v>
      </c>
      <c r="X50" s="19">
        <f t="shared" si="12"/>
        <v>0</v>
      </c>
      <c r="AA50" s="47" t="s">
        <v>83</v>
      </c>
      <c r="AB50" s="49">
        <v>37.5</v>
      </c>
    </row>
    <row r="51" ht="15.75" customHeight="1">
      <c r="A51" s="31" t="s">
        <v>26</v>
      </c>
      <c r="B51" s="31" t="s">
        <v>26</v>
      </c>
      <c r="C51" s="31" t="s">
        <v>26</v>
      </c>
      <c r="D51" s="31" t="s">
        <v>26</v>
      </c>
      <c r="E51" s="31" t="s">
        <v>26</v>
      </c>
      <c r="F51" s="31" t="s">
        <v>26</v>
      </c>
      <c r="G51" s="31" t="s">
        <v>26</v>
      </c>
      <c r="H51" s="31" t="s">
        <v>26</v>
      </c>
      <c r="I51" s="8" t="s">
        <v>26</v>
      </c>
      <c r="J51" s="8" t="s">
        <v>26</v>
      </c>
      <c r="L51" s="8" t="s">
        <v>26</v>
      </c>
      <c r="M51" s="8" t="s">
        <v>26</v>
      </c>
      <c r="N51" s="8" t="s">
        <v>26</v>
      </c>
      <c r="O51" s="8" t="s">
        <v>26</v>
      </c>
      <c r="P51" s="20" t="s">
        <v>26</v>
      </c>
      <c r="Q51" s="51">
        <f t="shared" si="5"/>
        <v>0</v>
      </c>
      <c r="R51" s="52" t="s">
        <v>26</v>
      </c>
      <c r="S51" s="20" t="s">
        <v>26</v>
      </c>
      <c r="T51" s="20" t="s">
        <v>26</v>
      </c>
      <c r="U51" s="20" t="s">
        <v>26</v>
      </c>
      <c r="V51" s="20" t="s">
        <v>26</v>
      </c>
      <c r="W51" s="20">
        <f t="shared" si="11"/>
        <v>0</v>
      </c>
      <c r="X51" s="19">
        <f t="shared" si="12"/>
        <v>0</v>
      </c>
      <c r="AA51" s="47" t="s">
        <v>74</v>
      </c>
      <c r="AB51" s="50">
        <f t="shared" ref="AB51:AB57" si="13">IFERROR((AB38*$AB$49)/$AB$50,0)</f>
        <v>49.37386667</v>
      </c>
    </row>
    <row r="52" ht="15.75" customHeight="1">
      <c r="A52" s="8" t="s">
        <v>26</v>
      </c>
      <c r="B52" s="8" t="s">
        <v>26</v>
      </c>
      <c r="C52" s="8" t="s">
        <v>26</v>
      </c>
      <c r="D52" s="8" t="s">
        <v>26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51">
        <f t="shared" si="5"/>
        <v>0</v>
      </c>
      <c r="R52" s="8" t="s">
        <v>26</v>
      </c>
      <c r="S52" s="8" t="s">
        <v>26</v>
      </c>
      <c r="T52" s="8" t="s">
        <v>26</v>
      </c>
      <c r="U52" s="8" t="s">
        <v>26</v>
      </c>
      <c r="V52" s="8" t="s">
        <v>26</v>
      </c>
      <c r="W52" s="8">
        <f t="shared" si="11"/>
        <v>0</v>
      </c>
      <c r="X52" s="19">
        <f t="shared" si="12"/>
        <v>0</v>
      </c>
      <c r="AA52" s="47" t="s">
        <v>75</v>
      </c>
      <c r="AB52" s="50">
        <f t="shared" si="13"/>
        <v>0</v>
      </c>
    </row>
    <row r="53" ht="15.75" customHeight="1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51">
        <f t="shared" si="5"/>
        <v>0</v>
      </c>
      <c r="R53" s="8" t="s">
        <v>26</v>
      </c>
      <c r="S53" s="8" t="s">
        <v>26</v>
      </c>
      <c r="T53" s="8" t="s">
        <v>26</v>
      </c>
      <c r="U53" s="8" t="s">
        <v>26</v>
      </c>
      <c r="V53" s="8" t="s">
        <v>26</v>
      </c>
      <c r="W53" s="8">
        <f t="shared" si="11"/>
        <v>0</v>
      </c>
      <c r="X53" s="19">
        <f t="shared" si="12"/>
        <v>0</v>
      </c>
      <c r="AA53" s="47" t="s">
        <v>76</v>
      </c>
      <c r="AB53" s="50">
        <f t="shared" si="13"/>
        <v>0</v>
      </c>
    </row>
    <row r="54" ht="15.75" customHeight="1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51">
        <f t="shared" si="5"/>
        <v>0</v>
      </c>
      <c r="R54" s="8" t="s">
        <v>26</v>
      </c>
      <c r="S54" s="8" t="s">
        <v>26</v>
      </c>
      <c r="T54" s="8" t="s">
        <v>26</v>
      </c>
      <c r="U54" s="8" t="s">
        <v>26</v>
      </c>
      <c r="V54" s="8" t="s">
        <v>26</v>
      </c>
      <c r="W54" s="8">
        <f t="shared" si="11"/>
        <v>0</v>
      </c>
      <c r="X54" s="19">
        <f t="shared" si="12"/>
        <v>0</v>
      </c>
      <c r="AA54" s="47" t="s">
        <v>4</v>
      </c>
      <c r="AB54" s="50">
        <f t="shared" si="13"/>
        <v>0</v>
      </c>
    </row>
    <row r="55" ht="15.75" customHeight="1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51">
        <f t="shared" si="5"/>
        <v>0</v>
      </c>
      <c r="R55" s="8" t="s">
        <v>26</v>
      </c>
      <c r="S55" s="8" t="s">
        <v>26</v>
      </c>
      <c r="T55" s="8" t="s">
        <v>26</v>
      </c>
      <c r="U55" s="8" t="s">
        <v>26</v>
      </c>
      <c r="V55" s="8" t="s">
        <v>26</v>
      </c>
      <c r="W55" s="8">
        <f t="shared" si="11"/>
        <v>0</v>
      </c>
      <c r="X55" s="19">
        <f t="shared" si="12"/>
        <v>0</v>
      </c>
      <c r="AA55" s="47" t="s">
        <v>77</v>
      </c>
      <c r="AB55" s="50">
        <f t="shared" si="13"/>
        <v>0</v>
      </c>
    </row>
    <row r="56" ht="15.75" customHeight="1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51">
        <f t="shared" si="5"/>
        <v>0</v>
      </c>
      <c r="R56" s="8" t="s">
        <v>26</v>
      </c>
      <c r="S56" s="8" t="s">
        <v>26</v>
      </c>
      <c r="T56" s="8" t="s">
        <v>26</v>
      </c>
      <c r="U56" s="8" t="s">
        <v>26</v>
      </c>
      <c r="V56" s="8" t="s">
        <v>26</v>
      </c>
      <c r="W56" s="8">
        <f t="shared" si="11"/>
        <v>0</v>
      </c>
      <c r="X56" s="19">
        <f t="shared" si="12"/>
        <v>0</v>
      </c>
      <c r="AA56" s="53" t="s">
        <v>78</v>
      </c>
      <c r="AB56" s="54">
        <f t="shared" si="13"/>
        <v>0</v>
      </c>
    </row>
    <row r="57" ht="15.75" customHeight="1"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51">
        <f t="shared" si="5"/>
        <v>0</v>
      </c>
      <c r="R57" s="8" t="s">
        <v>26</v>
      </c>
      <c r="S57" s="8" t="s">
        <v>26</v>
      </c>
      <c r="T57" s="8" t="s">
        <v>26</v>
      </c>
      <c r="U57" s="8" t="s">
        <v>26</v>
      </c>
      <c r="V57" s="8" t="s">
        <v>26</v>
      </c>
      <c r="W57" s="8">
        <f t="shared" si="11"/>
        <v>0</v>
      </c>
      <c r="X57" s="19">
        <f t="shared" si="12"/>
        <v>0</v>
      </c>
      <c r="AA57" s="55" t="s">
        <v>84</v>
      </c>
      <c r="AB57" s="56">
        <f t="shared" si="13"/>
        <v>49.37386667</v>
      </c>
    </row>
    <row r="58" ht="15.75" customHeight="1"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51">
        <f t="shared" si="5"/>
        <v>0</v>
      </c>
      <c r="R58" s="8" t="s">
        <v>26</v>
      </c>
      <c r="S58" s="8" t="s">
        <v>26</v>
      </c>
      <c r="T58" s="8" t="s">
        <v>26</v>
      </c>
      <c r="U58" s="8" t="s">
        <v>26</v>
      </c>
      <c r="V58" s="8" t="s">
        <v>26</v>
      </c>
      <c r="W58" s="8">
        <f t="shared" si="11"/>
        <v>0</v>
      </c>
      <c r="X58" s="19">
        <f t="shared" si="12"/>
        <v>0</v>
      </c>
    </row>
    <row r="59" ht="15.75" customHeight="1"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51">
        <f t="shared" si="5"/>
        <v>0</v>
      </c>
      <c r="R59" s="8" t="s">
        <v>26</v>
      </c>
      <c r="S59" s="8" t="s">
        <v>26</v>
      </c>
      <c r="T59" s="8" t="s">
        <v>26</v>
      </c>
      <c r="U59" s="8" t="s">
        <v>26</v>
      </c>
      <c r="V59" s="8" t="s">
        <v>26</v>
      </c>
      <c r="W59" s="8">
        <f t="shared" si="11"/>
        <v>0</v>
      </c>
      <c r="X59" s="19">
        <f t="shared" si="12"/>
        <v>0</v>
      </c>
    </row>
    <row r="60" ht="15.75" customHeight="1">
      <c r="A60" s="31"/>
      <c r="B60" s="8" t="s">
        <v>26</v>
      </c>
      <c r="C60" s="8" t="s">
        <v>26</v>
      </c>
      <c r="D60" s="8" t="s">
        <v>26</v>
      </c>
      <c r="E60" s="8" t="s">
        <v>26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51">
        <f t="shared" si="5"/>
        <v>0</v>
      </c>
      <c r="R60" s="8" t="s">
        <v>26</v>
      </c>
      <c r="S60" s="8" t="s">
        <v>26</v>
      </c>
      <c r="T60" s="8" t="s">
        <v>26</v>
      </c>
      <c r="U60" s="8" t="s">
        <v>26</v>
      </c>
      <c r="V60" s="8" t="s">
        <v>26</v>
      </c>
      <c r="W60" s="8">
        <f t="shared" si="11"/>
        <v>0</v>
      </c>
      <c r="X60" s="19">
        <f t="shared" si="12"/>
        <v>0</v>
      </c>
    </row>
    <row r="61" ht="15.75" customHeight="1">
      <c r="Q61" s="15">
        <f t="shared" si="5"/>
        <v>0</v>
      </c>
      <c r="W61" s="22">
        <f t="shared" si="11"/>
        <v>0</v>
      </c>
      <c r="X61" s="19">
        <f t="shared" si="12"/>
        <v>0</v>
      </c>
    </row>
    <row r="62" ht="15.75" customHeight="1">
      <c r="A62" s="21"/>
      <c r="Q62" s="15">
        <f t="shared" si="5"/>
        <v>0</v>
      </c>
      <c r="W62" s="22">
        <f t="shared" si="11"/>
        <v>0</v>
      </c>
      <c r="X62" s="19">
        <f t="shared" si="12"/>
        <v>0</v>
      </c>
    </row>
    <row r="63" ht="15.75" customHeight="1">
      <c r="A63" s="21"/>
      <c r="Q63" s="15">
        <f t="shared" si="5"/>
        <v>0</v>
      </c>
      <c r="W63" s="22">
        <f t="shared" si="11"/>
        <v>0</v>
      </c>
      <c r="X63" s="19">
        <f t="shared" si="12"/>
        <v>0</v>
      </c>
    </row>
    <row r="64" ht="15.75" customHeight="1">
      <c r="Q64" s="15">
        <f t="shared" si="5"/>
        <v>0</v>
      </c>
      <c r="W64" s="22">
        <f t="shared" si="11"/>
        <v>0</v>
      </c>
      <c r="X64" s="19">
        <f t="shared" si="12"/>
        <v>0</v>
      </c>
    </row>
    <row r="65" ht="15.75" customHeight="1">
      <c r="Q65" s="15">
        <f t="shared" si="5"/>
        <v>0</v>
      </c>
      <c r="W65" s="22">
        <f t="shared" si="11"/>
        <v>0</v>
      </c>
      <c r="X65" s="19">
        <f t="shared" si="12"/>
        <v>0</v>
      </c>
    </row>
    <row r="66" ht="15.75" customHeight="1">
      <c r="Q66" s="15">
        <f t="shared" si="5"/>
        <v>0</v>
      </c>
      <c r="W66" s="22">
        <f t="shared" si="11"/>
        <v>0</v>
      </c>
      <c r="X66" s="19">
        <f t="shared" si="12"/>
        <v>0</v>
      </c>
    </row>
    <row r="67" ht="15.75" customHeight="1">
      <c r="Q67" s="15">
        <f t="shared" si="5"/>
        <v>0</v>
      </c>
      <c r="W67" s="22">
        <f t="shared" si="11"/>
        <v>0</v>
      </c>
      <c r="X67" s="19">
        <f t="shared" si="12"/>
        <v>0</v>
      </c>
    </row>
    <row r="68" ht="15.75" customHeight="1">
      <c r="Q68" s="15">
        <f t="shared" si="5"/>
        <v>0</v>
      </c>
      <c r="W68" s="22">
        <f t="shared" si="11"/>
        <v>0</v>
      </c>
      <c r="X68" s="19">
        <f t="shared" si="12"/>
        <v>0</v>
      </c>
    </row>
    <row r="69" ht="15.75" customHeight="1">
      <c r="Q69" s="15">
        <f t="shared" si="5"/>
        <v>0</v>
      </c>
      <c r="W69" s="22">
        <f t="shared" si="11"/>
        <v>0</v>
      </c>
      <c r="X69" s="19">
        <f t="shared" si="12"/>
        <v>0</v>
      </c>
    </row>
    <row r="70" ht="15.75" customHeight="1">
      <c r="Q70" s="15">
        <f t="shared" si="5"/>
        <v>0</v>
      </c>
      <c r="W70" s="22">
        <f t="shared" si="11"/>
        <v>0</v>
      </c>
      <c r="X70" s="19">
        <f t="shared" si="12"/>
        <v>0</v>
      </c>
    </row>
    <row r="71" ht="15.75" customHeight="1">
      <c r="Q71" s="15">
        <f t="shared" si="5"/>
        <v>0</v>
      </c>
      <c r="W71" s="22">
        <f t="shared" si="11"/>
        <v>0</v>
      </c>
      <c r="X71" s="19">
        <f t="shared" si="12"/>
        <v>0</v>
      </c>
    </row>
    <row r="72" ht="15.75" customHeight="1">
      <c r="Q72" s="15">
        <f t="shared" si="5"/>
        <v>0</v>
      </c>
      <c r="W72" s="22">
        <f t="shared" si="11"/>
        <v>0</v>
      </c>
      <c r="X72" s="19">
        <f t="shared" si="12"/>
        <v>0</v>
      </c>
    </row>
    <row r="73" ht="15.75" customHeight="1">
      <c r="Q73" s="15">
        <f t="shared" si="5"/>
        <v>0</v>
      </c>
      <c r="W73" s="22">
        <f t="shared" si="11"/>
        <v>0</v>
      </c>
      <c r="X73" s="19">
        <f t="shared" si="12"/>
        <v>0</v>
      </c>
    </row>
    <row r="74" ht="15.75" customHeight="1">
      <c r="Q74" s="15">
        <f t="shared" si="5"/>
        <v>0</v>
      </c>
      <c r="W74" s="22">
        <f t="shared" si="11"/>
        <v>0</v>
      </c>
      <c r="X74" s="19">
        <f t="shared" si="12"/>
        <v>0</v>
      </c>
    </row>
    <row r="75" ht="15.75" customHeight="1">
      <c r="Q75" s="15">
        <f t="shared" si="5"/>
        <v>0</v>
      </c>
      <c r="W75" s="22">
        <f t="shared" si="11"/>
        <v>0</v>
      </c>
      <c r="X75" s="19">
        <f t="shared" si="12"/>
        <v>0</v>
      </c>
    </row>
    <row r="76" ht="15.75" customHeight="1">
      <c r="Q76" s="15">
        <f t="shared" si="5"/>
        <v>0</v>
      </c>
      <c r="W76" s="22">
        <f t="shared" si="11"/>
        <v>0</v>
      </c>
      <c r="X76" s="19">
        <f t="shared" si="12"/>
        <v>0</v>
      </c>
    </row>
    <row r="77" ht="15.75" customHeight="1">
      <c r="Q77" s="15">
        <f t="shared" si="5"/>
        <v>0</v>
      </c>
      <c r="W77" s="22">
        <f t="shared" si="11"/>
        <v>0</v>
      </c>
      <c r="X77" s="19">
        <f t="shared" si="12"/>
        <v>0</v>
      </c>
    </row>
    <row r="78" ht="15.75" customHeight="1">
      <c r="Q78" s="15">
        <f t="shared" si="5"/>
        <v>0</v>
      </c>
      <c r="W78" s="22">
        <f t="shared" si="11"/>
        <v>0</v>
      </c>
      <c r="X78" s="19">
        <f t="shared" si="12"/>
        <v>0</v>
      </c>
    </row>
    <row r="79" ht="15.75" customHeight="1">
      <c r="Q79" s="15">
        <f t="shared" si="5"/>
        <v>0</v>
      </c>
      <c r="W79" s="22">
        <f t="shared" si="11"/>
        <v>0</v>
      </c>
      <c r="X79" s="19">
        <f t="shared" si="12"/>
        <v>0</v>
      </c>
    </row>
    <row r="80" ht="15.75" customHeight="1">
      <c r="Q80" s="15">
        <f t="shared" si="5"/>
        <v>0</v>
      </c>
      <c r="W80" s="22">
        <f t="shared" si="11"/>
        <v>0</v>
      </c>
      <c r="X80" s="19">
        <f t="shared" si="12"/>
        <v>0</v>
      </c>
    </row>
    <row r="81" ht="15.75" customHeight="1">
      <c r="Q81" s="15">
        <f t="shared" si="5"/>
        <v>0</v>
      </c>
      <c r="W81" s="22">
        <f t="shared" si="11"/>
        <v>0</v>
      </c>
      <c r="X81" s="19">
        <f t="shared" si="12"/>
        <v>0</v>
      </c>
    </row>
    <row r="82" ht="15.75" customHeight="1">
      <c r="Q82" s="15">
        <f t="shared" si="5"/>
        <v>0</v>
      </c>
      <c r="W82" s="22">
        <f t="shared" si="11"/>
        <v>0</v>
      </c>
      <c r="X82" s="19">
        <f t="shared" si="12"/>
        <v>0</v>
      </c>
    </row>
    <row r="83" ht="15.75" customHeight="1">
      <c r="Q83" s="15">
        <f t="shared" si="5"/>
        <v>0</v>
      </c>
      <c r="W83" s="22">
        <f t="shared" si="11"/>
        <v>0</v>
      </c>
      <c r="X83" s="19">
        <f t="shared" si="12"/>
        <v>0</v>
      </c>
    </row>
    <row r="84" ht="15.75" customHeight="1">
      <c r="Q84" s="15">
        <f t="shared" si="5"/>
        <v>0</v>
      </c>
      <c r="W84" s="22">
        <f t="shared" si="11"/>
        <v>0</v>
      </c>
      <c r="X84" s="19">
        <f t="shared" si="12"/>
        <v>0</v>
      </c>
    </row>
    <row r="85" ht="15.75" customHeight="1">
      <c r="Q85" s="15">
        <f t="shared" si="5"/>
        <v>0</v>
      </c>
      <c r="W85" s="22">
        <f t="shared" si="11"/>
        <v>0</v>
      </c>
      <c r="X85" s="19">
        <f t="shared" si="12"/>
        <v>0</v>
      </c>
    </row>
    <row r="86" ht="15.75" customHeight="1">
      <c r="Q86" s="15">
        <f t="shared" si="5"/>
        <v>0</v>
      </c>
      <c r="W86" s="22">
        <f t="shared" si="11"/>
        <v>0</v>
      </c>
      <c r="X86" s="19">
        <f t="shared" si="12"/>
        <v>0</v>
      </c>
    </row>
    <row r="87" ht="15.75" customHeight="1">
      <c r="Q87" s="15">
        <f t="shared" si="5"/>
        <v>0</v>
      </c>
      <c r="W87" s="22">
        <f t="shared" si="11"/>
        <v>0</v>
      </c>
      <c r="X87" s="19">
        <f t="shared" si="12"/>
        <v>0</v>
      </c>
    </row>
    <row r="88" ht="15.75" customHeight="1">
      <c r="Q88" s="15">
        <f t="shared" si="5"/>
        <v>0</v>
      </c>
      <c r="W88" s="22">
        <f t="shared" si="11"/>
        <v>0</v>
      </c>
      <c r="X88" s="19">
        <f t="shared" si="12"/>
        <v>0</v>
      </c>
    </row>
    <row r="89" ht="15.75" customHeight="1">
      <c r="Q89" s="15">
        <f t="shared" si="5"/>
        <v>0</v>
      </c>
      <c r="W89" s="22">
        <f t="shared" si="11"/>
        <v>0</v>
      </c>
      <c r="X89" s="19">
        <f t="shared" si="12"/>
        <v>0</v>
      </c>
    </row>
    <row r="90" ht="15.75" customHeight="1">
      <c r="Q90" s="15">
        <f t="shared" si="5"/>
        <v>0</v>
      </c>
      <c r="W90" s="22">
        <f t="shared" si="11"/>
        <v>0</v>
      </c>
      <c r="X90" s="19">
        <f t="shared" si="12"/>
        <v>0</v>
      </c>
    </row>
    <row r="91" ht="15.75" customHeight="1">
      <c r="Q91" s="15">
        <f t="shared" si="5"/>
        <v>0</v>
      </c>
      <c r="W91" s="22">
        <f t="shared" si="11"/>
        <v>0</v>
      </c>
      <c r="X91" s="19">
        <f t="shared" si="12"/>
        <v>0</v>
      </c>
    </row>
    <row r="92" ht="15.75" customHeight="1">
      <c r="Q92" s="15">
        <f t="shared" si="5"/>
        <v>0</v>
      </c>
      <c r="W92" s="22">
        <f t="shared" si="11"/>
        <v>0</v>
      </c>
      <c r="X92" s="19">
        <f t="shared" si="12"/>
        <v>0</v>
      </c>
    </row>
    <row r="93" ht="15.75" customHeight="1">
      <c r="Q93" s="15">
        <f t="shared" si="5"/>
        <v>0</v>
      </c>
      <c r="W93" s="22">
        <f t="shared" si="11"/>
        <v>0</v>
      </c>
      <c r="X93" s="19">
        <f t="shared" si="12"/>
        <v>0</v>
      </c>
    </row>
    <row r="94" ht="15.75" customHeight="1">
      <c r="Q94" s="15">
        <f t="shared" si="5"/>
        <v>0</v>
      </c>
      <c r="W94" s="22">
        <f t="shared" si="11"/>
        <v>0</v>
      </c>
      <c r="X94" s="19">
        <f t="shared" si="12"/>
        <v>0</v>
      </c>
    </row>
    <row r="95" ht="15.75" customHeight="1">
      <c r="Q95" s="15">
        <f t="shared" si="5"/>
        <v>0</v>
      </c>
      <c r="W95" s="22">
        <f t="shared" si="11"/>
        <v>0</v>
      </c>
      <c r="X95" s="19">
        <f t="shared" si="12"/>
        <v>0</v>
      </c>
    </row>
    <row r="96" ht="15.75" customHeight="1">
      <c r="Q96" s="15">
        <f t="shared" si="5"/>
        <v>0</v>
      </c>
      <c r="W96" s="22">
        <f t="shared" si="11"/>
        <v>0</v>
      </c>
      <c r="X96" s="19">
        <f t="shared" si="12"/>
        <v>0</v>
      </c>
    </row>
    <row r="97" ht="15.75" customHeight="1">
      <c r="Q97" s="15">
        <f t="shared" si="5"/>
        <v>0</v>
      </c>
      <c r="W97" s="22">
        <f t="shared" si="11"/>
        <v>0</v>
      </c>
      <c r="X97" s="19">
        <f t="shared" si="12"/>
        <v>0</v>
      </c>
    </row>
    <row r="98" ht="15.75" customHeight="1">
      <c r="Q98" s="15">
        <f t="shared" si="5"/>
        <v>0</v>
      </c>
      <c r="W98" s="22">
        <f t="shared" si="11"/>
        <v>0</v>
      </c>
      <c r="X98" s="19">
        <f t="shared" si="12"/>
        <v>0</v>
      </c>
    </row>
    <row r="99" ht="15.75" customHeight="1">
      <c r="Q99" s="15">
        <f t="shared" si="5"/>
        <v>0</v>
      </c>
      <c r="W99" s="22">
        <f t="shared" si="11"/>
        <v>0</v>
      </c>
      <c r="X99" s="19">
        <f t="shared" si="12"/>
        <v>0</v>
      </c>
    </row>
    <row r="100" ht="15.75" customHeight="1">
      <c r="Q100" s="15">
        <f t="shared" si="5"/>
        <v>0</v>
      </c>
      <c r="W100" s="22">
        <f t="shared" si="11"/>
        <v>0</v>
      </c>
      <c r="X100" s="19">
        <f t="shared" si="12"/>
        <v>0</v>
      </c>
    </row>
    <row r="101" ht="15.75" customHeight="1">
      <c r="Q101" s="15">
        <f t="shared" si="5"/>
        <v>0</v>
      </c>
      <c r="W101" s="22">
        <f t="shared" si="11"/>
        <v>0</v>
      </c>
      <c r="X101" s="19">
        <f t="shared" si="12"/>
        <v>0</v>
      </c>
    </row>
    <row r="102" ht="15.75" customHeight="1">
      <c r="Q102" s="15">
        <f t="shared" si="5"/>
        <v>0</v>
      </c>
      <c r="W102" s="22">
        <f t="shared" si="11"/>
        <v>0</v>
      </c>
      <c r="X102" s="19">
        <f t="shared" si="12"/>
        <v>0</v>
      </c>
    </row>
    <row r="103" ht="15.75" customHeight="1">
      <c r="Q103" s="15">
        <f t="shared" si="5"/>
        <v>0</v>
      </c>
      <c r="W103" s="22">
        <f t="shared" si="11"/>
        <v>0</v>
      </c>
      <c r="X103" s="19">
        <f t="shared" si="12"/>
        <v>0</v>
      </c>
    </row>
    <row r="104" ht="15.75" customHeight="1">
      <c r="Q104" s="15">
        <f t="shared" si="5"/>
        <v>0</v>
      </c>
      <c r="W104" s="22">
        <f t="shared" si="11"/>
        <v>0</v>
      </c>
      <c r="X104" s="19">
        <f t="shared" si="12"/>
        <v>0</v>
      </c>
    </row>
    <row r="105" ht="15.75" customHeight="1">
      <c r="Q105" s="15">
        <f t="shared" si="5"/>
        <v>0</v>
      </c>
      <c r="W105" s="22">
        <f t="shared" si="11"/>
        <v>0</v>
      </c>
      <c r="X105" s="19">
        <f t="shared" si="12"/>
        <v>0</v>
      </c>
    </row>
    <row r="106" ht="15.75" customHeight="1">
      <c r="Q106" s="15">
        <f t="shared" si="5"/>
        <v>0</v>
      </c>
      <c r="W106" s="22">
        <f t="shared" si="11"/>
        <v>0</v>
      </c>
      <c r="X106" s="19">
        <f t="shared" si="12"/>
        <v>0</v>
      </c>
    </row>
    <row r="107" ht="15.75" customHeight="1">
      <c r="Q107" s="15">
        <f t="shared" si="5"/>
        <v>0</v>
      </c>
      <c r="W107" s="22">
        <f t="shared" si="11"/>
        <v>0</v>
      </c>
      <c r="X107" s="19">
        <f t="shared" si="12"/>
        <v>0</v>
      </c>
    </row>
    <row r="108" ht="15.75" customHeight="1">
      <c r="Q108" s="15">
        <f t="shared" si="5"/>
        <v>0</v>
      </c>
      <c r="W108" s="22">
        <f t="shared" si="11"/>
        <v>0</v>
      </c>
      <c r="X108" s="19">
        <f t="shared" si="12"/>
        <v>0</v>
      </c>
    </row>
    <row r="109" ht="15.75" customHeight="1">
      <c r="Q109" s="15">
        <f t="shared" si="5"/>
        <v>0</v>
      </c>
      <c r="W109" s="22">
        <f t="shared" si="11"/>
        <v>0</v>
      </c>
      <c r="X109" s="19">
        <f t="shared" si="12"/>
        <v>0</v>
      </c>
    </row>
    <row r="110" ht="15.75" customHeight="1">
      <c r="Q110" s="15">
        <f t="shared" si="5"/>
        <v>0</v>
      </c>
      <c r="W110" s="22">
        <f t="shared" si="11"/>
        <v>0</v>
      </c>
      <c r="X110" s="19">
        <f t="shared" si="12"/>
        <v>0</v>
      </c>
    </row>
    <row r="111" ht="15.75" customHeight="1">
      <c r="Q111" s="15">
        <f t="shared" si="5"/>
        <v>0</v>
      </c>
      <c r="W111" s="22">
        <f t="shared" si="11"/>
        <v>0</v>
      </c>
      <c r="X111" s="19">
        <f t="shared" si="12"/>
        <v>0</v>
      </c>
    </row>
    <row r="112" ht="15.75" customHeight="1">
      <c r="Q112" s="15">
        <f t="shared" si="5"/>
        <v>0</v>
      </c>
      <c r="W112" s="22">
        <f t="shared" si="11"/>
        <v>0</v>
      </c>
      <c r="X112" s="19">
        <f t="shared" si="12"/>
        <v>0</v>
      </c>
    </row>
    <row r="113" ht="15.75" customHeight="1">
      <c r="Q113" s="15">
        <f t="shared" si="5"/>
        <v>0</v>
      </c>
      <c r="W113" s="22">
        <f t="shared" si="11"/>
        <v>0</v>
      </c>
      <c r="X113" s="19">
        <f t="shared" si="12"/>
        <v>0</v>
      </c>
    </row>
    <row r="114" ht="15.75" customHeight="1">
      <c r="Q114" s="15">
        <f t="shared" si="5"/>
        <v>0</v>
      </c>
      <c r="W114" s="22">
        <f t="shared" si="11"/>
        <v>0</v>
      </c>
      <c r="X114" s="19">
        <f t="shared" si="12"/>
        <v>0</v>
      </c>
    </row>
    <row r="115" ht="15.75" customHeight="1">
      <c r="Q115" s="15">
        <f t="shared" si="5"/>
        <v>0</v>
      </c>
      <c r="W115" s="22">
        <f t="shared" si="11"/>
        <v>0</v>
      </c>
      <c r="X115" s="19">
        <f t="shared" si="12"/>
        <v>0</v>
      </c>
    </row>
    <row r="116" ht="15.75" customHeight="1">
      <c r="Q116" s="15">
        <f t="shared" si="5"/>
        <v>0</v>
      </c>
      <c r="W116" s="22">
        <f t="shared" si="11"/>
        <v>0</v>
      </c>
      <c r="X116" s="19">
        <f t="shared" si="12"/>
        <v>0</v>
      </c>
    </row>
    <row r="117" ht="15.75" customHeight="1">
      <c r="Q117" s="15">
        <f t="shared" si="5"/>
        <v>0</v>
      </c>
      <c r="W117" s="22">
        <f t="shared" si="11"/>
        <v>0</v>
      </c>
      <c r="X117" s="19">
        <f t="shared" si="12"/>
        <v>0</v>
      </c>
    </row>
    <row r="118" ht="15.75" customHeight="1">
      <c r="Q118" s="15">
        <f t="shared" si="5"/>
        <v>0</v>
      </c>
      <c r="W118" s="22">
        <f t="shared" si="11"/>
        <v>0</v>
      </c>
      <c r="X118" s="19">
        <f t="shared" si="12"/>
        <v>0</v>
      </c>
    </row>
    <row r="119" ht="15.75" customHeight="1">
      <c r="Q119" s="15">
        <f t="shared" si="5"/>
        <v>0</v>
      </c>
      <c r="W119" s="22">
        <f t="shared" si="11"/>
        <v>0</v>
      </c>
      <c r="X119" s="19">
        <f t="shared" si="12"/>
        <v>0</v>
      </c>
    </row>
    <row r="120" ht="15.75" customHeight="1">
      <c r="Q120" s="15">
        <f t="shared" si="5"/>
        <v>0</v>
      </c>
      <c r="W120" s="22">
        <f t="shared" si="11"/>
        <v>0</v>
      </c>
      <c r="X120" s="19">
        <f t="shared" si="12"/>
        <v>0</v>
      </c>
    </row>
    <row r="121" ht="15.75" customHeight="1">
      <c r="Q121" s="15">
        <f t="shared" si="5"/>
        <v>0</v>
      </c>
      <c r="W121" s="22">
        <f t="shared" si="11"/>
        <v>0</v>
      </c>
      <c r="X121" s="19">
        <f t="shared" si="12"/>
        <v>0</v>
      </c>
    </row>
    <row r="122" ht="15.75" customHeight="1">
      <c r="Q122" s="15">
        <f t="shared" si="5"/>
        <v>0</v>
      </c>
      <c r="W122" s="22">
        <f t="shared" si="11"/>
        <v>0</v>
      </c>
      <c r="X122" s="19">
        <f t="shared" si="12"/>
        <v>0</v>
      </c>
    </row>
    <row r="123" ht="15.75" customHeight="1">
      <c r="Q123" s="15">
        <f t="shared" si="5"/>
        <v>0</v>
      </c>
      <c r="W123" s="22">
        <f t="shared" si="11"/>
        <v>0</v>
      </c>
      <c r="X123" s="19">
        <f t="shared" si="12"/>
        <v>0</v>
      </c>
    </row>
    <row r="124" ht="15.75" customHeight="1">
      <c r="Q124" s="15">
        <f t="shared" si="5"/>
        <v>0</v>
      </c>
      <c r="W124" s="22">
        <f t="shared" si="11"/>
        <v>0</v>
      </c>
      <c r="X124" s="19">
        <f t="shared" si="12"/>
        <v>0</v>
      </c>
    </row>
    <row r="125" ht="15.75" customHeight="1">
      <c r="Q125" s="15">
        <f t="shared" si="5"/>
        <v>0</v>
      </c>
      <c r="W125" s="22">
        <f t="shared" si="11"/>
        <v>0</v>
      </c>
      <c r="X125" s="19">
        <f t="shared" si="12"/>
        <v>0</v>
      </c>
    </row>
    <row r="126" ht="15.75" customHeight="1">
      <c r="Q126" s="15">
        <f t="shared" si="5"/>
        <v>0</v>
      </c>
      <c r="W126" s="22">
        <f t="shared" si="11"/>
        <v>0</v>
      </c>
      <c r="X126" s="19">
        <f t="shared" si="12"/>
        <v>0</v>
      </c>
    </row>
    <row r="127" ht="15.75" customHeight="1">
      <c r="Q127" s="15">
        <f t="shared" si="5"/>
        <v>0</v>
      </c>
      <c r="W127" s="22">
        <f t="shared" si="11"/>
        <v>0</v>
      </c>
      <c r="X127" s="19">
        <f t="shared" si="12"/>
        <v>0</v>
      </c>
    </row>
    <row r="128" ht="15.75" customHeight="1">
      <c r="Q128" s="15">
        <f t="shared" si="5"/>
        <v>0</v>
      </c>
      <c r="W128" s="22">
        <f t="shared" si="11"/>
        <v>0</v>
      </c>
      <c r="X128" s="19">
        <f t="shared" si="12"/>
        <v>0</v>
      </c>
    </row>
    <row r="129" ht="15.75" customHeight="1">
      <c r="Q129" s="15">
        <f t="shared" si="5"/>
        <v>0</v>
      </c>
      <c r="W129" s="22">
        <f t="shared" si="11"/>
        <v>0</v>
      </c>
      <c r="X129" s="19">
        <f t="shared" si="12"/>
        <v>0</v>
      </c>
    </row>
    <row r="130" ht="15.75" customHeight="1">
      <c r="Q130" s="15">
        <f t="shared" si="5"/>
        <v>0</v>
      </c>
      <c r="W130" s="22">
        <f t="shared" si="11"/>
        <v>0</v>
      </c>
      <c r="X130" s="19">
        <f t="shared" si="12"/>
        <v>0</v>
      </c>
    </row>
    <row r="131" ht="15.75" customHeight="1">
      <c r="Q131" s="15">
        <f t="shared" si="5"/>
        <v>0</v>
      </c>
      <c r="W131" s="22">
        <f t="shared" si="11"/>
        <v>0</v>
      </c>
      <c r="X131" s="19">
        <f t="shared" si="12"/>
        <v>0</v>
      </c>
    </row>
    <row r="132" ht="15.75" customHeight="1">
      <c r="Q132" s="15">
        <f t="shared" si="5"/>
        <v>0</v>
      </c>
      <c r="W132" s="22">
        <f t="shared" si="11"/>
        <v>0</v>
      </c>
      <c r="X132" s="19">
        <f t="shared" si="12"/>
        <v>0</v>
      </c>
    </row>
    <row r="133" ht="15.75" customHeight="1">
      <c r="Q133" s="15">
        <f t="shared" si="5"/>
        <v>0</v>
      </c>
      <c r="W133" s="22">
        <f t="shared" si="11"/>
        <v>0</v>
      </c>
      <c r="X133" s="19">
        <f t="shared" si="12"/>
        <v>0</v>
      </c>
    </row>
    <row r="134" ht="15.75" customHeight="1">
      <c r="Q134" s="15">
        <f t="shared" si="5"/>
        <v>0</v>
      </c>
      <c r="W134" s="22">
        <f t="shared" si="11"/>
        <v>0</v>
      </c>
      <c r="X134" s="19">
        <f t="shared" si="12"/>
        <v>0</v>
      </c>
    </row>
    <row r="135" ht="15.75" customHeight="1">
      <c r="Q135" s="15">
        <f t="shared" si="5"/>
        <v>0</v>
      </c>
      <c r="W135" s="22">
        <f t="shared" si="11"/>
        <v>0</v>
      </c>
      <c r="X135" s="19">
        <f t="shared" si="12"/>
        <v>0</v>
      </c>
    </row>
    <row r="136" ht="15.75" customHeight="1">
      <c r="Q136" s="15">
        <f t="shared" si="5"/>
        <v>0</v>
      </c>
      <c r="W136" s="22">
        <f t="shared" si="11"/>
        <v>0</v>
      </c>
      <c r="X136" s="19">
        <f t="shared" si="12"/>
        <v>0</v>
      </c>
    </row>
    <row r="137" ht="15.75" customHeight="1">
      <c r="Q137" s="15">
        <f t="shared" si="5"/>
        <v>0</v>
      </c>
      <c r="W137" s="22">
        <f t="shared" si="11"/>
        <v>0</v>
      </c>
      <c r="X137" s="19">
        <f t="shared" si="12"/>
        <v>0</v>
      </c>
    </row>
    <row r="138" ht="15.75" customHeight="1">
      <c r="Q138" s="15">
        <f t="shared" si="5"/>
        <v>0</v>
      </c>
      <c r="W138" s="22">
        <f t="shared" si="11"/>
        <v>0</v>
      </c>
      <c r="X138" s="19">
        <f t="shared" si="12"/>
        <v>0</v>
      </c>
    </row>
    <row r="139" ht="15.75" customHeight="1">
      <c r="Q139" s="15">
        <f t="shared" si="5"/>
        <v>0</v>
      </c>
      <c r="W139" s="22">
        <f t="shared" si="11"/>
        <v>0</v>
      </c>
      <c r="X139" s="19">
        <f t="shared" si="12"/>
        <v>0</v>
      </c>
    </row>
    <row r="140" ht="15.75" customHeight="1">
      <c r="Q140" s="15">
        <f t="shared" si="5"/>
        <v>0</v>
      </c>
      <c r="W140" s="22">
        <f t="shared" si="11"/>
        <v>0</v>
      </c>
      <c r="X140" s="19">
        <f t="shared" si="12"/>
        <v>0</v>
      </c>
    </row>
    <row r="141" ht="15.75" customHeight="1">
      <c r="Q141" s="15">
        <f t="shared" si="5"/>
        <v>0</v>
      </c>
      <c r="W141" s="22">
        <f t="shared" si="11"/>
        <v>0</v>
      </c>
      <c r="X141" s="19">
        <f t="shared" si="12"/>
        <v>0</v>
      </c>
    </row>
    <row r="142" ht="15.75" customHeight="1">
      <c r="Q142" s="15">
        <f t="shared" si="5"/>
        <v>0</v>
      </c>
      <c r="W142" s="22">
        <f t="shared" si="11"/>
        <v>0</v>
      </c>
      <c r="X142" s="19">
        <f t="shared" si="12"/>
        <v>0</v>
      </c>
    </row>
    <row r="143" ht="15.75" customHeight="1">
      <c r="Q143" s="15">
        <f t="shared" si="5"/>
        <v>0</v>
      </c>
      <c r="W143" s="22">
        <f t="shared" si="11"/>
        <v>0</v>
      </c>
      <c r="X143" s="19">
        <f t="shared" si="12"/>
        <v>0</v>
      </c>
    </row>
    <row r="144" ht="15.75" customHeight="1">
      <c r="Q144" s="15">
        <f t="shared" si="5"/>
        <v>0</v>
      </c>
      <c r="W144" s="22">
        <f t="shared" si="11"/>
        <v>0</v>
      </c>
      <c r="X144" s="19">
        <f t="shared" si="12"/>
        <v>0</v>
      </c>
    </row>
    <row r="145" ht="15.75" customHeight="1">
      <c r="Q145" s="15">
        <f t="shared" si="5"/>
        <v>0</v>
      </c>
      <c r="W145" s="22">
        <f t="shared" si="11"/>
        <v>0</v>
      </c>
      <c r="X145" s="19">
        <f t="shared" si="12"/>
        <v>0</v>
      </c>
    </row>
    <row r="146" ht="15.75" customHeight="1">
      <c r="Q146" s="15">
        <f t="shared" si="5"/>
        <v>0</v>
      </c>
      <c r="W146" s="22">
        <f t="shared" si="11"/>
        <v>0</v>
      </c>
      <c r="X146" s="19">
        <f t="shared" si="12"/>
        <v>0</v>
      </c>
    </row>
    <row r="147" ht="15.75" customHeight="1">
      <c r="Q147" s="15">
        <f t="shared" si="5"/>
        <v>0</v>
      </c>
      <c r="W147" s="22">
        <f t="shared" si="11"/>
        <v>0</v>
      </c>
      <c r="X147" s="19">
        <f t="shared" si="12"/>
        <v>0</v>
      </c>
    </row>
    <row r="148" ht="15.75" customHeight="1">
      <c r="Q148" s="15">
        <f t="shared" si="5"/>
        <v>0</v>
      </c>
      <c r="W148" s="22">
        <f t="shared" si="11"/>
        <v>0</v>
      </c>
      <c r="X148" s="19">
        <f t="shared" si="12"/>
        <v>0</v>
      </c>
    </row>
    <row r="149" ht="15.75" customHeight="1">
      <c r="Q149" s="15">
        <f t="shared" si="5"/>
        <v>0</v>
      </c>
      <c r="W149" s="22">
        <f t="shared" si="11"/>
        <v>0</v>
      </c>
      <c r="X149" s="19">
        <f t="shared" si="12"/>
        <v>0</v>
      </c>
    </row>
    <row r="150" ht="15.75" customHeight="1">
      <c r="Q150" s="15">
        <f t="shared" si="5"/>
        <v>0</v>
      </c>
      <c r="W150" s="22">
        <f t="shared" si="11"/>
        <v>0</v>
      </c>
      <c r="X150" s="19">
        <f t="shared" si="12"/>
        <v>0</v>
      </c>
    </row>
    <row r="151" ht="15.75" customHeight="1">
      <c r="Q151" s="15">
        <f t="shared" si="5"/>
        <v>0</v>
      </c>
      <c r="W151" s="22">
        <f t="shared" si="11"/>
        <v>0</v>
      </c>
      <c r="X151" s="19">
        <f t="shared" si="12"/>
        <v>0</v>
      </c>
    </row>
    <row r="152" ht="15.75" customHeight="1">
      <c r="Q152" s="15">
        <f t="shared" si="5"/>
        <v>0</v>
      </c>
      <c r="W152" s="22">
        <f t="shared" si="11"/>
        <v>0</v>
      </c>
      <c r="X152" s="19">
        <f t="shared" si="12"/>
        <v>0</v>
      </c>
    </row>
    <row r="153" ht="15.75" customHeight="1">
      <c r="Q153" s="15">
        <f t="shared" si="5"/>
        <v>0</v>
      </c>
      <c r="W153" s="22">
        <f t="shared" si="11"/>
        <v>0</v>
      </c>
      <c r="X153" s="19">
        <f t="shared" si="12"/>
        <v>0</v>
      </c>
    </row>
    <row r="154" ht="15.75" customHeight="1">
      <c r="Q154" s="15">
        <f t="shared" si="5"/>
        <v>0</v>
      </c>
      <c r="W154" s="22">
        <f t="shared" si="11"/>
        <v>0</v>
      </c>
      <c r="X154" s="19">
        <f t="shared" si="12"/>
        <v>0</v>
      </c>
    </row>
    <row r="155" ht="15.75" customHeight="1">
      <c r="Q155" s="15">
        <f t="shared" si="5"/>
        <v>0</v>
      </c>
      <c r="W155" s="22">
        <f t="shared" si="11"/>
        <v>0</v>
      </c>
      <c r="X155" s="19">
        <f t="shared" si="12"/>
        <v>0</v>
      </c>
    </row>
    <row r="156" ht="15.75" customHeight="1">
      <c r="Q156" s="15">
        <f t="shared" si="5"/>
        <v>0</v>
      </c>
      <c r="W156" s="22">
        <f t="shared" si="11"/>
        <v>0</v>
      </c>
      <c r="X156" s="19">
        <f t="shared" si="12"/>
        <v>0</v>
      </c>
    </row>
    <row r="157" ht="15.75" customHeight="1">
      <c r="Q157" s="15">
        <f t="shared" si="5"/>
        <v>0</v>
      </c>
      <c r="W157" s="22">
        <f t="shared" si="11"/>
        <v>0</v>
      </c>
      <c r="X157" s="19">
        <f t="shared" si="12"/>
        <v>0</v>
      </c>
    </row>
    <row r="158" ht="15.75" customHeight="1">
      <c r="Q158" s="15">
        <f t="shared" si="5"/>
        <v>0</v>
      </c>
      <c r="W158" s="22">
        <f t="shared" si="11"/>
        <v>0</v>
      </c>
      <c r="X158" s="19">
        <f t="shared" si="12"/>
        <v>0</v>
      </c>
    </row>
    <row r="159" ht="15.75" customHeight="1">
      <c r="Q159" s="15">
        <f t="shared" si="5"/>
        <v>0</v>
      </c>
      <c r="W159" s="22">
        <f t="shared" si="11"/>
        <v>0</v>
      </c>
      <c r="X159" s="19">
        <f t="shared" si="12"/>
        <v>0</v>
      </c>
    </row>
    <row r="160" ht="15.75" customHeight="1">
      <c r="Q160" s="15">
        <f t="shared" si="5"/>
        <v>0</v>
      </c>
      <c r="W160" s="22">
        <f t="shared" si="11"/>
        <v>0</v>
      </c>
      <c r="X160" s="19">
        <f t="shared" si="12"/>
        <v>0</v>
      </c>
    </row>
    <row r="161" ht="15.75" customHeight="1">
      <c r="Q161" s="15">
        <f t="shared" si="5"/>
        <v>0</v>
      </c>
      <c r="W161" s="22">
        <f t="shared" si="11"/>
        <v>0</v>
      </c>
      <c r="X161" s="19">
        <f t="shared" si="12"/>
        <v>0</v>
      </c>
    </row>
    <row r="162" ht="15.75" customHeight="1">
      <c r="Q162" s="15">
        <f t="shared" si="5"/>
        <v>0</v>
      </c>
      <c r="W162" s="22">
        <f t="shared" si="11"/>
        <v>0</v>
      </c>
      <c r="X162" s="19">
        <f t="shared" si="12"/>
        <v>0</v>
      </c>
    </row>
    <row r="163" ht="15.75" customHeight="1">
      <c r="Q163" s="15">
        <f t="shared" si="5"/>
        <v>0</v>
      </c>
      <c r="W163" s="22">
        <f t="shared" si="11"/>
        <v>0</v>
      </c>
      <c r="X163" s="19">
        <f t="shared" si="12"/>
        <v>0</v>
      </c>
    </row>
    <row r="164" ht="15.75" customHeight="1">
      <c r="Q164" s="15">
        <f t="shared" si="5"/>
        <v>0</v>
      </c>
      <c r="W164" s="22">
        <f t="shared" si="11"/>
        <v>0</v>
      </c>
      <c r="X164" s="19">
        <f t="shared" si="12"/>
        <v>0</v>
      </c>
    </row>
    <row r="165" ht="15.75" customHeight="1">
      <c r="Q165" s="15">
        <f t="shared" si="5"/>
        <v>0</v>
      </c>
      <c r="W165" s="22">
        <f t="shared" si="11"/>
        <v>0</v>
      </c>
      <c r="X165" s="19">
        <f t="shared" si="12"/>
        <v>0</v>
      </c>
    </row>
    <row r="166" ht="15.75" customHeight="1">
      <c r="Q166" s="15">
        <f t="shared" si="5"/>
        <v>0</v>
      </c>
      <c r="W166" s="22">
        <f t="shared" si="11"/>
        <v>0</v>
      </c>
      <c r="X166" s="19">
        <f t="shared" si="12"/>
        <v>0</v>
      </c>
    </row>
    <row r="167" ht="15.75" customHeight="1">
      <c r="Q167" s="15">
        <f t="shared" si="5"/>
        <v>0</v>
      </c>
      <c r="W167" s="22">
        <f t="shared" si="11"/>
        <v>0</v>
      </c>
      <c r="X167" s="19">
        <f t="shared" si="12"/>
        <v>0</v>
      </c>
    </row>
    <row r="168" ht="15.75" customHeight="1">
      <c r="Q168" s="15">
        <f t="shared" si="5"/>
        <v>0</v>
      </c>
      <c r="W168" s="22">
        <f t="shared" si="11"/>
        <v>0</v>
      </c>
      <c r="X168" s="19">
        <f t="shared" si="12"/>
        <v>0</v>
      </c>
    </row>
    <row r="169" ht="15.75" customHeight="1">
      <c r="Q169" s="15">
        <f t="shared" si="5"/>
        <v>0</v>
      </c>
      <c r="W169" s="22">
        <f t="shared" si="11"/>
        <v>0</v>
      </c>
      <c r="X169" s="19">
        <f t="shared" si="12"/>
        <v>0</v>
      </c>
    </row>
    <row r="170" ht="15.75" customHeight="1">
      <c r="Q170" s="15">
        <f t="shared" si="5"/>
        <v>0</v>
      </c>
      <c r="W170" s="22">
        <f t="shared" si="11"/>
        <v>0</v>
      </c>
      <c r="X170" s="19">
        <f t="shared" si="12"/>
        <v>0</v>
      </c>
    </row>
    <row r="171" ht="15.75" customHeight="1">
      <c r="Q171" s="15">
        <f t="shared" si="5"/>
        <v>0</v>
      </c>
      <c r="W171" s="22">
        <f t="shared" si="11"/>
        <v>0</v>
      </c>
      <c r="X171" s="19">
        <f t="shared" si="12"/>
        <v>0</v>
      </c>
    </row>
    <row r="172" ht="15.75" customHeight="1">
      <c r="Q172" s="15">
        <f t="shared" si="5"/>
        <v>0</v>
      </c>
      <c r="W172" s="22">
        <f t="shared" si="11"/>
        <v>0</v>
      </c>
      <c r="X172" s="19">
        <f t="shared" si="12"/>
        <v>0</v>
      </c>
    </row>
    <row r="173" ht="15.75" customHeight="1">
      <c r="Q173" s="15">
        <f t="shared" si="5"/>
        <v>0</v>
      </c>
      <c r="W173" s="22">
        <f t="shared" si="11"/>
        <v>0</v>
      </c>
      <c r="X173" s="19">
        <f t="shared" si="12"/>
        <v>0</v>
      </c>
    </row>
    <row r="174" ht="15.75" customHeight="1">
      <c r="Q174" s="15">
        <f t="shared" si="5"/>
        <v>0</v>
      </c>
      <c r="W174" s="22">
        <f t="shared" si="11"/>
        <v>0</v>
      </c>
      <c r="X174" s="19">
        <f t="shared" si="12"/>
        <v>0</v>
      </c>
    </row>
    <row r="175" ht="15.75" customHeight="1">
      <c r="Q175" s="15">
        <f t="shared" si="5"/>
        <v>0</v>
      </c>
      <c r="W175" s="22">
        <f t="shared" si="11"/>
        <v>0</v>
      </c>
      <c r="X175" s="19">
        <f t="shared" si="12"/>
        <v>0</v>
      </c>
    </row>
    <row r="176" ht="15.75" customHeight="1">
      <c r="Q176" s="15">
        <f t="shared" si="5"/>
        <v>0</v>
      </c>
      <c r="W176" s="22">
        <f t="shared" si="11"/>
        <v>0</v>
      </c>
      <c r="X176" s="19">
        <f t="shared" si="12"/>
        <v>0</v>
      </c>
    </row>
    <row r="177" ht="15.75" customHeight="1">
      <c r="Q177" s="15">
        <f t="shared" si="5"/>
        <v>0</v>
      </c>
      <c r="W177" s="22">
        <f t="shared" si="11"/>
        <v>0</v>
      </c>
      <c r="X177" s="19">
        <f t="shared" si="12"/>
        <v>0</v>
      </c>
    </row>
    <row r="178" ht="15.75" customHeight="1">
      <c r="Q178" s="15">
        <f t="shared" si="5"/>
        <v>0</v>
      </c>
      <c r="W178" s="22">
        <f t="shared" si="11"/>
        <v>0</v>
      </c>
      <c r="X178" s="19">
        <f t="shared" si="12"/>
        <v>0</v>
      </c>
    </row>
    <row r="179" ht="15.75" customHeight="1">
      <c r="Q179" s="15">
        <f t="shared" si="5"/>
        <v>0</v>
      </c>
      <c r="W179" s="22">
        <f t="shared" si="11"/>
        <v>0</v>
      </c>
      <c r="X179" s="19">
        <f t="shared" si="12"/>
        <v>0</v>
      </c>
    </row>
    <row r="180" ht="15.75" customHeight="1">
      <c r="Q180" s="15">
        <f t="shared" si="5"/>
        <v>0</v>
      </c>
      <c r="W180" s="22">
        <f t="shared" si="11"/>
        <v>0</v>
      </c>
      <c r="X180" s="19">
        <f t="shared" si="12"/>
        <v>0</v>
      </c>
    </row>
    <row r="181" ht="15.75" customHeight="1">
      <c r="Q181" s="15">
        <f t="shared" si="5"/>
        <v>0</v>
      </c>
      <c r="W181" s="22">
        <f t="shared" si="11"/>
        <v>0</v>
      </c>
      <c r="X181" s="19">
        <f t="shared" si="12"/>
        <v>0</v>
      </c>
    </row>
    <row r="182" ht="15.75" customHeight="1">
      <c r="Q182" s="15">
        <f t="shared" si="5"/>
        <v>0</v>
      </c>
      <c r="W182" s="22">
        <f t="shared" si="11"/>
        <v>0</v>
      </c>
      <c r="X182" s="19">
        <f t="shared" si="12"/>
        <v>0</v>
      </c>
    </row>
    <row r="183" ht="15.75" customHeight="1">
      <c r="Q183" s="15">
        <f t="shared" si="5"/>
        <v>0</v>
      </c>
      <c r="W183" s="22">
        <f t="shared" si="11"/>
        <v>0</v>
      </c>
      <c r="X183" s="19">
        <f t="shared" si="12"/>
        <v>0</v>
      </c>
    </row>
    <row r="184" ht="15.75" customHeight="1">
      <c r="Q184" s="15">
        <f t="shared" si="5"/>
        <v>0</v>
      </c>
      <c r="W184" s="22">
        <f t="shared" si="11"/>
        <v>0</v>
      </c>
      <c r="X184" s="19">
        <f t="shared" si="12"/>
        <v>0</v>
      </c>
    </row>
    <row r="185" ht="15.75" customHeight="1">
      <c r="Q185" s="15">
        <f t="shared" si="5"/>
        <v>0</v>
      </c>
      <c r="W185" s="22">
        <f t="shared" si="11"/>
        <v>0</v>
      </c>
      <c r="X185" s="19">
        <f t="shared" si="12"/>
        <v>0</v>
      </c>
    </row>
    <row r="186" ht="15.75" customHeight="1">
      <c r="Q186" s="15">
        <f t="shared" si="5"/>
        <v>0</v>
      </c>
      <c r="W186" s="22">
        <f t="shared" si="11"/>
        <v>0</v>
      </c>
      <c r="X186" s="19">
        <f t="shared" si="12"/>
        <v>0</v>
      </c>
    </row>
    <row r="187" ht="15.75" customHeight="1">
      <c r="Q187" s="15">
        <f t="shared" si="5"/>
        <v>0</v>
      </c>
      <c r="W187" s="22">
        <f t="shared" si="11"/>
        <v>0</v>
      </c>
      <c r="X187" s="19">
        <f t="shared" si="12"/>
        <v>0</v>
      </c>
    </row>
    <row r="188" ht="15.75" customHeight="1">
      <c r="Q188" s="15">
        <f t="shared" si="5"/>
        <v>0</v>
      </c>
      <c r="W188" s="22">
        <f t="shared" si="11"/>
        <v>0</v>
      </c>
      <c r="X188" s="19">
        <f t="shared" si="12"/>
        <v>0</v>
      </c>
    </row>
    <row r="189" ht="15.75" customHeight="1">
      <c r="Q189" s="15">
        <f t="shared" si="5"/>
        <v>0</v>
      </c>
      <c r="W189" s="22">
        <f t="shared" si="11"/>
        <v>0</v>
      </c>
      <c r="X189" s="19">
        <f t="shared" si="12"/>
        <v>0</v>
      </c>
    </row>
    <row r="190" ht="15.75" customHeight="1">
      <c r="Q190" s="15">
        <f t="shared" si="5"/>
        <v>0</v>
      </c>
      <c r="W190" s="22">
        <f t="shared" si="11"/>
        <v>0</v>
      </c>
      <c r="X190" s="19">
        <f t="shared" si="12"/>
        <v>0</v>
      </c>
    </row>
    <row r="191" ht="15.75" customHeight="1">
      <c r="Q191" s="15">
        <f t="shared" si="5"/>
        <v>0</v>
      </c>
      <c r="W191" s="22">
        <f t="shared" si="11"/>
        <v>0</v>
      </c>
      <c r="X191" s="19">
        <f t="shared" si="12"/>
        <v>0</v>
      </c>
    </row>
    <row r="192" ht="15.75" customHeight="1">
      <c r="Q192" s="15">
        <f t="shared" si="5"/>
        <v>0</v>
      </c>
      <c r="W192" s="22">
        <f t="shared" si="11"/>
        <v>0</v>
      </c>
      <c r="X192" s="19">
        <f t="shared" si="12"/>
        <v>0</v>
      </c>
    </row>
    <row r="193" ht="15.75" customHeight="1">
      <c r="Q193" s="15">
        <f t="shared" si="5"/>
        <v>0</v>
      </c>
      <c r="W193" s="22">
        <f t="shared" si="11"/>
        <v>0</v>
      </c>
      <c r="X193" s="19">
        <f t="shared" si="12"/>
        <v>0</v>
      </c>
    </row>
    <row r="194" ht="15.75" customHeight="1">
      <c r="Q194" s="15">
        <f t="shared" si="5"/>
        <v>0</v>
      </c>
      <c r="W194" s="22">
        <f t="shared" si="11"/>
        <v>0</v>
      </c>
      <c r="X194" s="19">
        <f t="shared" si="12"/>
        <v>0</v>
      </c>
    </row>
    <row r="195" ht="15.75" customHeight="1">
      <c r="Q195" s="15">
        <f t="shared" si="5"/>
        <v>0</v>
      </c>
      <c r="W195" s="22">
        <f t="shared" si="11"/>
        <v>0</v>
      </c>
      <c r="X195" s="19">
        <f t="shared" si="12"/>
        <v>0</v>
      </c>
    </row>
    <row r="196" ht="15.75" customHeight="1">
      <c r="Q196" s="15">
        <f t="shared" si="5"/>
        <v>0</v>
      </c>
      <c r="W196" s="22">
        <f t="shared" si="11"/>
        <v>0</v>
      </c>
      <c r="X196" s="19">
        <f t="shared" si="12"/>
        <v>0</v>
      </c>
    </row>
    <row r="197" ht="15.75" customHeight="1">
      <c r="Q197" s="15">
        <f t="shared" si="5"/>
        <v>0</v>
      </c>
      <c r="W197" s="22">
        <f t="shared" si="11"/>
        <v>0</v>
      </c>
      <c r="X197" s="19">
        <f t="shared" si="12"/>
        <v>0</v>
      </c>
    </row>
    <row r="198" ht="15.75" customHeight="1">
      <c r="Q198" s="15">
        <f t="shared" si="5"/>
        <v>0</v>
      </c>
      <c r="W198" s="22">
        <f t="shared" si="11"/>
        <v>0</v>
      </c>
      <c r="X198" s="19">
        <f t="shared" si="12"/>
        <v>0</v>
      </c>
    </row>
    <row r="199" ht="15.75" customHeight="1">
      <c r="Q199" s="15">
        <f t="shared" si="5"/>
        <v>0</v>
      </c>
      <c r="W199" s="22">
        <f t="shared" si="11"/>
        <v>0</v>
      </c>
      <c r="X199" s="19">
        <f t="shared" si="12"/>
        <v>0</v>
      </c>
    </row>
    <row r="200" ht="15.75" customHeight="1">
      <c r="Q200" s="15">
        <f t="shared" si="5"/>
        <v>0</v>
      </c>
      <c r="W200" s="22">
        <f t="shared" si="11"/>
        <v>0</v>
      </c>
      <c r="X200" s="19">
        <f t="shared" si="12"/>
        <v>0</v>
      </c>
    </row>
    <row r="201" ht="15.75" customHeight="1">
      <c r="Q201" s="15">
        <f t="shared" si="5"/>
        <v>0</v>
      </c>
      <c r="W201" s="22">
        <f t="shared" si="11"/>
        <v>0</v>
      </c>
      <c r="X201" s="19">
        <f t="shared" si="12"/>
        <v>0</v>
      </c>
    </row>
    <row r="202" ht="15.75" customHeight="1">
      <c r="Q202" s="15">
        <f t="shared" si="5"/>
        <v>0</v>
      </c>
      <c r="W202" s="22">
        <f t="shared" si="11"/>
        <v>0</v>
      </c>
      <c r="X202" s="19">
        <f t="shared" si="12"/>
        <v>0</v>
      </c>
    </row>
    <row r="203" ht="15.75" customHeight="1">
      <c r="Q203" s="15">
        <f t="shared" si="5"/>
        <v>0</v>
      </c>
      <c r="W203" s="22">
        <f t="shared" si="11"/>
        <v>0</v>
      </c>
      <c r="X203" s="19">
        <f t="shared" si="12"/>
        <v>0</v>
      </c>
    </row>
    <row r="204" ht="15.75" customHeight="1">
      <c r="Q204" s="15">
        <f t="shared" si="5"/>
        <v>0</v>
      </c>
      <c r="W204" s="22">
        <f t="shared" si="11"/>
        <v>0</v>
      </c>
      <c r="X204" s="19">
        <f t="shared" si="12"/>
        <v>0</v>
      </c>
    </row>
    <row r="205" ht="15.75" customHeight="1">
      <c r="Q205" s="15">
        <f t="shared" si="5"/>
        <v>0</v>
      </c>
      <c r="W205" s="22">
        <f t="shared" si="11"/>
        <v>0</v>
      </c>
      <c r="X205" s="19">
        <f t="shared" si="12"/>
        <v>0</v>
      </c>
    </row>
    <row r="206" ht="15.75" customHeight="1">
      <c r="Q206" s="15">
        <f t="shared" si="5"/>
        <v>0</v>
      </c>
      <c r="W206" s="22">
        <f t="shared" si="11"/>
        <v>0</v>
      </c>
      <c r="X206" s="19">
        <f t="shared" si="12"/>
        <v>0</v>
      </c>
    </row>
    <row r="207" ht="15.75" customHeight="1">
      <c r="Q207" s="15">
        <f t="shared" si="5"/>
        <v>0</v>
      </c>
      <c r="W207" s="22">
        <f t="shared" si="11"/>
        <v>0</v>
      </c>
      <c r="X207" s="19">
        <f t="shared" si="12"/>
        <v>0</v>
      </c>
    </row>
    <row r="208" ht="15.75" customHeight="1">
      <c r="Q208" s="15">
        <f t="shared" si="5"/>
        <v>0</v>
      </c>
      <c r="W208" s="22">
        <f t="shared" si="11"/>
        <v>0</v>
      </c>
      <c r="X208" s="19">
        <f t="shared" si="12"/>
        <v>0</v>
      </c>
    </row>
    <row r="209" ht="15.75" customHeight="1">
      <c r="Q209" s="15">
        <f t="shared" si="5"/>
        <v>0</v>
      </c>
      <c r="W209" s="22">
        <f t="shared" si="11"/>
        <v>0</v>
      </c>
      <c r="X209" s="19">
        <f t="shared" si="12"/>
        <v>0</v>
      </c>
    </row>
    <row r="210" ht="15.75" customHeight="1">
      <c r="Q210" s="15">
        <f t="shared" si="5"/>
        <v>0</v>
      </c>
      <c r="W210" s="22">
        <f t="shared" si="11"/>
        <v>0</v>
      </c>
      <c r="X210" s="19">
        <f t="shared" si="12"/>
        <v>0</v>
      </c>
    </row>
    <row r="211" ht="15.75" customHeight="1">
      <c r="Q211" s="15">
        <f t="shared" si="5"/>
        <v>0</v>
      </c>
      <c r="W211" s="22">
        <f t="shared" si="11"/>
        <v>0</v>
      </c>
      <c r="X211" s="19">
        <f t="shared" si="12"/>
        <v>0</v>
      </c>
    </row>
    <row r="212" ht="15.75" customHeight="1">
      <c r="Q212" s="15">
        <f t="shared" si="5"/>
        <v>0</v>
      </c>
      <c r="W212" s="22">
        <f t="shared" si="11"/>
        <v>0</v>
      </c>
      <c r="X212" s="19">
        <f t="shared" si="12"/>
        <v>0</v>
      </c>
    </row>
    <row r="213" ht="15.75" customHeight="1">
      <c r="Q213" s="15">
        <f t="shared" si="5"/>
        <v>0</v>
      </c>
      <c r="W213" s="22">
        <f t="shared" si="11"/>
        <v>0</v>
      </c>
      <c r="X213" s="19">
        <f t="shared" si="12"/>
        <v>0</v>
      </c>
    </row>
    <row r="214" ht="15.75" customHeight="1">
      <c r="Q214" s="15">
        <f t="shared" si="5"/>
        <v>0</v>
      </c>
      <c r="W214" s="22">
        <f t="shared" si="11"/>
        <v>0</v>
      </c>
      <c r="X214" s="19">
        <f t="shared" si="12"/>
        <v>0</v>
      </c>
    </row>
    <row r="215" ht="15.75" customHeight="1">
      <c r="Q215" s="15">
        <f t="shared" si="5"/>
        <v>0</v>
      </c>
      <c r="W215" s="22">
        <f t="shared" si="11"/>
        <v>0</v>
      </c>
      <c r="X215" s="19">
        <f t="shared" si="12"/>
        <v>0</v>
      </c>
    </row>
    <row r="216" ht="15.75" customHeight="1">
      <c r="Q216" s="15">
        <f t="shared" si="5"/>
        <v>0</v>
      </c>
      <c r="W216" s="22">
        <f t="shared" si="11"/>
        <v>0</v>
      </c>
      <c r="X216" s="19">
        <f t="shared" si="12"/>
        <v>0</v>
      </c>
    </row>
    <row r="217" ht="15.75" customHeight="1">
      <c r="Q217" s="15">
        <f t="shared" si="5"/>
        <v>0</v>
      </c>
      <c r="W217" s="22">
        <f t="shared" si="11"/>
        <v>0</v>
      </c>
      <c r="X217" s="19">
        <f t="shared" si="12"/>
        <v>0</v>
      </c>
    </row>
    <row r="218" ht="15.75" customHeight="1">
      <c r="Q218" s="15">
        <f t="shared" si="5"/>
        <v>0</v>
      </c>
      <c r="W218" s="22">
        <f t="shared" si="11"/>
        <v>0</v>
      </c>
      <c r="X218" s="19">
        <f t="shared" si="12"/>
        <v>0</v>
      </c>
    </row>
    <row r="219" ht="15.75" customHeight="1">
      <c r="Q219" s="15">
        <f t="shared" si="5"/>
        <v>0</v>
      </c>
      <c r="W219" s="22">
        <f t="shared" si="11"/>
        <v>0</v>
      </c>
      <c r="X219" s="19">
        <f t="shared" si="12"/>
        <v>0</v>
      </c>
    </row>
    <row r="220" ht="15.75" customHeight="1">
      <c r="Q220" s="15">
        <f t="shared" si="5"/>
        <v>0</v>
      </c>
      <c r="W220" s="22">
        <f t="shared" si="11"/>
        <v>0</v>
      </c>
      <c r="X220" s="19">
        <f t="shared" si="12"/>
        <v>0</v>
      </c>
    </row>
    <row r="221" ht="15.75" customHeight="1">
      <c r="Q221" s="15">
        <f t="shared" si="5"/>
        <v>0</v>
      </c>
      <c r="W221" s="22">
        <f t="shared" si="11"/>
        <v>0</v>
      </c>
      <c r="X221" s="19">
        <f t="shared" si="12"/>
        <v>0</v>
      </c>
    </row>
    <row r="222" ht="15.75" customHeight="1">
      <c r="Q222" s="15">
        <f t="shared" si="5"/>
        <v>0</v>
      </c>
      <c r="W222" s="22">
        <f t="shared" si="11"/>
        <v>0</v>
      </c>
      <c r="X222" s="19">
        <f t="shared" si="12"/>
        <v>0</v>
      </c>
    </row>
    <row r="223" ht="15.75" customHeight="1">
      <c r="Q223" s="15">
        <f t="shared" si="5"/>
        <v>0</v>
      </c>
      <c r="W223" s="22">
        <f t="shared" si="11"/>
        <v>0</v>
      </c>
      <c r="X223" s="19">
        <f t="shared" si="12"/>
        <v>0</v>
      </c>
    </row>
    <row r="224" ht="15.75" customHeight="1">
      <c r="Q224" s="15">
        <f t="shared" si="5"/>
        <v>0</v>
      </c>
      <c r="W224" s="22">
        <f t="shared" si="11"/>
        <v>0</v>
      </c>
      <c r="X224" s="19">
        <f t="shared" si="12"/>
        <v>0</v>
      </c>
    </row>
    <row r="225" ht="15.75" customHeight="1">
      <c r="Q225" s="15">
        <f t="shared" si="5"/>
        <v>0</v>
      </c>
      <c r="W225" s="22">
        <f t="shared" si="11"/>
        <v>0</v>
      </c>
      <c r="X225" s="19">
        <f t="shared" si="12"/>
        <v>0</v>
      </c>
    </row>
    <row r="226" ht="15.75" customHeight="1">
      <c r="Q226" s="15">
        <f t="shared" si="5"/>
        <v>0</v>
      </c>
      <c r="W226" s="22">
        <f t="shared" si="11"/>
        <v>0</v>
      </c>
      <c r="X226" s="19">
        <f t="shared" si="12"/>
        <v>0</v>
      </c>
    </row>
    <row r="227" ht="15.75" customHeight="1">
      <c r="Q227" s="15">
        <f t="shared" si="5"/>
        <v>0</v>
      </c>
      <c r="W227" s="22">
        <f t="shared" si="11"/>
        <v>0</v>
      </c>
      <c r="X227" s="19">
        <f t="shared" si="12"/>
        <v>0</v>
      </c>
    </row>
    <row r="228" ht="15.75" customHeight="1">
      <c r="Q228" s="15">
        <f t="shared" si="5"/>
        <v>0</v>
      </c>
      <c r="W228" s="22">
        <f t="shared" si="11"/>
        <v>0</v>
      </c>
      <c r="X228" s="19">
        <f t="shared" si="12"/>
        <v>0</v>
      </c>
    </row>
    <row r="229" ht="15.75" customHeight="1">
      <c r="Q229" s="15">
        <f t="shared" si="5"/>
        <v>0</v>
      </c>
      <c r="W229" s="22">
        <f t="shared" si="11"/>
        <v>0</v>
      </c>
      <c r="X229" s="19">
        <f t="shared" si="12"/>
        <v>0</v>
      </c>
    </row>
    <row r="230" ht="15.75" customHeight="1">
      <c r="Q230" s="15">
        <f t="shared" si="5"/>
        <v>0</v>
      </c>
      <c r="W230" s="22">
        <f t="shared" si="11"/>
        <v>0</v>
      </c>
      <c r="X230" s="19">
        <f t="shared" si="12"/>
        <v>0</v>
      </c>
    </row>
    <row r="231" ht="15.75" customHeight="1">
      <c r="Q231" s="15">
        <f t="shared" si="5"/>
        <v>0</v>
      </c>
      <c r="W231" s="22">
        <f t="shared" si="11"/>
        <v>0</v>
      </c>
      <c r="X231" s="19">
        <f t="shared" si="12"/>
        <v>0</v>
      </c>
    </row>
    <row r="232" ht="15.75" customHeight="1">
      <c r="Q232" s="15">
        <f t="shared" si="5"/>
        <v>0</v>
      </c>
      <c r="W232" s="22">
        <f t="shared" si="11"/>
        <v>0</v>
      </c>
      <c r="X232" s="19">
        <f t="shared" si="12"/>
        <v>0</v>
      </c>
    </row>
    <row r="233" ht="15.75" customHeight="1">
      <c r="Q233" s="15">
        <f t="shared" si="5"/>
        <v>0</v>
      </c>
      <c r="W233" s="22">
        <f t="shared" si="11"/>
        <v>0</v>
      </c>
      <c r="X233" s="19">
        <f t="shared" si="12"/>
        <v>0</v>
      </c>
    </row>
    <row r="234" ht="15.75" customHeight="1">
      <c r="Q234" s="15">
        <f t="shared" si="5"/>
        <v>0</v>
      </c>
      <c r="W234" s="22">
        <f t="shared" si="11"/>
        <v>0</v>
      </c>
      <c r="X234" s="19">
        <f t="shared" si="12"/>
        <v>0</v>
      </c>
    </row>
    <row r="235" ht="15.75" customHeight="1">
      <c r="Q235" s="15">
        <f t="shared" si="5"/>
        <v>0</v>
      </c>
      <c r="W235" s="22">
        <f t="shared" si="11"/>
        <v>0</v>
      </c>
      <c r="X235" s="19">
        <f t="shared" si="12"/>
        <v>0</v>
      </c>
    </row>
    <row r="236" ht="15.75" customHeight="1">
      <c r="Q236" s="15">
        <f t="shared" si="5"/>
        <v>0</v>
      </c>
      <c r="W236" s="22">
        <f t="shared" si="11"/>
        <v>0</v>
      </c>
      <c r="X236" s="19">
        <f t="shared" si="12"/>
        <v>0</v>
      </c>
    </row>
    <row r="237" ht="15.75" customHeight="1">
      <c r="Q237" s="15">
        <f t="shared" si="5"/>
        <v>0</v>
      </c>
      <c r="W237" s="22">
        <f t="shared" si="11"/>
        <v>0</v>
      </c>
      <c r="X237" s="19">
        <f t="shared" si="12"/>
        <v>0</v>
      </c>
    </row>
    <row r="238" ht="15.75" customHeight="1">
      <c r="Q238" s="15">
        <f t="shared" si="5"/>
        <v>0</v>
      </c>
      <c r="W238" s="22">
        <f t="shared" si="11"/>
        <v>0</v>
      </c>
      <c r="X238" s="19">
        <f t="shared" si="12"/>
        <v>0</v>
      </c>
    </row>
    <row r="239" ht="15.75" customHeight="1">
      <c r="Q239" s="15">
        <f t="shared" si="5"/>
        <v>0</v>
      </c>
      <c r="W239" s="22">
        <f t="shared" si="11"/>
        <v>0</v>
      </c>
      <c r="X239" s="19">
        <f t="shared" si="12"/>
        <v>0</v>
      </c>
    </row>
    <row r="240" ht="15.75" customHeight="1">
      <c r="Q240" s="15">
        <f t="shared" si="5"/>
        <v>0</v>
      </c>
      <c r="W240" s="22">
        <f t="shared" si="11"/>
        <v>0</v>
      </c>
      <c r="X240" s="19">
        <f t="shared" si="12"/>
        <v>0</v>
      </c>
    </row>
    <row r="241" ht="15.75" customHeight="1">
      <c r="Q241" s="15">
        <f t="shared" si="5"/>
        <v>0</v>
      </c>
      <c r="W241" s="22">
        <f t="shared" si="11"/>
        <v>0</v>
      </c>
      <c r="X241" s="19">
        <f t="shared" si="12"/>
        <v>0</v>
      </c>
    </row>
    <row r="242" ht="15.75" customHeight="1">
      <c r="Q242" s="15">
        <f t="shared" si="5"/>
        <v>0</v>
      </c>
      <c r="W242" s="22">
        <f t="shared" si="11"/>
        <v>0</v>
      </c>
      <c r="X242" s="19">
        <f t="shared" si="12"/>
        <v>0</v>
      </c>
    </row>
    <row r="243" ht="15.75" customHeight="1">
      <c r="Q243" s="15">
        <f t="shared" si="5"/>
        <v>0</v>
      </c>
      <c r="W243" s="22">
        <f t="shared" si="11"/>
        <v>0</v>
      </c>
      <c r="X243" s="19">
        <f t="shared" si="12"/>
        <v>0</v>
      </c>
    </row>
    <row r="244" ht="15.75" customHeight="1">
      <c r="Q244" s="15">
        <f t="shared" si="5"/>
        <v>0</v>
      </c>
      <c r="W244" s="22">
        <f t="shared" si="11"/>
        <v>0</v>
      </c>
      <c r="X244" s="19">
        <f t="shared" si="12"/>
        <v>0</v>
      </c>
    </row>
    <row r="245" ht="15.75" customHeight="1">
      <c r="Q245" s="15">
        <f t="shared" si="5"/>
        <v>0</v>
      </c>
      <c r="W245" s="22">
        <f t="shared" si="11"/>
        <v>0</v>
      </c>
      <c r="X245" s="19">
        <f t="shared" si="12"/>
        <v>0</v>
      </c>
    </row>
    <row r="246" ht="15.75" customHeight="1">
      <c r="Q246" s="15">
        <f t="shared" si="5"/>
        <v>0</v>
      </c>
      <c r="W246" s="22">
        <f t="shared" si="11"/>
        <v>0</v>
      </c>
      <c r="X246" s="19">
        <f t="shared" si="12"/>
        <v>0</v>
      </c>
    </row>
    <row r="247" ht="15.75" customHeight="1">
      <c r="Q247" s="15">
        <f t="shared" si="5"/>
        <v>0</v>
      </c>
      <c r="W247" s="22">
        <f t="shared" si="11"/>
        <v>0</v>
      </c>
      <c r="X247" s="19">
        <f t="shared" si="12"/>
        <v>0</v>
      </c>
    </row>
    <row r="248" ht="15.75" customHeight="1">
      <c r="Q248" s="15">
        <f t="shared" si="5"/>
        <v>0</v>
      </c>
      <c r="W248" s="22">
        <f t="shared" si="11"/>
        <v>0</v>
      </c>
      <c r="X248" s="19">
        <f t="shared" si="12"/>
        <v>0</v>
      </c>
    </row>
    <row r="249" ht="15.75" customHeight="1">
      <c r="Q249" s="15">
        <f t="shared" si="5"/>
        <v>0</v>
      </c>
      <c r="W249" s="22">
        <f t="shared" si="11"/>
        <v>0</v>
      </c>
      <c r="X249" s="19">
        <f t="shared" si="12"/>
        <v>0</v>
      </c>
    </row>
    <row r="250" ht="15.75" customHeight="1">
      <c r="Q250" s="15">
        <f t="shared" si="5"/>
        <v>0</v>
      </c>
      <c r="W250" s="22">
        <f t="shared" si="11"/>
        <v>0</v>
      </c>
      <c r="X250" s="19">
        <f t="shared" si="12"/>
        <v>0</v>
      </c>
    </row>
    <row r="251" ht="15.75" customHeight="1">
      <c r="Q251" s="15">
        <f t="shared" si="5"/>
        <v>0</v>
      </c>
      <c r="W251" s="22">
        <f t="shared" si="11"/>
        <v>0</v>
      </c>
      <c r="X251" s="19">
        <f t="shared" si="12"/>
        <v>0</v>
      </c>
    </row>
    <row r="252" ht="15.75" customHeight="1">
      <c r="Q252" s="15">
        <f t="shared" si="5"/>
        <v>0</v>
      </c>
      <c r="W252" s="22">
        <f t="shared" si="11"/>
        <v>0</v>
      </c>
      <c r="X252" s="19">
        <f t="shared" si="12"/>
        <v>0</v>
      </c>
    </row>
    <row r="253" ht="15.75" customHeight="1">
      <c r="Q253" s="15">
        <f t="shared" si="5"/>
        <v>0</v>
      </c>
      <c r="W253" s="22">
        <f t="shared" si="11"/>
        <v>0</v>
      </c>
      <c r="X253" s="19">
        <f t="shared" si="12"/>
        <v>0</v>
      </c>
    </row>
    <row r="254" ht="15.75" customHeight="1">
      <c r="Q254" s="15">
        <f t="shared" si="5"/>
        <v>0</v>
      </c>
      <c r="W254" s="22">
        <f t="shared" si="11"/>
        <v>0</v>
      </c>
      <c r="X254" s="19">
        <f t="shared" si="12"/>
        <v>0</v>
      </c>
    </row>
    <row r="255" ht="15.75" customHeight="1">
      <c r="Q255" s="15">
        <f t="shared" si="5"/>
        <v>0</v>
      </c>
      <c r="W255" s="22">
        <f t="shared" si="11"/>
        <v>0</v>
      </c>
      <c r="X255" s="19">
        <f t="shared" si="12"/>
        <v>0</v>
      </c>
    </row>
    <row r="256" ht="15.75" customHeight="1">
      <c r="Q256" s="15">
        <f t="shared" si="5"/>
        <v>0</v>
      </c>
      <c r="W256" s="22">
        <f t="shared" si="11"/>
        <v>0</v>
      </c>
      <c r="X256" s="19">
        <f t="shared" si="12"/>
        <v>0</v>
      </c>
    </row>
    <row r="257" ht="15.75" customHeight="1">
      <c r="Q257" s="15">
        <f t="shared" si="5"/>
        <v>0</v>
      </c>
      <c r="W257" s="22">
        <f t="shared" si="11"/>
        <v>0</v>
      </c>
      <c r="X257" s="19">
        <f t="shared" si="12"/>
        <v>0</v>
      </c>
    </row>
    <row r="258" ht="15.75" customHeight="1">
      <c r="Q258" s="15">
        <f t="shared" si="5"/>
        <v>0</v>
      </c>
      <c r="W258" s="22">
        <f t="shared" si="11"/>
        <v>0</v>
      </c>
      <c r="X258" s="19">
        <f t="shared" si="12"/>
        <v>0</v>
      </c>
    </row>
    <row r="259" ht="15.75" customHeight="1">
      <c r="Q259" s="15">
        <f t="shared" si="5"/>
        <v>0</v>
      </c>
      <c r="W259" s="22">
        <f t="shared" si="11"/>
        <v>0</v>
      </c>
      <c r="X259" s="19">
        <f t="shared" si="12"/>
        <v>0</v>
      </c>
    </row>
    <row r="260" ht="15.75" customHeight="1">
      <c r="Q260" s="15">
        <f t="shared" si="5"/>
        <v>0</v>
      </c>
      <c r="W260" s="22">
        <f t="shared" si="11"/>
        <v>0</v>
      </c>
      <c r="X260" s="19">
        <f t="shared" si="12"/>
        <v>0</v>
      </c>
    </row>
    <row r="261" ht="15.75" customHeight="1">
      <c r="Q261" s="15">
        <f t="shared" si="5"/>
        <v>0</v>
      </c>
      <c r="W261" s="22">
        <f t="shared" si="11"/>
        <v>0</v>
      </c>
      <c r="X261" s="19">
        <f t="shared" si="12"/>
        <v>0</v>
      </c>
    </row>
    <row r="262" ht="15.75" customHeight="1">
      <c r="Q262" s="15">
        <f t="shared" si="5"/>
        <v>0</v>
      </c>
      <c r="W262" s="22">
        <f t="shared" si="11"/>
        <v>0</v>
      </c>
      <c r="X262" s="19">
        <f t="shared" si="12"/>
        <v>0</v>
      </c>
    </row>
    <row r="263" ht="15.75" customHeight="1">
      <c r="Q263" s="15">
        <f t="shared" si="5"/>
        <v>0</v>
      </c>
      <c r="W263" s="22">
        <f t="shared" si="11"/>
        <v>0</v>
      </c>
      <c r="X263" s="19">
        <f t="shared" si="12"/>
        <v>0</v>
      </c>
    </row>
    <row r="264" ht="15.75" customHeight="1">
      <c r="Q264" s="15">
        <f t="shared" si="5"/>
        <v>0</v>
      </c>
      <c r="W264" s="22">
        <f t="shared" si="11"/>
        <v>0</v>
      </c>
      <c r="X264" s="19">
        <f t="shared" si="12"/>
        <v>0</v>
      </c>
    </row>
    <row r="265" ht="15.75" customHeight="1">
      <c r="Q265" s="15">
        <f t="shared" si="5"/>
        <v>0</v>
      </c>
      <c r="W265" s="22">
        <f t="shared" si="11"/>
        <v>0</v>
      </c>
      <c r="X265" s="19">
        <f t="shared" si="12"/>
        <v>0</v>
      </c>
    </row>
    <row r="266" ht="15.75" customHeight="1">
      <c r="Q266" s="15">
        <f t="shared" si="5"/>
        <v>0</v>
      </c>
      <c r="W266" s="22">
        <f t="shared" si="11"/>
        <v>0</v>
      </c>
      <c r="X266" s="19">
        <f t="shared" si="12"/>
        <v>0</v>
      </c>
    </row>
    <row r="267" ht="15.75" customHeight="1">
      <c r="Q267" s="15">
        <f t="shared" si="5"/>
        <v>0</v>
      </c>
      <c r="W267" s="22">
        <f t="shared" si="11"/>
        <v>0</v>
      </c>
      <c r="X267" s="19">
        <f t="shared" si="12"/>
        <v>0</v>
      </c>
    </row>
    <row r="268" ht="15.75" customHeight="1">
      <c r="Q268" s="15">
        <f t="shared" si="5"/>
        <v>0</v>
      </c>
      <c r="W268" s="22">
        <f t="shared" si="11"/>
        <v>0</v>
      </c>
      <c r="X268" s="19">
        <f t="shared" si="12"/>
        <v>0</v>
      </c>
    </row>
    <row r="269" ht="15.75" customHeight="1">
      <c r="Q269" s="15">
        <f t="shared" si="5"/>
        <v>0</v>
      </c>
      <c r="W269" s="22">
        <f t="shared" si="11"/>
        <v>0</v>
      </c>
      <c r="X269" s="19">
        <f t="shared" si="12"/>
        <v>0</v>
      </c>
    </row>
    <row r="270" ht="15.75" customHeight="1">
      <c r="Q270" s="15">
        <f t="shared" si="5"/>
        <v>0</v>
      </c>
      <c r="W270" s="22">
        <f t="shared" si="11"/>
        <v>0</v>
      </c>
      <c r="X270" s="19">
        <f t="shared" si="12"/>
        <v>0</v>
      </c>
    </row>
    <row r="271" ht="15.75" customHeight="1">
      <c r="Q271" s="15">
        <f t="shared" si="5"/>
        <v>0</v>
      </c>
      <c r="W271" s="22">
        <f t="shared" si="11"/>
        <v>0</v>
      </c>
      <c r="X271" s="19">
        <f t="shared" si="12"/>
        <v>0</v>
      </c>
    </row>
    <row r="272" ht="15.75" customHeight="1">
      <c r="Q272" s="15">
        <f t="shared" si="5"/>
        <v>0</v>
      </c>
      <c r="W272" s="22">
        <f t="shared" si="11"/>
        <v>0</v>
      </c>
      <c r="X272" s="19">
        <f t="shared" si="12"/>
        <v>0</v>
      </c>
    </row>
    <row r="273" ht="15.75" customHeight="1">
      <c r="Q273" s="15">
        <f t="shared" si="5"/>
        <v>0</v>
      </c>
      <c r="W273" s="22">
        <f t="shared" si="11"/>
        <v>0</v>
      </c>
      <c r="X273" s="19">
        <f t="shared" si="12"/>
        <v>0</v>
      </c>
    </row>
    <row r="274" ht="15.75" customHeight="1">
      <c r="Q274" s="15">
        <f t="shared" si="5"/>
        <v>0</v>
      </c>
      <c r="W274" s="22">
        <f t="shared" si="11"/>
        <v>0</v>
      </c>
      <c r="X274" s="19">
        <f t="shared" si="12"/>
        <v>0</v>
      </c>
    </row>
    <row r="275" ht="15.75" customHeight="1">
      <c r="Q275" s="15">
        <f t="shared" si="5"/>
        <v>0</v>
      </c>
      <c r="W275" s="22">
        <f t="shared" si="11"/>
        <v>0</v>
      </c>
      <c r="X275" s="19">
        <f t="shared" si="12"/>
        <v>0</v>
      </c>
    </row>
    <row r="276" ht="15.75" customHeight="1">
      <c r="Q276" s="15">
        <f t="shared" si="5"/>
        <v>0</v>
      </c>
      <c r="W276" s="22">
        <f t="shared" si="11"/>
        <v>0</v>
      </c>
      <c r="X276" s="19">
        <f t="shared" si="12"/>
        <v>0</v>
      </c>
    </row>
    <row r="277" ht="15.75" customHeight="1">
      <c r="Q277" s="15">
        <f t="shared" si="5"/>
        <v>0</v>
      </c>
      <c r="W277" s="22">
        <f t="shared" si="11"/>
        <v>0</v>
      </c>
      <c r="X277" s="19">
        <f t="shared" si="12"/>
        <v>0</v>
      </c>
    </row>
    <row r="278" ht="15.75" customHeight="1">
      <c r="Q278" s="15">
        <f t="shared" si="5"/>
        <v>0</v>
      </c>
      <c r="W278" s="22">
        <f t="shared" si="11"/>
        <v>0</v>
      </c>
      <c r="X278" s="19">
        <f t="shared" si="12"/>
        <v>0</v>
      </c>
    </row>
    <row r="279" ht="15.75" customHeight="1">
      <c r="Q279" s="15">
        <f t="shared" si="5"/>
        <v>0</v>
      </c>
      <c r="W279" s="22">
        <f t="shared" si="11"/>
        <v>0</v>
      </c>
      <c r="X279" s="19">
        <f t="shared" si="12"/>
        <v>0</v>
      </c>
    </row>
    <row r="280" ht="15.75" customHeight="1">
      <c r="Q280" s="15">
        <f t="shared" si="5"/>
        <v>0</v>
      </c>
      <c r="W280" s="22">
        <f t="shared" si="11"/>
        <v>0</v>
      </c>
      <c r="X280" s="19">
        <f t="shared" si="12"/>
        <v>0</v>
      </c>
    </row>
    <row r="281" ht="15.75" customHeight="1">
      <c r="Q281" s="15">
        <f t="shared" si="5"/>
        <v>0</v>
      </c>
      <c r="W281" s="22">
        <f t="shared" si="11"/>
        <v>0</v>
      </c>
      <c r="X281" s="19">
        <f t="shared" si="12"/>
        <v>0</v>
      </c>
    </row>
    <row r="282" ht="15.75" customHeight="1">
      <c r="Q282" s="15">
        <f t="shared" si="5"/>
        <v>0</v>
      </c>
      <c r="W282" s="22">
        <f t="shared" si="11"/>
        <v>0</v>
      </c>
      <c r="X282" s="19">
        <f t="shared" si="12"/>
        <v>0</v>
      </c>
    </row>
    <row r="283" ht="15.75" customHeight="1">
      <c r="Q283" s="15">
        <f t="shared" si="5"/>
        <v>0</v>
      </c>
      <c r="W283" s="22">
        <f t="shared" si="11"/>
        <v>0</v>
      </c>
      <c r="X283" s="19">
        <f t="shared" si="12"/>
        <v>0</v>
      </c>
    </row>
    <row r="284" ht="15.75" customHeight="1">
      <c r="Q284" s="15">
        <f t="shared" si="5"/>
        <v>0</v>
      </c>
      <c r="W284" s="22">
        <f t="shared" si="11"/>
        <v>0</v>
      </c>
      <c r="X284" s="19">
        <f t="shared" si="12"/>
        <v>0</v>
      </c>
    </row>
    <row r="285" ht="15.75" customHeight="1">
      <c r="Q285" s="15">
        <f t="shared" si="5"/>
        <v>0</v>
      </c>
      <c r="W285" s="22">
        <f t="shared" si="11"/>
        <v>0</v>
      </c>
      <c r="X285" s="19">
        <f t="shared" si="12"/>
        <v>0</v>
      </c>
    </row>
    <row r="286" ht="15.75" customHeight="1">
      <c r="Q286" s="15">
        <f t="shared" si="5"/>
        <v>0</v>
      </c>
      <c r="W286" s="22">
        <f t="shared" si="11"/>
        <v>0</v>
      </c>
      <c r="X286" s="19">
        <f t="shared" si="12"/>
        <v>0</v>
      </c>
    </row>
    <row r="287" ht="15.75" customHeight="1">
      <c r="Q287" s="15">
        <f t="shared" si="5"/>
        <v>0</v>
      </c>
      <c r="W287" s="22">
        <f t="shared" si="11"/>
        <v>0</v>
      </c>
      <c r="X287" s="19">
        <f t="shared" si="12"/>
        <v>0</v>
      </c>
    </row>
    <row r="288" ht="15.75" customHeight="1">
      <c r="Q288" s="15">
        <f t="shared" si="5"/>
        <v>0</v>
      </c>
      <c r="W288" s="22">
        <f t="shared" si="11"/>
        <v>0</v>
      </c>
      <c r="X288" s="19">
        <f t="shared" si="12"/>
        <v>0</v>
      </c>
    </row>
    <row r="289" ht="15.75" customHeight="1">
      <c r="Q289" s="15">
        <f t="shared" si="5"/>
        <v>0</v>
      </c>
      <c r="W289" s="22">
        <f t="shared" si="11"/>
        <v>0</v>
      </c>
      <c r="X289" s="19">
        <f t="shared" si="12"/>
        <v>0</v>
      </c>
    </row>
    <row r="290" ht="15.75" customHeight="1">
      <c r="Q290" s="15">
        <f t="shared" si="5"/>
        <v>0</v>
      </c>
      <c r="W290" s="22">
        <f t="shared" si="11"/>
        <v>0</v>
      </c>
      <c r="X290" s="19">
        <f t="shared" si="12"/>
        <v>0</v>
      </c>
    </row>
    <row r="291" ht="15.75" customHeight="1">
      <c r="Q291" s="15">
        <f t="shared" si="5"/>
        <v>0</v>
      </c>
      <c r="W291" s="22">
        <f t="shared" si="11"/>
        <v>0</v>
      </c>
      <c r="X291" s="19">
        <f t="shared" si="12"/>
        <v>0</v>
      </c>
    </row>
    <row r="292" ht="15.75" customHeight="1">
      <c r="Q292" s="15">
        <f t="shared" si="5"/>
        <v>0</v>
      </c>
      <c r="W292" s="22">
        <f t="shared" si="11"/>
        <v>0</v>
      </c>
      <c r="X292" s="19">
        <f t="shared" si="12"/>
        <v>0</v>
      </c>
    </row>
    <row r="293" ht="15.75" customHeight="1">
      <c r="Q293" s="15">
        <f t="shared" si="5"/>
        <v>0</v>
      </c>
      <c r="W293" s="22">
        <f t="shared" si="11"/>
        <v>0</v>
      </c>
      <c r="X293" s="19">
        <f t="shared" si="12"/>
        <v>0</v>
      </c>
    </row>
    <row r="294" ht="15.75" customHeight="1">
      <c r="Q294" s="15">
        <f t="shared" si="5"/>
        <v>0</v>
      </c>
      <c r="W294" s="22">
        <f t="shared" si="11"/>
        <v>0</v>
      </c>
      <c r="X294" s="19">
        <f t="shared" si="12"/>
        <v>0</v>
      </c>
    </row>
    <row r="295" ht="15.75" customHeight="1">
      <c r="Q295" s="15">
        <f t="shared" si="5"/>
        <v>0</v>
      </c>
      <c r="W295" s="22">
        <f t="shared" si="11"/>
        <v>0</v>
      </c>
      <c r="X295" s="19">
        <f t="shared" si="12"/>
        <v>0</v>
      </c>
    </row>
    <row r="296" ht="15.75" customHeight="1">
      <c r="Q296" s="15">
        <f t="shared" si="5"/>
        <v>0</v>
      </c>
      <c r="W296" s="22">
        <f t="shared" si="11"/>
        <v>0</v>
      </c>
      <c r="X296" s="19">
        <f t="shared" si="12"/>
        <v>0</v>
      </c>
    </row>
    <row r="297" ht="15.75" customHeight="1">
      <c r="Q297" s="15">
        <f t="shared" si="5"/>
        <v>0</v>
      </c>
      <c r="W297" s="22">
        <f t="shared" si="11"/>
        <v>0</v>
      </c>
      <c r="X297" s="19">
        <f t="shared" si="12"/>
        <v>0</v>
      </c>
    </row>
    <row r="298" ht="15.75" customHeight="1">
      <c r="Q298" s="15">
        <f t="shared" si="5"/>
        <v>0</v>
      </c>
      <c r="W298" s="22">
        <f t="shared" si="11"/>
        <v>0</v>
      </c>
      <c r="X298" s="19">
        <f t="shared" si="12"/>
        <v>0</v>
      </c>
    </row>
    <row r="299" ht="15.75" customHeight="1">
      <c r="Q299" s="15">
        <f t="shared" si="5"/>
        <v>0</v>
      </c>
      <c r="W299" s="22">
        <f t="shared" si="11"/>
        <v>0</v>
      </c>
      <c r="X299" s="19">
        <f t="shared" si="12"/>
        <v>0</v>
      </c>
    </row>
    <row r="300" ht="15.75" customHeight="1">
      <c r="Q300" s="15">
        <f t="shared" si="5"/>
        <v>0</v>
      </c>
      <c r="W300" s="22">
        <f t="shared" si="11"/>
        <v>0</v>
      </c>
      <c r="X300" s="19">
        <f t="shared" si="12"/>
        <v>0</v>
      </c>
    </row>
    <row r="301" ht="15.75" customHeight="1">
      <c r="Q301" s="15">
        <f t="shared" si="5"/>
        <v>0</v>
      </c>
      <c r="W301" s="22">
        <f t="shared" si="11"/>
        <v>0</v>
      </c>
      <c r="X301" s="19">
        <f t="shared" si="12"/>
        <v>0</v>
      </c>
    </row>
    <row r="302" ht="15.75" customHeight="1">
      <c r="Q302" s="15">
        <f t="shared" si="5"/>
        <v>0</v>
      </c>
      <c r="W302" s="22">
        <f t="shared" si="11"/>
        <v>0</v>
      </c>
      <c r="X302" s="19">
        <f t="shared" si="12"/>
        <v>0</v>
      </c>
    </row>
    <row r="303" ht="15.75" customHeight="1">
      <c r="Q303" s="15">
        <f t="shared" si="5"/>
        <v>0</v>
      </c>
      <c r="W303" s="22">
        <f t="shared" si="11"/>
        <v>0</v>
      </c>
      <c r="X303" s="19">
        <f t="shared" si="12"/>
        <v>0</v>
      </c>
    </row>
    <row r="304" ht="15.75" customHeight="1">
      <c r="Q304" s="15">
        <f t="shared" si="5"/>
        <v>0</v>
      </c>
      <c r="W304" s="22">
        <f t="shared" si="11"/>
        <v>0</v>
      </c>
      <c r="X304" s="19">
        <f t="shared" si="12"/>
        <v>0</v>
      </c>
    </row>
    <row r="305" ht="15.75" customHeight="1">
      <c r="Q305" s="15">
        <f t="shared" si="5"/>
        <v>0</v>
      </c>
      <c r="W305" s="22">
        <f t="shared" si="11"/>
        <v>0</v>
      </c>
      <c r="X305" s="19">
        <f t="shared" si="12"/>
        <v>0</v>
      </c>
    </row>
    <row r="306" ht="15.75" customHeight="1">
      <c r="Q306" s="15">
        <f t="shared" si="5"/>
        <v>0</v>
      </c>
      <c r="W306" s="22">
        <f t="shared" si="11"/>
        <v>0</v>
      </c>
      <c r="X306" s="19">
        <f t="shared" si="12"/>
        <v>0</v>
      </c>
    </row>
    <row r="307" ht="15.75" customHeight="1">
      <c r="Q307" s="15">
        <f t="shared" si="5"/>
        <v>0</v>
      </c>
      <c r="W307" s="22">
        <f t="shared" si="11"/>
        <v>0</v>
      </c>
      <c r="X307" s="19">
        <f t="shared" si="12"/>
        <v>0</v>
      </c>
    </row>
    <row r="308" ht="15.75" customHeight="1">
      <c r="Q308" s="15">
        <f t="shared" si="5"/>
        <v>0</v>
      </c>
      <c r="W308" s="22">
        <f t="shared" si="11"/>
        <v>0</v>
      </c>
      <c r="X308" s="19">
        <f t="shared" si="12"/>
        <v>0</v>
      </c>
    </row>
    <row r="309" ht="15.75" customHeight="1">
      <c r="Q309" s="15">
        <f t="shared" si="5"/>
        <v>0</v>
      </c>
      <c r="W309" s="22">
        <f t="shared" si="11"/>
        <v>0</v>
      </c>
      <c r="X309" s="19">
        <f t="shared" si="12"/>
        <v>0</v>
      </c>
    </row>
    <row r="310" ht="15.75" customHeight="1">
      <c r="Q310" s="15">
        <f t="shared" si="5"/>
        <v>0</v>
      </c>
      <c r="W310" s="22">
        <f t="shared" si="11"/>
        <v>0</v>
      </c>
      <c r="X310" s="19">
        <f t="shared" si="12"/>
        <v>0</v>
      </c>
    </row>
    <row r="311" ht="15.75" customHeight="1">
      <c r="Q311" s="15">
        <f t="shared" si="5"/>
        <v>0</v>
      </c>
      <c r="W311" s="22">
        <f t="shared" si="11"/>
        <v>0</v>
      </c>
      <c r="X311" s="19">
        <f t="shared" si="12"/>
        <v>0</v>
      </c>
    </row>
    <row r="312" ht="15.75" customHeight="1">
      <c r="Q312" s="15">
        <f t="shared" si="5"/>
        <v>0</v>
      </c>
      <c r="W312" s="22">
        <f t="shared" si="11"/>
        <v>0</v>
      </c>
      <c r="X312" s="19">
        <f t="shared" si="12"/>
        <v>0</v>
      </c>
    </row>
    <row r="313" ht="15.75" customHeight="1">
      <c r="Q313" s="15">
        <f t="shared" si="5"/>
        <v>0</v>
      </c>
      <c r="W313" s="22">
        <f t="shared" si="11"/>
        <v>0</v>
      </c>
      <c r="X313" s="19">
        <f t="shared" si="12"/>
        <v>0</v>
      </c>
    </row>
    <row r="314" ht="15.75" customHeight="1">
      <c r="Q314" s="15">
        <f t="shared" si="5"/>
        <v>0</v>
      </c>
      <c r="W314" s="22">
        <f t="shared" si="11"/>
        <v>0</v>
      </c>
      <c r="X314" s="19">
        <f t="shared" si="12"/>
        <v>0</v>
      </c>
    </row>
    <row r="315" ht="15.75" customHeight="1">
      <c r="Q315" s="15">
        <f t="shared" si="5"/>
        <v>0</v>
      </c>
      <c r="W315" s="22">
        <f t="shared" si="11"/>
        <v>0</v>
      </c>
      <c r="X315" s="19">
        <f t="shared" si="12"/>
        <v>0</v>
      </c>
    </row>
    <row r="316" ht="15.75" customHeight="1">
      <c r="Q316" s="15">
        <f t="shared" si="5"/>
        <v>0</v>
      </c>
      <c r="W316" s="22">
        <f t="shared" si="11"/>
        <v>0</v>
      </c>
      <c r="X316" s="19">
        <f t="shared" si="12"/>
        <v>0</v>
      </c>
    </row>
    <row r="317" ht="15.75" customHeight="1">
      <c r="Q317" s="15">
        <f t="shared" si="5"/>
        <v>0</v>
      </c>
      <c r="W317" s="22">
        <f t="shared" si="11"/>
        <v>0</v>
      </c>
      <c r="X317" s="19">
        <f t="shared" si="12"/>
        <v>0</v>
      </c>
    </row>
    <row r="318" ht="15.75" customHeight="1">
      <c r="Q318" s="15">
        <f t="shared" si="5"/>
        <v>0</v>
      </c>
      <c r="W318" s="22">
        <f t="shared" si="11"/>
        <v>0</v>
      </c>
      <c r="X318" s="19">
        <f t="shared" si="12"/>
        <v>0</v>
      </c>
    </row>
    <row r="319" ht="15.75" customHeight="1">
      <c r="Q319" s="15">
        <f t="shared" si="5"/>
        <v>0</v>
      </c>
      <c r="W319" s="22">
        <f t="shared" si="11"/>
        <v>0</v>
      </c>
      <c r="X319" s="19">
        <f t="shared" si="12"/>
        <v>0</v>
      </c>
    </row>
    <row r="320" ht="15.75" customHeight="1">
      <c r="Q320" s="15">
        <f t="shared" si="5"/>
        <v>0</v>
      </c>
      <c r="W320" s="22">
        <f t="shared" si="11"/>
        <v>0</v>
      </c>
      <c r="X320" s="19">
        <f t="shared" si="12"/>
        <v>0</v>
      </c>
    </row>
    <row r="321" ht="15.75" customHeight="1">
      <c r="Q321" s="15">
        <f t="shared" si="5"/>
        <v>0</v>
      </c>
      <c r="W321" s="22">
        <f t="shared" si="11"/>
        <v>0</v>
      </c>
      <c r="X321" s="19">
        <f t="shared" si="12"/>
        <v>0</v>
      </c>
    </row>
    <row r="322" ht="15.75" customHeight="1">
      <c r="Q322" s="15">
        <f t="shared" si="5"/>
        <v>0</v>
      </c>
      <c r="W322" s="22">
        <f t="shared" si="11"/>
        <v>0</v>
      </c>
      <c r="X322" s="19">
        <f t="shared" si="12"/>
        <v>0</v>
      </c>
    </row>
    <row r="323" ht="15.75" customHeight="1">
      <c r="Q323" s="15">
        <f t="shared" si="5"/>
        <v>0</v>
      </c>
      <c r="W323" s="22">
        <f t="shared" si="11"/>
        <v>0</v>
      </c>
      <c r="X323" s="19">
        <f t="shared" si="12"/>
        <v>0</v>
      </c>
    </row>
    <row r="324" ht="15.75" customHeight="1">
      <c r="Q324" s="15">
        <f t="shared" si="5"/>
        <v>0</v>
      </c>
      <c r="W324" s="22">
        <f t="shared" si="11"/>
        <v>0</v>
      </c>
      <c r="X324" s="19">
        <f t="shared" si="12"/>
        <v>0</v>
      </c>
    </row>
    <row r="325" ht="15.75" customHeight="1">
      <c r="Q325" s="15">
        <f t="shared" si="5"/>
        <v>0</v>
      </c>
      <c r="W325" s="22">
        <f t="shared" si="11"/>
        <v>0</v>
      </c>
      <c r="X325" s="19">
        <f t="shared" si="12"/>
        <v>0</v>
      </c>
    </row>
    <row r="326" ht="15.75" customHeight="1">
      <c r="Q326" s="15">
        <f t="shared" si="5"/>
        <v>0</v>
      </c>
      <c r="W326" s="22">
        <f t="shared" si="11"/>
        <v>0</v>
      </c>
      <c r="X326" s="19">
        <f t="shared" si="12"/>
        <v>0</v>
      </c>
    </row>
    <row r="327" ht="15.75" customHeight="1">
      <c r="Q327" s="15">
        <f t="shared" si="5"/>
        <v>0</v>
      </c>
      <c r="W327" s="22">
        <f t="shared" si="11"/>
        <v>0</v>
      </c>
      <c r="X327" s="19">
        <f t="shared" si="12"/>
        <v>0</v>
      </c>
    </row>
    <row r="328" ht="15.75" customHeight="1">
      <c r="Q328" s="15">
        <f t="shared" si="5"/>
        <v>0</v>
      </c>
      <c r="W328" s="22">
        <f t="shared" si="11"/>
        <v>0</v>
      </c>
      <c r="X328" s="19">
        <f t="shared" si="12"/>
        <v>0</v>
      </c>
    </row>
    <row r="329" ht="15.75" customHeight="1">
      <c r="Q329" s="15">
        <f t="shared" si="5"/>
        <v>0</v>
      </c>
      <c r="W329" s="22">
        <f t="shared" si="11"/>
        <v>0</v>
      </c>
      <c r="X329" s="19">
        <f t="shared" si="12"/>
        <v>0</v>
      </c>
    </row>
    <row r="330" ht="15.75" customHeight="1">
      <c r="Q330" s="15">
        <f t="shared" si="5"/>
        <v>0</v>
      </c>
      <c r="W330" s="22">
        <f t="shared" si="11"/>
        <v>0</v>
      </c>
      <c r="X330" s="19">
        <f t="shared" si="12"/>
        <v>0</v>
      </c>
    </row>
    <row r="331" ht="15.75" customHeight="1">
      <c r="Q331" s="15">
        <f t="shared" si="5"/>
        <v>0</v>
      </c>
      <c r="W331" s="22">
        <f t="shared" si="11"/>
        <v>0</v>
      </c>
      <c r="X331" s="19">
        <f t="shared" si="12"/>
        <v>0</v>
      </c>
    </row>
    <row r="332" ht="15.75" customHeight="1">
      <c r="Q332" s="15">
        <f t="shared" si="5"/>
        <v>0</v>
      </c>
      <c r="W332" s="22">
        <f t="shared" si="11"/>
        <v>0</v>
      </c>
      <c r="X332" s="19">
        <f t="shared" si="12"/>
        <v>0</v>
      </c>
    </row>
    <row r="333" ht="15.75" customHeight="1">
      <c r="Q333" s="15">
        <f t="shared" si="5"/>
        <v>0</v>
      </c>
      <c r="W333" s="22">
        <f t="shared" si="11"/>
        <v>0</v>
      </c>
      <c r="X333" s="19">
        <f t="shared" si="12"/>
        <v>0</v>
      </c>
    </row>
    <row r="334" ht="15.75" customHeight="1">
      <c r="Q334" s="15">
        <f t="shared" si="5"/>
        <v>0</v>
      </c>
      <c r="W334" s="22">
        <f t="shared" si="11"/>
        <v>0</v>
      </c>
      <c r="X334" s="19">
        <f t="shared" si="12"/>
        <v>0</v>
      </c>
    </row>
    <row r="335" ht="15.75" customHeight="1">
      <c r="Q335" s="15">
        <f t="shared" si="5"/>
        <v>0</v>
      </c>
      <c r="W335" s="22">
        <f t="shared" si="11"/>
        <v>0</v>
      </c>
      <c r="X335" s="19">
        <f t="shared" si="12"/>
        <v>0</v>
      </c>
    </row>
    <row r="336" ht="15.75" customHeight="1">
      <c r="Q336" s="15">
        <f t="shared" si="5"/>
        <v>0</v>
      </c>
      <c r="W336" s="22">
        <f t="shared" si="11"/>
        <v>0</v>
      </c>
      <c r="X336" s="19">
        <f t="shared" si="12"/>
        <v>0</v>
      </c>
    </row>
    <row r="337" ht="15.75" customHeight="1">
      <c r="Q337" s="15">
        <f t="shared" si="5"/>
        <v>0</v>
      </c>
      <c r="W337" s="22">
        <f t="shared" si="11"/>
        <v>0</v>
      </c>
      <c r="X337" s="19">
        <f t="shared" si="12"/>
        <v>0</v>
      </c>
    </row>
    <row r="338" ht="15.75" customHeight="1">
      <c r="Q338" s="15">
        <f t="shared" si="5"/>
        <v>0</v>
      </c>
      <c r="W338" s="22">
        <f t="shared" si="11"/>
        <v>0</v>
      </c>
      <c r="X338" s="19">
        <f t="shared" si="12"/>
        <v>0</v>
      </c>
    </row>
    <row r="339" ht="15.75" customHeight="1">
      <c r="Q339" s="15">
        <f t="shared" si="5"/>
        <v>0</v>
      </c>
      <c r="W339" s="22">
        <f t="shared" si="11"/>
        <v>0</v>
      </c>
      <c r="X339" s="19">
        <f t="shared" si="12"/>
        <v>0</v>
      </c>
    </row>
    <row r="340" ht="15.75" customHeight="1">
      <c r="Q340" s="15">
        <f t="shared" si="5"/>
        <v>0</v>
      </c>
      <c r="W340" s="22">
        <f t="shared" si="11"/>
        <v>0</v>
      </c>
      <c r="X340" s="19">
        <f t="shared" si="12"/>
        <v>0</v>
      </c>
    </row>
    <row r="341" ht="15.75" customHeight="1">
      <c r="Q341" s="15">
        <f t="shared" si="5"/>
        <v>0</v>
      </c>
      <c r="W341" s="22">
        <f t="shared" si="11"/>
        <v>0</v>
      </c>
      <c r="X341" s="19">
        <f t="shared" si="12"/>
        <v>0</v>
      </c>
    </row>
    <row r="342" ht="15.75" customHeight="1">
      <c r="Q342" s="15">
        <f t="shared" si="5"/>
        <v>0</v>
      </c>
      <c r="W342" s="22">
        <f t="shared" si="11"/>
        <v>0</v>
      </c>
      <c r="X342" s="19">
        <f t="shared" si="12"/>
        <v>0</v>
      </c>
    </row>
    <row r="343" ht="15.75" customHeight="1">
      <c r="Q343" s="15">
        <f t="shared" si="5"/>
        <v>0</v>
      </c>
      <c r="W343" s="22">
        <f t="shared" si="11"/>
        <v>0</v>
      </c>
      <c r="X343" s="19">
        <f t="shared" si="12"/>
        <v>0</v>
      </c>
    </row>
    <row r="344" ht="15.75" customHeight="1">
      <c r="Q344" s="15">
        <f t="shared" si="5"/>
        <v>0</v>
      </c>
      <c r="W344" s="22">
        <f t="shared" si="11"/>
        <v>0</v>
      </c>
      <c r="X344" s="19">
        <f t="shared" si="12"/>
        <v>0</v>
      </c>
    </row>
    <row r="345" ht="15.75" customHeight="1">
      <c r="Q345" s="15">
        <f t="shared" si="5"/>
        <v>0</v>
      </c>
      <c r="W345" s="22">
        <f t="shared" si="11"/>
        <v>0</v>
      </c>
      <c r="X345" s="19">
        <f t="shared" si="12"/>
        <v>0</v>
      </c>
    </row>
    <row r="346" ht="15.75" customHeight="1">
      <c r="Q346" s="15">
        <f t="shared" si="5"/>
        <v>0</v>
      </c>
      <c r="W346" s="22">
        <f t="shared" si="11"/>
        <v>0</v>
      </c>
      <c r="X346" s="19">
        <f t="shared" si="12"/>
        <v>0</v>
      </c>
    </row>
    <row r="347" ht="15.75" customHeight="1">
      <c r="Q347" s="15">
        <f t="shared" si="5"/>
        <v>0</v>
      </c>
      <c r="W347" s="22">
        <f t="shared" si="11"/>
        <v>0</v>
      </c>
      <c r="X347" s="19">
        <f t="shared" si="12"/>
        <v>0</v>
      </c>
    </row>
    <row r="348" ht="15.75" customHeight="1">
      <c r="Q348" s="15">
        <f t="shared" si="5"/>
        <v>0</v>
      </c>
      <c r="W348" s="22">
        <f t="shared" si="11"/>
        <v>0</v>
      </c>
      <c r="X348" s="19">
        <f t="shared" si="12"/>
        <v>0</v>
      </c>
    </row>
    <row r="349" ht="15.75" customHeight="1">
      <c r="Q349" s="15">
        <f t="shared" si="5"/>
        <v>0</v>
      </c>
      <c r="W349" s="22">
        <f t="shared" si="11"/>
        <v>0</v>
      </c>
      <c r="X349" s="19">
        <f t="shared" si="12"/>
        <v>0</v>
      </c>
    </row>
    <row r="350" ht="15.75" customHeight="1">
      <c r="Q350" s="15">
        <f t="shared" si="5"/>
        <v>0</v>
      </c>
      <c r="W350" s="22">
        <f t="shared" si="11"/>
        <v>0</v>
      </c>
      <c r="X350" s="19">
        <f t="shared" si="12"/>
        <v>0</v>
      </c>
    </row>
    <row r="351" ht="15.75" customHeight="1">
      <c r="Q351" s="15">
        <f t="shared" si="5"/>
        <v>0</v>
      </c>
      <c r="W351" s="22">
        <f t="shared" si="11"/>
        <v>0</v>
      </c>
      <c r="X351" s="19">
        <f t="shared" si="12"/>
        <v>0</v>
      </c>
    </row>
    <row r="352" ht="15.75" customHeight="1">
      <c r="Q352" s="15">
        <f t="shared" si="5"/>
        <v>0</v>
      </c>
      <c r="W352" s="22">
        <f t="shared" si="11"/>
        <v>0</v>
      </c>
      <c r="X352" s="19">
        <f t="shared" si="12"/>
        <v>0</v>
      </c>
    </row>
    <row r="353" ht="15.75" customHeight="1">
      <c r="Q353" s="15">
        <f t="shared" si="5"/>
        <v>0</v>
      </c>
      <c r="W353" s="22">
        <f t="shared" si="11"/>
        <v>0</v>
      </c>
      <c r="X353" s="19">
        <f t="shared" si="12"/>
        <v>0</v>
      </c>
    </row>
    <row r="354" ht="15.75" customHeight="1">
      <c r="Q354" s="15">
        <f t="shared" si="5"/>
        <v>0</v>
      </c>
      <c r="W354" s="22">
        <f t="shared" si="11"/>
        <v>0</v>
      </c>
      <c r="X354" s="19">
        <f t="shared" si="12"/>
        <v>0</v>
      </c>
    </row>
    <row r="355" ht="15.75" customHeight="1">
      <c r="Q355" s="15">
        <f t="shared" si="5"/>
        <v>0</v>
      </c>
      <c r="W355" s="22">
        <f t="shared" si="11"/>
        <v>0</v>
      </c>
      <c r="X355" s="19">
        <f t="shared" si="12"/>
        <v>0</v>
      </c>
    </row>
    <row r="356" ht="15.75" customHeight="1">
      <c r="Q356" s="15">
        <f t="shared" si="5"/>
        <v>0</v>
      </c>
      <c r="W356" s="22">
        <f t="shared" si="11"/>
        <v>0</v>
      </c>
      <c r="X356" s="19">
        <f t="shared" si="12"/>
        <v>0</v>
      </c>
    </row>
    <row r="357" ht="15.75" customHeight="1">
      <c r="Q357" s="15">
        <f t="shared" si="5"/>
        <v>0</v>
      </c>
      <c r="W357" s="22">
        <f t="shared" si="11"/>
        <v>0</v>
      </c>
      <c r="X357" s="19">
        <f t="shared" si="12"/>
        <v>0</v>
      </c>
    </row>
    <row r="358" ht="15.75" customHeight="1">
      <c r="Q358" s="15">
        <f t="shared" si="5"/>
        <v>0</v>
      </c>
      <c r="W358" s="22">
        <f t="shared" si="11"/>
        <v>0</v>
      </c>
      <c r="X358" s="19">
        <f t="shared" si="12"/>
        <v>0</v>
      </c>
    </row>
    <row r="359" ht="15.75" customHeight="1">
      <c r="Q359" s="15">
        <f t="shared" si="5"/>
        <v>0</v>
      </c>
      <c r="W359" s="22">
        <f t="shared" si="11"/>
        <v>0</v>
      </c>
      <c r="X359" s="19">
        <f t="shared" si="12"/>
        <v>0</v>
      </c>
    </row>
    <row r="360" ht="15.75" customHeight="1">
      <c r="Q360" s="15">
        <f t="shared" si="5"/>
        <v>0</v>
      </c>
      <c r="W360" s="22">
        <f t="shared" si="11"/>
        <v>0</v>
      </c>
      <c r="X360" s="19">
        <f t="shared" si="12"/>
        <v>0</v>
      </c>
    </row>
    <row r="361" ht="15.75" customHeight="1">
      <c r="Q361" s="15">
        <f t="shared" si="5"/>
        <v>0</v>
      </c>
      <c r="W361" s="22">
        <f t="shared" si="11"/>
        <v>0</v>
      </c>
      <c r="X361" s="19">
        <f t="shared" si="12"/>
        <v>0</v>
      </c>
    </row>
    <row r="362" ht="15.75" customHeight="1">
      <c r="Q362" s="15">
        <f t="shared" si="5"/>
        <v>0</v>
      </c>
      <c r="W362" s="22">
        <f t="shared" si="11"/>
        <v>0</v>
      </c>
      <c r="X362" s="19">
        <f t="shared" si="12"/>
        <v>0</v>
      </c>
    </row>
    <row r="363" ht="15.75" customHeight="1">
      <c r="Q363" s="15">
        <f t="shared" si="5"/>
        <v>0</v>
      </c>
      <c r="W363" s="22">
        <f t="shared" si="11"/>
        <v>0</v>
      </c>
      <c r="X363" s="19">
        <f t="shared" si="12"/>
        <v>0</v>
      </c>
    </row>
    <row r="364" ht="15.75" customHeight="1">
      <c r="Q364" s="15">
        <f t="shared" si="5"/>
        <v>0</v>
      </c>
      <c r="W364" s="22">
        <f t="shared" si="11"/>
        <v>0</v>
      </c>
      <c r="X364" s="19">
        <f t="shared" si="12"/>
        <v>0</v>
      </c>
    </row>
    <row r="365" ht="15.75" customHeight="1">
      <c r="Q365" s="15">
        <f t="shared" si="5"/>
        <v>0</v>
      </c>
      <c r="W365" s="22">
        <f t="shared" si="11"/>
        <v>0</v>
      </c>
      <c r="X365" s="19">
        <f t="shared" si="12"/>
        <v>0</v>
      </c>
    </row>
    <row r="366" ht="15.75" customHeight="1">
      <c r="Q366" s="15">
        <f t="shared" si="5"/>
        <v>0</v>
      </c>
      <c r="W366" s="22">
        <f t="shared" si="11"/>
        <v>0</v>
      </c>
      <c r="X366" s="19">
        <f t="shared" si="12"/>
        <v>0</v>
      </c>
    </row>
    <row r="367" ht="15.75" customHeight="1">
      <c r="Q367" s="15">
        <f t="shared" si="5"/>
        <v>0</v>
      </c>
      <c r="W367" s="22">
        <f t="shared" si="11"/>
        <v>0</v>
      </c>
      <c r="X367" s="19">
        <f t="shared" si="12"/>
        <v>0</v>
      </c>
    </row>
    <row r="368" ht="15.75" customHeight="1">
      <c r="Q368" s="15">
        <f t="shared" si="5"/>
        <v>0</v>
      </c>
      <c r="W368" s="22">
        <f t="shared" si="11"/>
        <v>0</v>
      </c>
      <c r="X368" s="19">
        <f t="shared" si="12"/>
        <v>0</v>
      </c>
    </row>
    <row r="369" ht="15.75" customHeight="1">
      <c r="Q369" s="15">
        <f t="shared" si="5"/>
        <v>0</v>
      </c>
      <c r="W369" s="22">
        <f t="shared" si="11"/>
        <v>0</v>
      </c>
      <c r="X369" s="19">
        <f t="shared" si="12"/>
        <v>0</v>
      </c>
    </row>
    <row r="370" ht="15.75" customHeight="1">
      <c r="Q370" s="15">
        <f t="shared" si="5"/>
        <v>0</v>
      </c>
      <c r="W370" s="22">
        <f t="shared" si="11"/>
        <v>0</v>
      </c>
      <c r="X370" s="19">
        <f t="shared" si="12"/>
        <v>0</v>
      </c>
    </row>
    <row r="371" ht="15.75" customHeight="1">
      <c r="Q371" s="15">
        <f t="shared" si="5"/>
        <v>0</v>
      </c>
      <c r="W371" s="22">
        <f t="shared" si="11"/>
        <v>0</v>
      </c>
      <c r="X371" s="19">
        <f t="shared" si="12"/>
        <v>0</v>
      </c>
    </row>
    <row r="372" ht="15.75" customHeight="1">
      <c r="Q372" s="15">
        <f t="shared" si="5"/>
        <v>0</v>
      </c>
      <c r="W372" s="22">
        <f t="shared" si="11"/>
        <v>0</v>
      </c>
      <c r="X372" s="19">
        <f t="shared" si="12"/>
        <v>0</v>
      </c>
    </row>
    <row r="373" ht="15.75" customHeight="1">
      <c r="Q373" s="15">
        <f t="shared" si="5"/>
        <v>0</v>
      </c>
      <c r="W373" s="22">
        <f t="shared" si="11"/>
        <v>0</v>
      </c>
      <c r="X373" s="19">
        <f t="shared" si="12"/>
        <v>0</v>
      </c>
    </row>
    <row r="374" ht="15.75" customHeight="1">
      <c r="Q374" s="15">
        <f t="shared" si="5"/>
        <v>0</v>
      </c>
      <c r="W374" s="22">
        <f t="shared" si="11"/>
        <v>0</v>
      </c>
      <c r="X374" s="19">
        <f t="shared" si="12"/>
        <v>0</v>
      </c>
    </row>
    <row r="375" ht="15.75" customHeight="1">
      <c r="Q375" s="15">
        <f t="shared" si="5"/>
        <v>0</v>
      </c>
      <c r="W375" s="22">
        <f t="shared" si="11"/>
        <v>0</v>
      </c>
      <c r="X375" s="19">
        <f t="shared" si="12"/>
        <v>0</v>
      </c>
    </row>
    <row r="376" ht="15.75" customHeight="1">
      <c r="Q376" s="15">
        <f t="shared" si="5"/>
        <v>0</v>
      </c>
      <c r="W376" s="22">
        <f t="shared" si="11"/>
        <v>0</v>
      </c>
      <c r="X376" s="19">
        <f t="shared" si="12"/>
        <v>0</v>
      </c>
    </row>
    <row r="377" ht="15.75" customHeight="1">
      <c r="Q377" s="15">
        <f t="shared" si="5"/>
        <v>0</v>
      </c>
      <c r="W377" s="22">
        <f t="shared" si="11"/>
        <v>0</v>
      </c>
      <c r="X377" s="19">
        <f t="shared" si="12"/>
        <v>0</v>
      </c>
    </row>
    <row r="378" ht="15.75" customHeight="1">
      <c r="Q378" s="15">
        <f t="shared" si="5"/>
        <v>0</v>
      </c>
      <c r="W378" s="22">
        <f t="shared" si="11"/>
        <v>0</v>
      </c>
      <c r="X378" s="19">
        <f t="shared" si="12"/>
        <v>0</v>
      </c>
    </row>
    <row r="379" ht="15.75" customHeight="1">
      <c r="Q379" s="15">
        <f t="shared" si="5"/>
        <v>0</v>
      </c>
      <c r="W379" s="22">
        <f t="shared" si="11"/>
        <v>0</v>
      </c>
      <c r="X379" s="19">
        <f t="shared" si="12"/>
        <v>0</v>
      </c>
    </row>
    <row r="380" ht="15.75" customHeight="1">
      <c r="Q380" s="15">
        <f t="shared" si="5"/>
        <v>0</v>
      </c>
      <c r="W380" s="22">
        <f t="shared" si="11"/>
        <v>0</v>
      </c>
      <c r="X380" s="19">
        <f t="shared" si="12"/>
        <v>0</v>
      </c>
    </row>
    <row r="381" ht="15.75" customHeight="1">
      <c r="Q381" s="15">
        <f t="shared" si="5"/>
        <v>0</v>
      </c>
      <c r="W381" s="22">
        <f t="shared" si="11"/>
        <v>0</v>
      </c>
      <c r="X381" s="19">
        <f t="shared" si="12"/>
        <v>0</v>
      </c>
    </row>
    <row r="382" ht="15.75" customHeight="1">
      <c r="Q382" s="15">
        <f t="shared" si="5"/>
        <v>0</v>
      </c>
      <c r="W382" s="22">
        <f t="shared" si="11"/>
        <v>0</v>
      </c>
      <c r="X382" s="19">
        <f t="shared" si="12"/>
        <v>0</v>
      </c>
    </row>
    <row r="383" ht="15.75" customHeight="1">
      <c r="Q383" s="15">
        <f t="shared" si="5"/>
        <v>0</v>
      </c>
      <c r="W383" s="22">
        <f t="shared" si="11"/>
        <v>0</v>
      </c>
      <c r="X383" s="19">
        <f t="shared" si="12"/>
        <v>0</v>
      </c>
    </row>
    <row r="384" ht="15.75" customHeight="1">
      <c r="Q384" s="15">
        <f t="shared" si="5"/>
        <v>0</v>
      </c>
      <c r="W384" s="22">
        <f t="shared" si="11"/>
        <v>0</v>
      </c>
      <c r="X384" s="19">
        <f t="shared" si="12"/>
        <v>0</v>
      </c>
    </row>
    <row r="385" ht="15.75" customHeight="1">
      <c r="Q385" s="15">
        <f t="shared" si="5"/>
        <v>0</v>
      </c>
      <c r="W385" s="22">
        <f t="shared" si="11"/>
        <v>0</v>
      </c>
      <c r="X385" s="19">
        <f t="shared" si="12"/>
        <v>0</v>
      </c>
    </row>
    <row r="386" ht="15.75" customHeight="1">
      <c r="Q386" s="15">
        <f t="shared" si="5"/>
        <v>0</v>
      </c>
      <c r="W386" s="22">
        <f t="shared" si="11"/>
        <v>0</v>
      </c>
      <c r="X386" s="19">
        <f t="shared" si="12"/>
        <v>0</v>
      </c>
    </row>
    <row r="387" ht="15.75" customHeight="1">
      <c r="Q387" s="15">
        <f t="shared" si="5"/>
        <v>0</v>
      </c>
      <c r="W387" s="22">
        <f t="shared" si="11"/>
        <v>0</v>
      </c>
      <c r="X387" s="19">
        <f t="shared" si="12"/>
        <v>0</v>
      </c>
    </row>
    <row r="388" ht="15.75" customHeight="1">
      <c r="Q388" s="15">
        <f t="shared" si="5"/>
        <v>0</v>
      </c>
      <c r="W388" s="22">
        <f t="shared" si="11"/>
        <v>0</v>
      </c>
      <c r="X388" s="19">
        <f t="shared" si="12"/>
        <v>0</v>
      </c>
    </row>
    <row r="389" ht="15.75" customHeight="1">
      <c r="Q389" s="15">
        <f t="shared" si="5"/>
        <v>0</v>
      </c>
      <c r="W389" s="22">
        <f t="shared" si="11"/>
        <v>0</v>
      </c>
      <c r="X389" s="19">
        <f t="shared" si="12"/>
        <v>0</v>
      </c>
    </row>
    <row r="390" ht="15.75" customHeight="1">
      <c r="Q390" s="15">
        <f t="shared" si="5"/>
        <v>0</v>
      </c>
      <c r="W390" s="22">
        <f t="shared" si="11"/>
        <v>0</v>
      </c>
      <c r="X390" s="19">
        <f t="shared" si="12"/>
        <v>0</v>
      </c>
    </row>
    <row r="391" ht="15.75" customHeight="1">
      <c r="Q391" s="15">
        <f t="shared" si="5"/>
        <v>0</v>
      </c>
      <c r="W391" s="22">
        <f t="shared" si="11"/>
        <v>0</v>
      </c>
      <c r="X391" s="19">
        <f t="shared" si="12"/>
        <v>0</v>
      </c>
    </row>
    <row r="392" ht="15.75" customHeight="1">
      <c r="Q392" s="15">
        <f t="shared" si="5"/>
        <v>0</v>
      </c>
      <c r="W392" s="22">
        <f t="shared" si="11"/>
        <v>0</v>
      </c>
      <c r="X392" s="19">
        <f t="shared" si="12"/>
        <v>0</v>
      </c>
    </row>
    <row r="393" ht="15.75" customHeight="1">
      <c r="Q393" s="15">
        <f t="shared" si="5"/>
        <v>0</v>
      </c>
      <c r="W393" s="22">
        <f t="shared" si="11"/>
        <v>0</v>
      </c>
      <c r="X393" s="19">
        <f t="shared" si="12"/>
        <v>0</v>
      </c>
    </row>
    <row r="394" ht="15.75" customHeight="1">
      <c r="Q394" s="15">
        <f t="shared" si="5"/>
        <v>0</v>
      </c>
      <c r="W394" s="22">
        <f t="shared" si="11"/>
        <v>0</v>
      </c>
      <c r="X394" s="19">
        <f t="shared" si="12"/>
        <v>0</v>
      </c>
    </row>
    <row r="395" ht="15.75" customHeight="1">
      <c r="Q395" s="15">
        <f t="shared" si="5"/>
        <v>0</v>
      </c>
      <c r="W395" s="22">
        <f t="shared" si="11"/>
        <v>0</v>
      </c>
      <c r="X395" s="19">
        <f t="shared" si="12"/>
        <v>0</v>
      </c>
    </row>
    <row r="396" ht="15.75" customHeight="1">
      <c r="Q396" s="15">
        <f t="shared" si="5"/>
        <v>0</v>
      </c>
      <c r="W396" s="22">
        <f t="shared" si="11"/>
        <v>0</v>
      </c>
      <c r="X396" s="19">
        <f t="shared" si="12"/>
        <v>0</v>
      </c>
    </row>
    <row r="397" ht="15.75" customHeight="1">
      <c r="Q397" s="15">
        <f t="shared" si="5"/>
        <v>0</v>
      </c>
      <c r="W397" s="22">
        <f t="shared" si="11"/>
        <v>0</v>
      </c>
      <c r="X397" s="19">
        <f t="shared" si="12"/>
        <v>0</v>
      </c>
    </row>
    <row r="398" ht="15.75" customHeight="1">
      <c r="Q398" s="15">
        <f t="shared" si="5"/>
        <v>0</v>
      </c>
      <c r="W398" s="22">
        <f t="shared" si="11"/>
        <v>0</v>
      </c>
      <c r="X398" s="19">
        <f t="shared" si="12"/>
        <v>0</v>
      </c>
    </row>
    <row r="399" ht="15.75" customHeight="1">
      <c r="Q399" s="15">
        <f t="shared" si="5"/>
        <v>0</v>
      </c>
      <c r="W399" s="22">
        <f t="shared" si="11"/>
        <v>0</v>
      </c>
      <c r="X399" s="19">
        <f t="shared" si="12"/>
        <v>0</v>
      </c>
    </row>
    <row r="400" ht="15.75" customHeight="1">
      <c r="Q400" s="15">
        <f t="shared" si="5"/>
        <v>0</v>
      </c>
      <c r="W400" s="22">
        <f t="shared" si="11"/>
        <v>0</v>
      </c>
      <c r="X400" s="19">
        <f t="shared" si="12"/>
        <v>0</v>
      </c>
    </row>
    <row r="401" ht="15.75" customHeight="1">
      <c r="Q401" s="15">
        <f t="shared" si="5"/>
        <v>0</v>
      </c>
      <c r="W401" s="22">
        <f t="shared" si="11"/>
        <v>0</v>
      </c>
      <c r="X401" s="19">
        <f t="shared" si="12"/>
        <v>0</v>
      </c>
    </row>
    <row r="402" ht="15.75" customHeight="1">
      <c r="Q402" s="15">
        <f t="shared" si="5"/>
        <v>0</v>
      </c>
      <c r="W402" s="22">
        <f t="shared" si="11"/>
        <v>0</v>
      </c>
      <c r="X402" s="19">
        <f t="shared" si="12"/>
        <v>0</v>
      </c>
    </row>
    <row r="403" ht="15.75" customHeight="1">
      <c r="Q403" s="15">
        <f t="shared" si="5"/>
        <v>0</v>
      </c>
      <c r="W403" s="22">
        <f t="shared" si="11"/>
        <v>0</v>
      </c>
      <c r="X403" s="19">
        <f t="shared" si="12"/>
        <v>0</v>
      </c>
    </row>
    <row r="404" ht="15.75" customHeight="1">
      <c r="Q404" s="15">
        <f t="shared" si="5"/>
        <v>0</v>
      </c>
      <c r="W404" s="22">
        <f t="shared" si="11"/>
        <v>0</v>
      </c>
      <c r="X404" s="19">
        <f t="shared" si="12"/>
        <v>0</v>
      </c>
    </row>
    <row r="405" ht="15.75" customHeight="1">
      <c r="Q405" s="15">
        <f t="shared" si="5"/>
        <v>0</v>
      </c>
      <c r="W405" s="22">
        <f t="shared" si="11"/>
        <v>0</v>
      </c>
      <c r="X405" s="19">
        <f t="shared" si="12"/>
        <v>0</v>
      </c>
    </row>
    <row r="406" ht="15.75" customHeight="1">
      <c r="Q406" s="15">
        <f t="shared" si="5"/>
        <v>0</v>
      </c>
      <c r="W406" s="22">
        <f t="shared" si="11"/>
        <v>0</v>
      </c>
      <c r="X406" s="19">
        <f t="shared" si="12"/>
        <v>0</v>
      </c>
    </row>
    <row r="407" ht="15.75" customHeight="1">
      <c r="Q407" s="15">
        <f t="shared" si="5"/>
        <v>0</v>
      </c>
      <c r="W407" s="22">
        <f t="shared" si="11"/>
        <v>0</v>
      </c>
      <c r="X407" s="19">
        <f t="shared" si="12"/>
        <v>0</v>
      </c>
    </row>
    <row r="408" ht="15.75" customHeight="1">
      <c r="Q408" s="15">
        <f t="shared" si="5"/>
        <v>0</v>
      </c>
      <c r="W408" s="22">
        <f t="shared" si="11"/>
        <v>0</v>
      </c>
      <c r="X408" s="19">
        <f t="shared" si="12"/>
        <v>0</v>
      </c>
    </row>
    <row r="409" ht="15.75" customHeight="1">
      <c r="Q409" s="15">
        <f t="shared" si="5"/>
        <v>0</v>
      </c>
      <c r="W409" s="22">
        <f t="shared" si="11"/>
        <v>0</v>
      </c>
      <c r="X409" s="19">
        <f t="shared" si="12"/>
        <v>0</v>
      </c>
    </row>
    <row r="410" ht="15.75" customHeight="1">
      <c r="Q410" s="15">
        <f t="shared" si="5"/>
        <v>0</v>
      </c>
      <c r="W410" s="22">
        <f t="shared" si="11"/>
        <v>0</v>
      </c>
      <c r="X410" s="19">
        <f t="shared" si="12"/>
        <v>0</v>
      </c>
    </row>
    <row r="411" ht="15.75" customHeight="1">
      <c r="Q411" s="15">
        <f t="shared" si="5"/>
        <v>0</v>
      </c>
      <c r="W411" s="22">
        <f t="shared" si="11"/>
        <v>0</v>
      </c>
      <c r="X411" s="19">
        <f t="shared" si="12"/>
        <v>0</v>
      </c>
    </row>
    <row r="412" ht="15.75" customHeight="1">
      <c r="Q412" s="15">
        <f t="shared" si="5"/>
        <v>0</v>
      </c>
      <c r="W412" s="22">
        <f t="shared" si="11"/>
        <v>0</v>
      </c>
      <c r="X412" s="19">
        <f t="shared" si="12"/>
        <v>0</v>
      </c>
    </row>
    <row r="413" ht="15.75" customHeight="1">
      <c r="Q413" s="15">
        <f t="shared" si="5"/>
        <v>0</v>
      </c>
      <c r="W413" s="22">
        <f t="shared" si="11"/>
        <v>0</v>
      </c>
      <c r="X413" s="19">
        <f t="shared" si="12"/>
        <v>0</v>
      </c>
    </row>
    <row r="414" ht="15.75" customHeight="1">
      <c r="Q414" s="15">
        <f t="shared" si="5"/>
        <v>0</v>
      </c>
      <c r="W414" s="22">
        <f t="shared" si="11"/>
        <v>0</v>
      </c>
      <c r="X414" s="19">
        <f t="shared" si="12"/>
        <v>0</v>
      </c>
    </row>
    <row r="415" ht="15.75" customHeight="1">
      <c r="Q415" s="15">
        <f t="shared" si="5"/>
        <v>0</v>
      </c>
      <c r="W415" s="22">
        <f t="shared" si="11"/>
        <v>0</v>
      </c>
      <c r="X415" s="19">
        <f t="shared" si="12"/>
        <v>0</v>
      </c>
    </row>
    <row r="416" ht="15.75" customHeight="1">
      <c r="Q416" s="15">
        <f t="shared" si="5"/>
        <v>0</v>
      </c>
      <c r="W416" s="22">
        <f t="shared" si="11"/>
        <v>0</v>
      </c>
      <c r="X416" s="19">
        <f t="shared" si="12"/>
        <v>0</v>
      </c>
    </row>
    <row r="417" ht="15.75" customHeight="1">
      <c r="Q417" s="15">
        <f t="shared" si="5"/>
        <v>0</v>
      </c>
      <c r="W417" s="22">
        <f t="shared" si="11"/>
        <v>0</v>
      </c>
      <c r="X417" s="19">
        <f t="shared" si="12"/>
        <v>0</v>
      </c>
    </row>
    <row r="418" ht="15.75" customHeight="1">
      <c r="Q418" s="15">
        <f t="shared" si="5"/>
        <v>0</v>
      </c>
      <c r="W418" s="22">
        <f t="shared" si="11"/>
        <v>0</v>
      </c>
      <c r="X418" s="19">
        <f t="shared" si="12"/>
        <v>0</v>
      </c>
    </row>
    <row r="419" ht="15.75" customHeight="1">
      <c r="Q419" s="15">
        <f t="shared" si="5"/>
        <v>0</v>
      </c>
      <c r="W419" s="22">
        <f t="shared" si="11"/>
        <v>0</v>
      </c>
      <c r="X419" s="19">
        <f t="shared" si="12"/>
        <v>0</v>
      </c>
    </row>
    <row r="420" ht="15.75" customHeight="1">
      <c r="Q420" s="15">
        <f t="shared" si="5"/>
        <v>0</v>
      </c>
      <c r="W420" s="22">
        <f t="shared" si="11"/>
        <v>0</v>
      </c>
      <c r="X420" s="19">
        <f t="shared" si="12"/>
        <v>0</v>
      </c>
    </row>
    <row r="421" ht="15.75" customHeight="1">
      <c r="Q421" s="15">
        <f t="shared" si="5"/>
        <v>0</v>
      </c>
      <c r="W421" s="22">
        <f t="shared" si="11"/>
        <v>0</v>
      </c>
      <c r="X421" s="19">
        <f t="shared" si="12"/>
        <v>0</v>
      </c>
    </row>
    <row r="422" ht="15.75" customHeight="1">
      <c r="Q422" s="15">
        <f t="shared" si="5"/>
        <v>0</v>
      </c>
      <c r="W422" s="22">
        <f t="shared" si="11"/>
        <v>0</v>
      </c>
      <c r="X422" s="19">
        <f t="shared" si="12"/>
        <v>0</v>
      </c>
    </row>
    <row r="423" ht="15.75" customHeight="1">
      <c r="Q423" s="15">
        <f t="shared" si="5"/>
        <v>0</v>
      </c>
      <c r="W423" s="22">
        <f t="shared" si="11"/>
        <v>0</v>
      </c>
      <c r="X423" s="19">
        <f t="shared" si="12"/>
        <v>0</v>
      </c>
    </row>
    <row r="424" ht="15.75" customHeight="1">
      <c r="Q424" s="15">
        <f t="shared" si="5"/>
        <v>0</v>
      </c>
      <c r="W424" s="22">
        <f t="shared" si="11"/>
        <v>0</v>
      </c>
      <c r="X424" s="19">
        <f t="shared" si="12"/>
        <v>0</v>
      </c>
    </row>
    <row r="425" ht="15.75" customHeight="1">
      <c r="Q425" s="15">
        <f t="shared" si="5"/>
        <v>0</v>
      </c>
      <c r="W425" s="22">
        <f t="shared" si="11"/>
        <v>0</v>
      </c>
      <c r="X425" s="19">
        <f t="shared" si="12"/>
        <v>0</v>
      </c>
    </row>
    <row r="426" ht="15.75" customHeight="1">
      <c r="Q426" s="15">
        <f t="shared" si="5"/>
        <v>0</v>
      </c>
      <c r="W426" s="22">
        <f t="shared" si="11"/>
        <v>0</v>
      </c>
      <c r="X426" s="19">
        <f t="shared" si="12"/>
        <v>0</v>
      </c>
    </row>
    <row r="427" ht="15.75" customHeight="1">
      <c r="Q427" s="15">
        <f t="shared" si="5"/>
        <v>0</v>
      </c>
      <c r="W427" s="22">
        <f t="shared" si="11"/>
        <v>0</v>
      </c>
      <c r="X427" s="19">
        <f t="shared" si="12"/>
        <v>0</v>
      </c>
    </row>
    <row r="428" ht="15.75" customHeight="1">
      <c r="Q428" s="15">
        <f t="shared" si="5"/>
        <v>0</v>
      </c>
      <c r="W428" s="22">
        <f t="shared" si="11"/>
        <v>0</v>
      </c>
      <c r="X428" s="19">
        <f t="shared" si="12"/>
        <v>0</v>
      </c>
    </row>
    <row r="429" ht="15.75" customHeight="1">
      <c r="Q429" s="15">
        <f t="shared" si="5"/>
        <v>0</v>
      </c>
      <c r="W429" s="22">
        <f t="shared" si="11"/>
        <v>0</v>
      </c>
      <c r="X429" s="19">
        <f t="shared" si="12"/>
        <v>0</v>
      </c>
    </row>
    <row r="430" ht="15.75" customHeight="1">
      <c r="Q430" s="15">
        <f t="shared" si="5"/>
        <v>0</v>
      </c>
      <c r="W430" s="22">
        <f t="shared" si="11"/>
        <v>0</v>
      </c>
      <c r="X430" s="19">
        <f t="shared" si="12"/>
        <v>0</v>
      </c>
    </row>
    <row r="431" ht="15.75" customHeight="1">
      <c r="Q431" s="15">
        <f t="shared" si="5"/>
        <v>0</v>
      </c>
      <c r="W431" s="22">
        <f t="shared" si="11"/>
        <v>0</v>
      </c>
      <c r="X431" s="19">
        <f t="shared" si="12"/>
        <v>0</v>
      </c>
    </row>
    <row r="432" ht="15.75" customHeight="1">
      <c r="Q432" s="15">
        <f t="shared" si="5"/>
        <v>0</v>
      </c>
      <c r="W432" s="22">
        <f t="shared" si="11"/>
        <v>0</v>
      </c>
      <c r="X432" s="19">
        <f t="shared" si="12"/>
        <v>0</v>
      </c>
    </row>
    <row r="433" ht="15.75" customHeight="1">
      <c r="Q433" s="15">
        <f t="shared" si="5"/>
        <v>0</v>
      </c>
      <c r="W433" s="22">
        <f t="shared" si="11"/>
        <v>0</v>
      </c>
      <c r="X433" s="19">
        <f t="shared" si="12"/>
        <v>0</v>
      </c>
    </row>
    <row r="434" ht="15.75" customHeight="1">
      <c r="Q434" s="15">
        <f t="shared" si="5"/>
        <v>0</v>
      </c>
      <c r="W434" s="22">
        <f t="shared" si="11"/>
        <v>0</v>
      </c>
      <c r="X434" s="19">
        <f t="shared" si="12"/>
        <v>0</v>
      </c>
    </row>
    <row r="435" ht="15.75" customHeight="1">
      <c r="Q435" s="15">
        <f t="shared" si="5"/>
        <v>0</v>
      </c>
      <c r="W435" s="22">
        <f t="shared" si="11"/>
        <v>0</v>
      </c>
      <c r="X435" s="19">
        <f t="shared" si="12"/>
        <v>0</v>
      </c>
    </row>
    <row r="436" ht="15.75" customHeight="1">
      <c r="Q436" s="15">
        <f t="shared" si="5"/>
        <v>0</v>
      </c>
      <c r="W436" s="22">
        <f t="shared" si="11"/>
        <v>0</v>
      </c>
      <c r="X436" s="19">
        <f t="shared" si="12"/>
        <v>0</v>
      </c>
    </row>
    <row r="437" ht="15.75" customHeight="1">
      <c r="Q437" s="15">
        <f t="shared" si="5"/>
        <v>0</v>
      </c>
      <c r="W437" s="22">
        <f t="shared" si="11"/>
        <v>0</v>
      </c>
      <c r="X437" s="19">
        <f t="shared" si="12"/>
        <v>0</v>
      </c>
    </row>
    <row r="438" ht="15.75" customHeight="1">
      <c r="Q438" s="15">
        <f t="shared" si="5"/>
        <v>0</v>
      </c>
      <c r="W438" s="22">
        <f t="shared" si="11"/>
        <v>0</v>
      </c>
      <c r="X438" s="19">
        <f t="shared" si="12"/>
        <v>0</v>
      </c>
    </row>
    <row r="439" ht="15.75" customHeight="1">
      <c r="Q439" s="15">
        <f t="shared" si="5"/>
        <v>0</v>
      </c>
      <c r="W439" s="22">
        <f t="shared" si="11"/>
        <v>0</v>
      </c>
      <c r="X439" s="19">
        <f t="shared" si="12"/>
        <v>0</v>
      </c>
    </row>
    <row r="440" ht="15.75" customHeight="1">
      <c r="Q440" s="15">
        <f t="shared" si="5"/>
        <v>0</v>
      </c>
      <c r="W440" s="22">
        <f t="shared" si="11"/>
        <v>0</v>
      </c>
      <c r="X440" s="19">
        <f t="shared" si="12"/>
        <v>0</v>
      </c>
    </row>
    <row r="441" ht="15.75" customHeight="1">
      <c r="Q441" s="15">
        <f t="shared" si="5"/>
        <v>0</v>
      </c>
      <c r="W441" s="22">
        <f t="shared" si="11"/>
        <v>0</v>
      </c>
      <c r="X441" s="19">
        <f t="shared" si="12"/>
        <v>0</v>
      </c>
    </row>
    <row r="442" ht="15.75" customHeight="1">
      <c r="Q442" s="15">
        <f t="shared" si="5"/>
        <v>0</v>
      </c>
      <c r="W442" s="22">
        <f t="shared" si="11"/>
        <v>0</v>
      </c>
      <c r="X442" s="19">
        <f t="shared" si="12"/>
        <v>0</v>
      </c>
    </row>
    <row r="443" ht="15.75" customHeight="1">
      <c r="Q443" s="15">
        <f t="shared" si="5"/>
        <v>0</v>
      </c>
      <c r="W443" s="22">
        <f t="shared" si="11"/>
        <v>0</v>
      </c>
      <c r="X443" s="19">
        <f t="shared" si="12"/>
        <v>0</v>
      </c>
    </row>
    <row r="444" ht="15.75" customHeight="1">
      <c r="Q444" s="15">
        <f t="shared" si="5"/>
        <v>0</v>
      </c>
      <c r="W444" s="22">
        <f t="shared" si="11"/>
        <v>0</v>
      </c>
      <c r="X444" s="19">
        <f t="shared" si="12"/>
        <v>0</v>
      </c>
    </row>
    <row r="445" ht="15.75" customHeight="1">
      <c r="Q445" s="15">
        <f t="shared" si="5"/>
        <v>0</v>
      </c>
      <c r="W445" s="22">
        <f t="shared" si="11"/>
        <v>0</v>
      </c>
      <c r="X445" s="19">
        <f t="shared" si="12"/>
        <v>0</v>
      </c>
    </row>
    <row r="446" ht="15.75" customHeight="1">
      <c r="Q446" s="15">
        <f t="shared" si="5"/>
        <v>0</v>
      </c>
      <c r="W446" s="22">
        <f t="shared" si="11"/>
        <v>0</v>
      </c>
      <c r="X446" s="19">
        <f t="shared" si="12"/>
        <v>0</v>
      </c>
    </row>
    <row r="447" ht="15.75" customHeight="1">
      <c r="Q447" s="15">
        <f t="shared" si="5"/>
        <v>0</v>
      </c>
      <c r="W447" s="22">
        <f t="shared" si="11"/>
        <v>0</v>
      </c>
      <c r="X447" s="19">
        <f t="shared" si="12"/>
        <v>0</v>
      </c>
    </row>
    <row r="448" ht="15.75" customHeight="1">
      <c r="Q448" s="15">
        <f t="shared" si="5"/>
        <v>0</v>
      </c>
      <c r="W448" s="22">
        <f t="shared" si="11"/>
        <v>0</v>
      </c>
      <c r="X448" s="19">
        <f t="shared" si="12"/>
        <v>0</v>
      </c>
    </row>
    <row r="449" ht="15.75" customHeight="1">
      <c r="Q449" s="15">
        <f t="shared" si="5"/>
        <v>0</v>
      </c>
      <c r="W449" s="22">
        <f t="shared" si="11"/>
        <v>0</v>
      </c>
      <c r="X449" s="19">
        <f t="shared" si="12"/>
        <v>0</v>
      </c>
    </row>
    <row r="450" ht="15.75" customHeight="1">
      <c r="Q450" s="15">
        <f t="shared" si="5"/>
        <v>0</v>
      </c>
      <c r="W450" s="22">
        <f t="shared" si="11"/>
        <v>0</v>
      </c>
      <c r="X450" s="19">
        <f t="shared" si="12"/>
        <v>0</v>
      </c>
    </row>
    <row r="451" ht="15.75" customHeight="1">
      <c r="Q451" s="15">
        <f t="shared" si="5"/>
        <v>0</v>
      </c>
      <c r="W451" s="22">
        <f t="shared" si="11"/>
        <v>0</v>
      </c>
      <c r="X451" s="19">
        <f t="shared" si="12"/>
        <v>0</v>
      </c>
    </row>
    <row r="452" ht="15.75" customHeight="1">
      <c r="Q452" s="15">
        <f t="shared" si="5"/>
        <v>0</v>
      </c>
      <c r="W452" s="22">
        <f t="shared" si="11"/>
        <v>0</v>
      </c>
      <c r="X452" s="19">
        <f t="shared" si="12"/>
        <v>0</v>
      </c>
    </row>
    <row r="453" ht="15.75" customHeight="1">
      <c r="Q453" s="15">
        <f t="shared" si="5"/>
        <v>0</v>
      </c>
      <c r="W453" s="22">
        <f t="shared" si="11"/>
        <v>0</v>
      </c>
      <c r="X453" s="19">
        <f t="shared" si="12"/>
        <v>0</v>
      </c>
    </row>
    <row r="454" ht="15.75" customHeight="1">
      <c r="Q454" s="15">
        <f t="shared" si="5"/>
        <v>0</v>
      </c>
      <c r="W454" s="22">
        <f t="shared" si="11"/>
        <v>0</v>
      </c>
      <c r="X454" s="19">
        <f t="shared" si="12"/>
        <v>0</v>
      </c>
    </row>
    <row r="455" ht="15.75" customHeight="1">
      <c r="Q455" s="15">
        <f t="shared" si="5"/>
        <v>0</v>
      </c>
      <c r="W455" s="22">
        <f t="shared" si="11"/>
        <v>0</v>
      </c>
      <c r="X455" s="19">
        <f t="shared" si="12"/>
        <v>0</v>
      </c>
    </row>
    <row r="456" ht="15.75" customHeight="1">
      <c r="Q456" s="15">
        <f t="shared" si="5"/>
        <v>0</v>
      </c>
      <c r="W456" s="22">
        <f t="shared" si="11"/>
        <v>0</v>
      </c>
      <c r="X456" s="19">
        <f t="shared" si="12"/>
        <v>0</v>
      </c>
    </row>
    <row r="457" ht="15.75" customHeight="1">
      <c r="Q457" s="15">
        <f t="shared" si="5"/>
        <v>0</v>
      </c>
      <c r="W457" s="22">
        <f t="shared" si="11"/>
        <v>0</v>
      </c>
      <c r="X457" s="19">
        <f t="shared" si="12"/>
        <v>0</v>
      </c>
    </row>
    <row r="458" ht="15.75" customHeight="1">
      <c r="Q458" s="15">
        <f t="shared" si="5"/>
        <v>0</v>
      </c>
      <c r="W458" s="22">
        <f t="shared" si="11"/>
        <v>0</v>
      </c>
      <c r="X458" s="19">
        <f t="shared" si="12"/>
        <v>0</v>
      </c>
    </row>
    <row r="459" ht="15.75" customHeight="1">
      <c r="Q459" s="15">
        <f t="shared" si="5"/>
        <v>0</v>
      </c>
      <c r="W459" s="22">
        <f t="shared" si="11"/>
        <v>0</v>
      </c>
      <c r="X459" s="19">
        <f t="shared" si="12"/>
        <v>0</v>
      </c>
    </row>
    <row r="460" ht="15.75" customHeight="1">
      <c r="Q460" s="15">
        <f t="shared" si="5"/>
        <v>0</v>
      </c>
      <c r="W460" s="22">
        <f t="shared" si="11"/>
        <v>0</v>
      </c>
      <c r="X460" s="19">
        <f t="shared" si="12"/>
        <v>0</v>
      </c>
    </row>
    <row r="461" ht="15.75" customHeight="1">
      <c r="Q461" s="15">
        <f t="shared" si="5"/>
        <v>0</v>
      </c>
      <c r="W461" s="22">
        <f t="shared" si="11"/>
        <v>0</v>
      </c>
      <c r="X461" s="19">
        <f t="shared" si="12"/>
        <v>0</v>
      </c>
    </row>
    <row r="462" ht="15.75" customHeight="1">
      <c r="Q462" s="15">
        <f t="shared" si="5"/>
        <v>0</v>
      </c>
      <c r="W462" s="22">
        <f t="shared" si="11"/>
        <v>0</v>
      </c>
      <c r="X462" s="19">
        <f t="shared" si="12"/>
        <v>0</v>
      </c>
    </row>
    <row r="463" ht="15.75" customHeight="1">
      <c r="Q463" s="15">
        <f t="shared" si="5"/>
        <v>0</v>
      </c>
      <c r="W463" s="22">
        <f t="shared" si="11"/>
        <v>0</v>
      </c>
      <c r="X463" s="19">
        <f t="shared" si="12"/>
        <v>0</v>
      </c>
    </row>
    <row r="464" ht="15.75" customHeight="1">
      <c r="Q464" s="15">
        <f t="shared" si="5"/>
        <v>0</v>
      </c>
      <c r="W464" s="22">
        <f t="shared" si="11"/>
        <v>0</v>
      </c>
      <c r="X464" s="19">
        <f t="shared" si="12"/>
        <v>0</v>
      </c>
    </row>
    <row r="465" ht="15.75" customHeight="1">
      <c r="Q465" s="15">
        <f t="shared" si="5"/>
        <v>0</v>
      </c>
      <c r="W465" s="22">
        <f t="shared" si="11"/>
        <v>0</v>
      </c>
      <c r="X465" s="19">
        <f t="shared" si="12"/>
        <v>0</v>
      </c>
    </row>
    <row r="466" ht="15.75" customHeight="1">
      <c r="Q466" s="15">
        <f t="shared" si="5"/>
        <v>0</v>
      </c>
      <c r="W466" s="22">
        <f t="shared" si="11"/>
        <v>0</v>
      </c>
      <c r="X466" s="19">
        <f t="shared" si="12"/>
        <v>0</v>
      </c>
    </row>
    <row r="467" ht="15.75" customHeight="1">
      <c r="Q467" s="15">
        <f t="shared" si="5"/>
        <v>0</v>
      </c>
      <c r="W467" s="22">
        <f t="shared" si="11"/>
        <v>0</v>
      </c>
      <c r="X467" s="19">
        <f t="shared" si="12"/>
        <v>0</v>
      </c>
    </row>
    <row r="468" ht="15.75" customHeight="1">
      <c r="Q468" s="15">
        <f t="shared" si="5"/>
        <v>0</v>
      </c>
      <c r="W468" s="22">
        <f t="shared" si="11"/>
        <v>0</v>
      </c>
      <c r="X468" s="19">
        <f t="shared" si="12"/>
        <v>0</v>
      </c>
    </row>
    <row r="469" ht="15.75" customHeight="1">
      <c r="Q469" s="15">
        <f t="shared" si="5"/>
        <v>0</v>
      </c>
      <c r="W469" s="22">
        <f t="shared" si="11"/>
        <v>0</v>
      </c>
      <c r="X469" s="19">
        <f t="shared" si="12"/>
        <v>0</v>
      </c>
    </row>
    <row r="470" ht="15.75" customHeight="1">
      <c r="Q470" s="15">
        <f t="shared" si="5"/>
        <v>0</v>
      </c>
      <c r="W470" s="22">
        <f t="shared" si="11"/>
        <v>0</v>
      </c>
      <c r="X470" s="19">
        <f t="shared" si="12"/>
        <v>0</v>
      </c>
    </row>
    <row r="471" ht="15.75" customHeight="1">
      <c r="Q471" s="15">
        <f t="shared" si="5"/>
        <v>0</v>
      </c>
      <c r="W471" s="22">
        <f t="shared" si="11"/>
        <v>0</v>
      </c>
      <c r="X471" s="19">
        <f t="shared" si="12"/>
        <v>0</v>
      </c>
    </row>
    <row r="472" ht="15.75" customHeight="1">
      <c r="Q472" s="15">
        <f t="shared" si="5"/>
        <v>0</v>
      </c>
      <c r="W472" s="22">
        <f t="shared" si="11"/>
        <v>0</v>
      </c>
      <c r="X472" s="19">
        <f t="shared" si="12"/>
        <v>0</v>
      </c>
    </row>
    <row r="473" ht="15.75" customHeight="1">
      <c r="Q473" s="15">
        <f t="shared" si="5"/>
        <v>0</v>
      </c>
      <c r="W473" s="22">
        <f t="shared" si="11"/>
        <v>0</v>
      </c>
      <c r="X473" s="19">
        <f t="shared" si="12"/>
        <v>0</v>
      </c>
    </row>
    <row r="474" ht="15.75" customHeight="1">
      <c r="Q474" s="15">
        <f t="shared" si="5"/>
        <v>0</v>
      </c>
      <c r="W474" s="22">
        <f t="shared" si="11"/>
        <v>0</v>
      </c>
      <c r="X474" s="19">
        <f t="shared" si="12"/>
        <v>0</v>
      </c>
    </row>
    <row r="475" ht="15.75" customHeight="1">
      <c r="Q475" s="15">
        <f t="shared" si="5"/>
        <v>0</v>
      </c>
      <c r="W475" s="22">
        <f t="shared" si="11"/>
        <v>0</v>
      </c>
      <c r="X475" s="19">
        <f t="shared" si="12"/>
        <v>0</v>
      </c>
    </row>
    <row r="476" ht="15.75" customHeight="1">
      <c r="Q476" s="15">
        <f t="shared" si="5"/>
        <v>0</v>
      </c>
      <c r="W476" s="22">
        <f t="shared" si="11"/>
        <v>0</v>
      </c>
      <c r="X476" s="19">
        <f t="shared" si="12"/>
        <v>0</v>
      </c>
    </row>
    <row r="477" ht="15.75" customHeight="1">
      <c r="Q477" s="15">
        <f t="shared" si="5"/>
        <v>0</v>
      </c>
      <c r="W477" s="22">
        <f t="shared" si="11"/>
        <v>0</v>
      </c>
      <c r="X477" s="19">
        <f t="shared" si="12"/>
        <v>0</v>
      </c>
    </row>
    <row r="478" ht="15.75" customHeight="1">
      <c r="Q478" s="15">
        <f t="shared" si="5"/>
        <v>0</v>
      </c>
      <c r="W478" s="22">
        <f t="shared" si="11"/>
        <v>0</v>
      </c>
      <c r="X478" s="19">
        <f t="shared" si="12"/>
        <v>0</v>
      </c>
    </row>
    <row r="479" ht="15.75" customHeight="1">
      <c r="Q479" s="15">
        <f t="shared" si="5"/>
        <v>0</v>
      </c>
      <c r="W479" s="22">
        <f t="shared" si="11"/>
        <v>0</v>
      </c>
      <c r="X479" s="19">
        <f t="shared" si="12"/>
        <v>0</v>
      </c>
    </row>
    <row r="480" ht="15.75" customHeight="1">
      <c r="Q480" s="15">
        <f t="shared" si="5"/>
        <v>0</v>
      </c>
      <c r="W480" s="22">
        <f t="shared" si="11"/>
        <v>0</v>
      </c>
      <c r="X480" s="19">
        <f t="shared" si="12"/>
        <v>0</v>
      </c>
    </row>
    <row r="481" ht="15.75" customHeight="1">
      <c r="Q481" s="15">
        <f t="shared" si="5"/>
        <v>0</v>
      </c>
      <c r="W481" s="22">
        <f t="shared" si="11"/>
        <v>0</v>
      </c>
      <c r="X481" s="19">
        <f t="shared" si="12"/>
        <v>0</v>
      </c>
    </row>
    <row r="482" ht="15.75" customHeight="1">
      <c r="Q482" s="15">
        <f t="shared" si="5"/>
        <v>0</v>
      </c>
      <c r="W482" s="22">
        <f t="shared" si="11"/>
        <v>0</v>
      </c>
      <c r="X482" s="19">
        <f t="shared" si="12"/>
        <v>0</v>
      </c>
    </row>
    <row r="483" ht="15.75" customHeight="1">
      <c r="Q483" s="15">
        <f t="shared" si="5"/>
        <v>0</v>
      </c>
      <c r="W483" s="22">
        <f t="shared" si="11"/>
        <v>0</v>
      </c>
      <c r="X483" s="19">
        <f t="shared" si="12"/>
        <v>0</v>
      </c>
    </row>
    <row r="484" ht="15.75" customHeight="1">
      <c r="Q484" s="15">
        <f t="shared" si="5"/>
        <v>0</v>
      </c>
      <c r="W484" s="22">
        <f t="shared" si="11"/>
        <v>0</v>
      </c>
      <c r="X484" s="19">
        <f t="shared" si="12"/>
        <v>0</v>
      </c>
    </row>
    <row r="485" ht="15.75" customHeight="1">
      <c r="Q485" s="15">
        <f t="shared" si="5"/>
        <v>0</v>
      </c>
      <c r="W485" s="22">
        <f t="shared" si="11"/>
        <v>0</v>
      </c>
      <c r="X485" s="19">
        <f t="shared" si="12"/>
        <v>0</v>
      </c>
    </row>
    <row r="486" ht="15.75" customHeight="1">
      <c r="Q486" s="15">
        <f t="shared" si="5"/>
        <v>0</v>
      </c>
      <c r="W486" s="22">
        <f t="shared" si="11"/>
        <v>0</v>
      </c>
      <c r="X486" s="19">
        <f t="shared" si="12"/>
        <v>0</v>
      </c>
    </row>
    <row r="487" ht="15.75" customHeight="1">
      <c r="Q487" s="15">
        <f t="shared" si="5"/>
        <v>0</v>
      </c>
      <c r="W487" s="22">
        <f t="shared" si="11"/>
        <v>0</v>
      </c>
      <c r="X487" s="19">
        <f t="shared" si="12"/>
        <v>0</v>
      </c>
    </row>
    <row r="488" ht="15.75" customHeight="1">
      <c r="Q488" s="15">
        <f t="shared" si="5"/>
        <v>0</v>
      </c>
      <c r="W488" s="22">
        <f t="shared" si="11"/>
        <v>0</v>
      </c>
      <c r="X488" s="19">
        <f t="shared" si="12"/>
        <v>0</v>
      </c>
    </row>
    <row r="489" ht="15.75" customHeight="1">
      <c r="Q489" s="15">
        <f t="shared" si="5"/>
        <v>0</v>
      </c>
      <c r="W489" s="22">
        <f t="shared" si="11"/>
        <v>0</v>
      </c>
      <c r="X489" s="19">
        <f t="shared" si="12"/>
        <v>0</v>
      </c>
    </row>
    <row r="490" ht="15.75" customHeight="1">
      <c r="Q490" s="15">
        <f t="shared" si="5"/>
        <v>0</v>
      </c>
      <c r="W490" s="22">
        <f t="shared" si="11"/>
        <v>0</v>
      </c>
      <c r="X490" s="19">
        <f t="shared" si="12"/>
        <v>0</v>
      </c>
    </row>
    <row r="491" ht="15.75" customHeight="1">
      <c r="Q491" s="15">
        <f t="shared" si="5"/>
        <v>0</v>
      </c>
      <c r="W491" s="22">
        <f t="shared" si="11"/>
        <v>0</v>
      </c>
      <c r="X491" s="19">
        <f t="shared" si="12"/>
        <v>0</v>
      </c>
    </row>
    <row r="492" ht="15.75" customHeight="1">
      <c r="Q492" s="15">
        <f t="shared" si="5"/>
        <v>0</v>
      </c>
      <c r="W492" s="22">
        <f t="shared" si="11"/>
        <v>0</v>
      </c>
      <c r="X492" s="19">
        <f t="shared" si="12"/>
        <v>0</v>
      </c>
    </row>
    <row r="493" ht="15.75" customHeight="1">
      <c r="Q493" s="15">
        <f t="shared" si="5"/>
        <v>0</v>
      </c>
      <c r="W493" s="22">
        <f t="shared" si="11"/>
        <v>0</v>
      </c>
      <c r="X493" s="19">
        <f t="shared" si="12"/>
        <v>0</v>
      </c>
    </row>
    <row r="494" ht="15.75" customHeight="1">
      <c r="Q494" s="15">
        <f t="shared" si="5"/>
        <v>0</v>
      </c>
      <c r="W494" s="22">
        <f t="shared" si="11"/>
        <v>0</v>
      </c>
      <c r="X494" s="19">
        <f t="shared" si="12"/>
        <v>0</v>
      </c>
    </row>
    <row r="495" ht="15.75" customHeight="1">
      <c r="Q495" s="15">
        <f t="shared" si="5"/>
        <v>0</v>
      </c>
      <c r="W495" s="22">
        <f t="shared" si="11"/>
        <v>0</v>
      </c>
      <c r="X495" s="19">
        <f t="shared" si="12"/>
        <v>0</v>
      </c>
    </row>
    <row r="496" ht="15.75" customHeight="1">
      <c r="Q496" s="15">
        <f t="shared" si="5"/>
        <v>0</v>
      </c>
      <c r="W496" s="22">
        <f t="shared" si="11"/>
        <v>0</v>
      </c>
      <c r="X496" s="19">
        <f t="shared" si="12"/>
        <v>0</v>
      </c>
    </row>
    <row r="497" ht="15.75" customHeight="1">
      <c r="Q497" s="15">
        <f t="shared" si="5"/>
        <v>0</v>
      </c>
      <c r="W497" s="22">
        <f t="shared" si="11"/>
        <v>0</v>
      </c>
      <c r="X497" s="19">
        <f t="shared" si="12"/>
        <v>0</v>
      </c>
    </row>
    <row r="498" ht="15.75" customHeight="1">
      <c r="Q498" s="15">
        <f t="shared" si="5"/>
        <v>0</v>
      </c>
      <c r="W498" s="22">
        <f t="shared" si="11"/>
        <v>0</v>
      </c>
      <c r="X498" s="19">
        <f t="shared" si="12"/>
        <v>0</v>
      </c>
    </row>
    <row r="499" ht="15.75" customHeight="1">
      <c r="Q499" s="15">
        <f t="shared" si="5"/>
        <v>0</v>
      </c>
      <c r="W499" s="22">
        <f t="shared" si="11"/>
        <v>0</v>
      </c>
      <c r="X499" s="19">
        <f t="shared" si="12"/>
        <v>0</v>
      </c>
    </row>
    <row r="500" ht="15.75" customHeight="1">
      <c r="Q500" s="15">
        <f t="shared" si="5"/>
        <v>0</v>
      </c>
      <c r="W500" s="22">
        <f t="shared" si="11"/>
        <v>0</v>
      </c>
      <c r="X500" s="19">
        <f t="shared" si="12"/>
        <v>0</v>
      </c>
    </row>
    <row r="501" ht="15.75" customHeight="1">
      <c r="Q501" s="15">
        <f t="shared" si="5"/>
        <v>0</v>
      </c>
      <c r="W501" s="22">
        <f t="shared" si="11"/>
        <v>0</v>
      </c>
      <c r="X501" s="19">
        <f t="shared" si="12"/>
        <v>0</v>
      </c>
    </row>
    <row r="502" ht="15.75" customHeight="1">
      <c r="Q502" s="15">
        <f t="shared" si="5"/>
        <v>0</v>
      </c>
      <c r="W502" s="22">
        <f t="shared" si="11"/>
        <v>0</v>
      </c>
      <c r="X502" s="19">
        <f t="shared" si="12"/>
        <v>0</v>
      </c>
    </row>
    <row r="503" ht="15.75" customHeight="1">
      <c r="Q503" s="15">
        <f t="shared" si="5"/>
        <v>0</v>
      </c>
      <c r="W503" s="22">
        <f t="shared" si="11"/>
        <v>0</v>
      </c>
      <c r="X503" s="19">
        <f t="shared" si="12"/>
        <v>0</v>
      </c>
    </row>
    <row r="504" ht="15.75" customHeight="1">
      <c r="Q504" s="15">
        <f t="shared" si="5"/>
        <v>0</v>
      </c>
      <c r="W504" s="22">
        <f t="shared" si="11"/>
        <v>0</v>
      </c>
      <c r="X504" s="19">
        <f t="shared" si="12"/>
        <v>0</v>
      </c>
    </row>
    <row r="505" ht="15.75" customHeight="1">
      <c r="Q505" s="15">
        <f t="shared" si="5"/>
        <v>0</v>
      </c>
      <c r="W505" s="22">
        <f t="shared" si="11"/>
        <v>0</v>
      </c>
      <c r="X505" s="19">
        <f t="shared" si="12"/>
        <v>0</v>
      </c>
    </row>
    <row r="506" ht="15.75" customHeight="1">
      <c r="Q506" s="15">
        <f t="shared" si="5"/>
        <v>0</v>
      </c>
      <c r="W506" s="22">
        <f t="shared" si="11"/>
        <v>0</v>
      </c>
      <c r="X506" s="19">
        <f t="shared" si="12"/>
        <v>0</v>
      </c>
    </row>
    <row r="507" ht="15.75" customHeight="1">
      <c r="Q507" s="15">
        <f t="shared" si="5"/>
        <v>0</v>
      </c>
      <c r="W507" s="22">
        <f t="shared" si="11"/>
        <v>0</v>
      </c>
      <c r="X507" s="19">
        <f t="shared" si="12"/>
        <v>0</v>
      </c>
    </row>
    <row r="508" ht="15.75" customHeight="1">
      <c r="Q508" s="15">
        <f t="shared" si="5"/>
        <v>0</v>
      </c>
      <c r="W508" s="22">
        <f t="shared" si="11"/>
        <v>0</v>
      </c>
      <c r="X508" s="19">
        <f t="shared" si="12"/>
        <v>0</v>
      </c>
    </row>
    <row r="509" ht="15.75" customHeight="1">
      <c r="Q509" s="15">
        <f t="shared" si="5"/>
        <v>0</v>
      </c>
      <c r="W509" s="22">
        <f t="shared" si="11"/>
        <v>0</v>
      </c>
      <c r="X509" s="19">
        <f t="shared" si="12"/>
        <v>0</v>
      </c>
    </row>
    <row r="510" ht="15.75" customHeight="1">
      <c r="Q510" s="15">
        <f t="shared" si="5"/>
        <v>0</v>
      </c>
      <c r="W510" s="22">
        <f t="shared" si="11"/>
        <v>0</v>
      </c>
      <c r="X510" s="19">
        <f t="shared" si="12"/>
        <v>0</v>
      </c>
    </row>
    <row r="511" ht="15.75" customHeight="1">
      <c r="Q511" s="15">
        <f t="shared" si="5"/>
        <v>0</v>
      </c>
      <c r="W511" s="22">
        <f t="shared" si="11"/>
        <v>0</v>
      </c>
      <c r="X511" s="19">
        <f t="shared" si="12"/>
        <v>0</v>
      </c>
    </row>
    <row r="512" ht="15.75" customHeight="1">
      <c r="Q512" s="15">
        <f t="shared" si="5"/>
        <v>0</v>
      </c>
      <c r="W512" s="22">
        <f t="shared" si="11"/>
        <v>0</v>
      </c>
      <c r="X512" s="19">
        <f t="shared" si="12"/>
        <v>0</v>
      </c>
    </row>
    <row r="513" ht="15.75" customHeight="1">
      <c r="Q513" s="15">
        <f t="shared" si="5"/>
        <v>0</v>
      </c>
      <c r="W513" s="22">
        <f t="shared" si="11"/>
        <v>0</v>
      </c>
      <c r="X513" s="19">
        <f t="shared" si="12"/>
        <v>0</v>
      </c>
    </row>
    <row r="514" ht="15.75" customHeight="1">
      <c r="Q514" s="15">
        <f t="shared" si="5"/>
        <v>0</v>
      </c>
      <c r="W514" s="22">
        <f t="shared" si="11"/>
        <v>0</v>
      </c>
      <c r="X514" s="19">
        <f t="shared" si="12"/>
        <v>0</v>
      </c>
    </row>
    <row r="515" ht="15.75" customHeight="1">
      <c r="Q515" s="15">
        <f t="shared" si="5"/>
        <v>0</v>
      </c>
      <c r="W515" s="22">
        <f t="shared" si="11"/>
        <v>0</v>
      </c>
      <c r="X515" s="19">
        <f t="shared" si="12"/>
        <v>0</v>
      </c>
    </row>
    <row r="516" ht="15.75" customHeight="1">
      <c r="Q516" s="15">
        <f t="shared" si="5"/>
        <v>0</v>
      </c>
      <c r="W516" s="22">
        <f t="shared" si="11"/>
        <v>0</v>
      </c>
      <c r="X516" s="19">
        <f t="shared" si="12"/>
        <v>0</v>
      </c>
    </row>
    <row r="517" ht="15.75" customHeight="1">
      <c r="Q517" s="15">
        <f t="shared" si="5"/>
        <v>0</v>
      </c>
      <c r="W517" s="22">
        <f t="shared" si="11"/>
        <v>0</v>
      </c>
      <c r="X517" s="19">
        <f t="shared" si="12"/>
        <v>0</v>
      </c>
    </row>
    <row r="518" ht="15.75" customHeight="1">
      <c r="Q518" s="15">
        <f t="shared" si="5"/>
        <v>0</v>
      </c>
      <c r="W518" s="22">
        <f t="shared" si="11"/>
        <v>0</v>
      </c>
      <c r="X518" s="19">
        <f t="shared" si="12"/>
        <v>0</v>
      </c>
    </row>
    <row r="519" ht="15.75" customHeight="1">
      <c r="Q519" s="15">
        <f t="shared" si="5"/>
        <v>0</v>
      </c>
      <c r="W519" s="22">
        <f t="shared" si="11"/>
        <v>0</v>
      </c>
      <c r="X519" s="19">
        <f t="shared" si="12"/>
        <v>0</v>
      </c>
    </row>
    <row r="520" ht="15.75" customHeight="1">
      <c r="Q520" s="15">
        <f t="shared" si="5"/>
        <v>0</v>
      </c>
      <c r="W520" s="22">
        <f t="shared" si="11"/>
        <v>0</v>
      </c>
      <c r="X520" s="19">
        <f t="shared" si="12"/>
        <v>0</v>
      </c>
    </row>
    <row r="521" ht="15.75" customHeight="1">
      <c r="Q521" s="15">
        <f t="shared" si="5"/>
        <v>0</v>
      </c>
      <c r="W521" s="22">
        <f t="shared" si="11"/>
        <v>0</v>
      </c>
      <c r="X521" s="19">
        <f t="shared" si="12"/>
        <v>0</v>
      </c>
    </row>
    <row r="522" ht="15.75" customHeight="1">
      <c r="Q522" s="15">
        <f t="shared" si="5"/>
        <v>0</v>
      </c>
      <c r="W522" s="22">
        <f t="shared" si="11"/>
        <v>0</v>
      </c>
      <c r="X522" s="19">
        <f t="shared" si="12"/>
        <v>0</v>
      </c>
    </row>
    <row r="523" ht="15.75" customHeight="1">
      <c r="Q523" s="15">
        <f t="shared" si="5"/>
        <v>0</v>
      </c>
      <c r="W523" s="22">
        <f t="shared" si="11"/>
        <v>0</v>
      </c>
      <c r="X523" s="19">
        <f t="shared" si="12"/>
        <v>0</v>
      </c>
    </row>
    <row r="524" ht="15.75" customHeight="1">
      <c r="Q524" s="15">
        <f t="shared" si="5"/>
        <v>0</v>
      </c>
      <c r="W524" s="22">
        <f t="shared" si="11"/>
        <v>0</v>
      </c>
      <c r="X524" s="19">
        <f t="shared" si="12"/>
        <v>0</v>
      </c>
    </row>
    <row r="525" ht="15.75" customHeight="1">
      <c r="Q525" s="15">
        <f t="shared" si="5"/>
        <v>0</v>
      </c>
      <c r="W525" s="22">
        <f t="shared" si="11"/>
        <v>0</v>
      </c>
      <c r="X525" s="19">
        <f t="shared" si="12"/>
        <v>0</v>
      </c>
    </row>
    <row r="526" ht="15.75" customHeight="1">
      <c r="Q526" s="15">
        <f t="shared" si="5"/>
        <v>0</v>
      </c>
      <c r="W526" s="22">
        <f t="shared" si="11"/>
        <v>0</v>
      </c>
      <c r="X526" s="19">
        <f t="shared" si="12"/>
        <v>0</v>
      </c>
    </row>
    <row r="527" ht="15.75" customHeight="1">
      <c r="Q527" s="15">
        <f t="shared" si="5"/>
        <v>0</v>
      </c>
      <c r="W527" s="22">
        <f t="shared" si="11"/>
        <v>0</v>
      </c>
      <c r="X527" s="19">
        <f t="shared" si="12"/>
        <v>0</v>
      </c>
    </row>
    <row r="528" ht="15.75" customHeight="1">
      <c r="Q528" s="15">
        <f t="shared" si="5"/>
        <v>0</v>
      </c>
      <c r="W528" s="22">
        <f t="shared" si="11"/>
        <v>0</v>
      </c>
      <c r="X528" s="19">
        <f t="shared" si="12"/>
        <v>0</v>
      </c>
    </row>
    <row r="529" ht="15.75" customHeight="1">
      <c r="Q529" s="15">
        <f t="shared" si="5"/>
        <v>0</v>
      </c>
      <c r="W529" s="22">
        <f t="shared" si="11"/>
        <v>0</v>
      </c>
      <c r="X529" s="19">
        <f t="shared" si="12"/>
        <v>0</v>
      </c>
    </row>
    <row r="530" ht="15.75" customHeight="1">
      <c r="Q530" s="15">
        <f t="shared" si="5"/>
        <v>0</v>
      </c>
      <c r="W530" s="22">
        <f t="shared" si="11"/>
        <v>0</v>
      </c>
      <c r="X530" s="19">
        <f t="shared" si="12"/>
        <v>0</v>
      </c>
    </row>
    <row r="531" ht="15.75" customHeight="1">
      <c r="Q531" s="15">
        <f t="shared" si="5"/>
        <v>0</v>
      </c>
      <c r="W531" s="22">
        <f t="shared" si="11"/>
        <v>0</v>
      </c>
      <c r="X531" s="19">
        <f t="shared" si="12"/>
        <v>0</v>
      </c>
    </row>
    <row r="532" ht="15.75" customHeight="1">
      <c r="Q532" s="15">
        <f t="shared" si="5"/>
        <v>0</v>
      </c>
      <c r="W532" s="22">
        <f t="shared" si="11"/>
        <v>0</v>
      </c>
      <c r="X532" s="19">
        <f t="shared" si="12"/>
        <v>0</v>
      </c>
    </row>
    <row r="533" ht="15.75" customHeight="1">
      <c r="Q533" s="15">
        <f t="shared" si="5"/>
        <v>0</v>
      </c>
      <c r="W533" s="22">
        <f t="shared" si="11"/>
        <v>0</v>
      </c>
      <c r="X533" s="19">
        <f t="shared" si="12"/>
        <v>0</v>
      </c>
    </row>
    <row r="534" ht="15.75" customHeight="1">
      <c r="Q534" s="15">
        <f t="shared" si="5"/>
        <v>0</v>
      </c>
      <c r="W534" s="22">
        <f t="shared" si="11"/>
        <v>0</v>
      </c>
      <c r="X534" s="19">
        <f t="shared" si="12"/>
        <v>0</v>
      </c>
    </row>
    <row r="535" ht="15.75" customHeight="1">
      <c r="Q535" s="15">
        <f t="shared" si="5"/>
        <v>0</v>
      </c>
      <c r="W535" s="22">
        <f t="shared" si="11"/>
        <v>0</v>
      </c>
      <c r="X535" s="19">
        <f t="shared" si="12"/>
        <v>0</v>
      </c>
    </row>
    <row r="536" ht="15.75" customHeight="1">
      <c r="Q536" s="15">
        <f t="shared" si="5"/>
        <v>0</v>
      </c>
      <c r="W536" s="22">
        <f t="shared" si="11"/>
        <v>0</v>
      </c>
      <c r="X536" s="19">
        <f t="shared" si="12"/>
        <v>0</v>
      </c>
    </row>
    <row r="537" ht="15.75" customHeight="1">
      <c r="Q537" s="15">
        <f t="shared" si="5"/>
        <v>0</v>
      </c>
      <c r="W537" s="22">
        <f t="shared" si="11"/>
        <v>0</v>
      </c>
      <c r="X537" s="19">
        <f t="shared" si="12"/>
        <v>0</v>
      </c>
    </row>
    <row r="538" ht="15.75" customHeight="1">
      <c r="Q538" s="15">
        <f t="shared" si="5"/>
        <v>0</v>
      </c>
      <c r="W538" s="22">
        <f t="shared" si="11"/>
        <v>0</v>
      </c>
      <c r="X538" s="19">
        <f t="shared" si="12"/>
        <v>0</v>
      </c>
    </row>
    <row r="539" ht="15.75" customHeight="1">
      <c r="Q539" s="15">
        <f t="shared" si="5"/>
        <v>0</v>
      </c>
      <c r="W539" s="22">
        <f t="shared" si="11"/>
        <v>0</v>
      </c>
      <c r="X539" s="19">
        <f t="shared" si="12"/>
        <v>0</v>
      </c>
    </row>
    <row r="540" ht="15.75" customHeight="1">
      <c r="Q540" s="15">
        <f t="shared" si="5"/>
        <v>0</v>
      </c>
      <c r="W540" s="22">
        <f t="shared" si="11"/>
        <v>0</v>
      </c>
      <c r="X540" s="19">
        <f t="shared" si="12"/>
        <v>0</v>
      </c>
    </row>
    <row r="541" ht="15.75" customHeight="1">
      <c r="Q541" s="15">
        <f t="shared" si="5"/>
        <v>0</v>
      </c>
      <c r="W541" s="22">
        <f t="shared" si="11"/>
        <v>0</v>
      </c>
      <c r="X541" s="19">
        <f t="shared" si="12"/>
        <v>0</v>
      </c>
    </row>
    <row r="542" ht="15.75" customHeight="1">
      <c r="Q542" s="15">
        <f t="shared" si="5"/>
        <v>0</v>
      </c>
      <c r="W542" s="22">
        <f t="shared" si="11"/>
        <v>0</v>
      </c>
      <c r="X542" s="19">
        <f t="shared" si="12"/>
        <v>0</v>
      </c>
    </row>
    <row r="543" ht="15.75" customHeight="1">
      <c r="Q543" s="15">
        <f t="shared" si="5"/>
        <v>0</v>
      </c>
      <c r="W543" s="22">
        <f t="shared" si="11"/>
        <v>0</v>
      </c>
      <c r="X543" s="19">
        <f t="shared" si="12"/>
        <v>0</v>
      </c>
    </row>
    <row r="544" ht="15.75" customHeight="1">
      <c r="Q544" s="15">
        <f t="shared" si="5"/>
        <v>0</v>
      </c>
      <c r="W544" s="22">
        <f t="shared" si="11"/>
        <v>0</v>
      </c>
      <c r="X544" s="19">
        <f t="shared" si="12"/>
        <v>0</v>
      </c>
    </row>
    <row r="545" ht="15.75" customHeight="1">
      <c r="Q545" s="15">
        <f t="shared" si="5"/>
        <v>0</v>
      </c>
      <c r="W545" s="22">
        <f t="shared" si="11"/>
        <v>0</v>
      </c>
      <c r="X545" s="19">
        <f t="shared" si="12"/>
        <v>0</v>
      </c>
    </row>
    <row r="546" ht="15.75" customHeight="1">
      <c r="Q546" s="15">
        <f t="shared" si="5"/>
        <v>0</v>
      </c>
      <c r="W546" s="22">
        <f t="shared" si="11"/>
        <v>0</v>
      </c>
      <c r="X546" s="19">
        <f t="shared" si="12"/>
        <v>0</v>
      </c>
    </row>
    <row r="547" ht="15.75" customHeight="1">
      <c r="Q547" s="15">
        <f t="shared" si="5"/>
        <v>0</v>
      </c>
      <c r="W547" s="22">
        <f t="shared" si="11"/>
        <v>0</v>
      </c>
      <c r="X547" s="19">
        <f t="shared" si="12"/>
        <v>0</v>
      </c>
    </row>
    <row r="548" ht="15.75" customHeight="1">
      <c r="Q548" s="15">
        <f t="shared" si="5"/>
        <v>0</v>
      </c>
      <c r="W548" s="22">
        <f t="shared" si="11"/>
        <v>0</v>
      </c>
      <c r="X548" s="19">
        <f t="shared" si="12"/>
        <v>0</v>
      </c>
    </row>
    <row r="549" ht="15.75" customHeight="1">
      <c r="Q549" s="15">
        <f t="shared" si="5"/>
        <v>0</v>
      </c>
      <c r="W549" s="22">
        <f t="shared" si="11"/>
        <v>0</v>
      </c>
      <c r="X549" s="19">
        <f t="shared" si="12"/>
        <v>0</v>
      </c>
    </row>
    <row r="550" ht="15.75" customHeight="1">
      <c r="Q550" s="15">
        <f t="shared" si="5"/>
        <v>0</v>
      </c>
      <c r="W550" s="22">
        <f t="shared" si="11"/>
        <v>0</v>
      </c>
      <c r="X550" s="19">
        <f t="shared" si="12"/>
        <v>0</v>
      </c>
    </row>
    <row r="551" ht="15.75" customHeight="1">
      <c r="Q551" s="15">
        <f t="shared" si="5"/>
        <v>0</v>
      </c>
      <c r="W551" s="22">
        <f t="shared" si="11"/>
        <v>0</v>
      </c>
      <c r="X551" s="19">
        <f t="shared" si="12"/>
        <v>0</v>
      </c>
    </row>
    <row r="552" ht="15.75" customHeight="1">
      <c r="Q552" s="15">
        <f t="shared" si="5"/>
        <v>0</v>
      </c>
      <c r="W552" s="22">
        <f t="shared" si="11"/>
        <v>0</v>
      </c>
      <c r="X552" s="19">
        <f t="shared" si="12"/>
        <v>0</v>
      </c>
    </row>
    <row r="553" ht="15.75" customHeight="1">
      <c r="Q553" s="15">
        <f t="shared" si="5"/>
        <v>0</v>
      </c>
      <c r="W553" s="22">
        <f t="shared" si="11"/>
        <v>0</v>
      </c>
      <c r="X553" s="19">
        <f t="shared" si="12"/>
        <v>0</v>
      </c>
    </row>
    <row r="554" ht="15.75" customHeight="1">
      <c r="Q554" s="15">
        <f t="shared" si="5"/>
        <v>0</v>
      </c>
      <c r="W554" s="22">
        <f t="shared" si="11"/>
        <v>0</v>
      </c>
      <c r="X554" s="19">
        <f t="shared" si="12"/>
        <v>0</v>
      </c>
    </row>
    <row r="555" ht="15.75" customHeight="1">
      <c r="Q555" s="15">
        <f t="shared" si="5"/>
        <v>0</v>
      </c>
      <c r="W555" s="22">
        <f t="shared" si="11"/>
        <v>0</v>
      </c>
      <c r="X555" s="19">
        <f t="shared" si="12"/>
        <v>0</v>
      </c>
    </row>
    <row r="556" ht="15.75" customHeight="1">
      <c r="Q556" s="15">
        <f t="shared" si="5"/>
        <v>0</v>
      </c>
      <c r="W556" s="22">
        <f t="shared" si="11"/>
        <v>0</v>
      </c>
      <c r="X556" s="19">
        <f t="shared" si="12"/>
        <v>0</v>
      </c>
    </row>
    <row r="557" ht="15.75" customHeight="1">
      <c r="Q557" s="15">
        <f t="shared" si="5"/>
        <v>0</v>
      </c>
      <c r="W557" s="22">
        <f t="shared" si="11"/>
        <v>0</v>
      </c>
      <c r="X557" s="19">
        <f t="shared" si="12"/>
        <v>0</v>
      </c>
    </row>
    <row r="558" ht="15.75" customHeight="1">
      <c r="Q558" s="15">
        <f t="shared" si="5"/>
        <v>0</v>
      </c>
      <c r="W558" s="22">
        <f t="shared" si="11"/>
        <v>0</v>
      </c>
      <c r="X558" s="19">
        <f t="shared" si="12"/>
        <v>0</v>
      </c>
    </row>
    <row r="559" ht="15.75" customHeight="1">
      <c r="Q559" s="15">
        <f t="shared" si="5"/>
        <v>0</v>
      </c>
      <c r="W559" s="22">
        <f t="shared" si="11"/>
        <v>0</v>
      </c>
      <c r="X559" s="19">
        <f t="shared" si="12"/>
        <v>0</v>
      </c>
    </row>
    <row r="560" ht="15.75" customHeight="1">
      <c r="Q560" s="15">
        <f t="shared" si="5"/>
        <v>0</v>
      </c>
      <c r="W560" s="22">
        <f t="shared" si="11"/>
        <v>0</v>
      </c>
      <c r="X560" s="19">
        <f t="shared" si="12"/>
        <v>0</v>
      </c>
    </row>
    <row r="561" ht="15.75" customHeight="1">
      <c r="Q561" s="15">
        <f t="shared" si="5"/>
        <v>0</v>
      </c>
      <c r="W561" s="22">
        <f t="shared" si="11"/>
        <v>0</v>
      </c>
      <c r="X561" s="19">
        <f t="shared" si="12"/>
        <v>0</v>
      </c>
    </row>
    <row r="562" ht="15.75" customHeight="1">
      <c r="Q562" s="15">
        <f t="shared" si="5"/>
        <v>0</v>
      </c>
      <c r="W562" s="22">
        <f t="shared" si="11"/>
        <v>0</v>
      </c>
      <c r="X562" s="19">
        <f t="shared" si="12"/>
        <v>0</v>
      </c>
    </row>
    <row r="563" ht="15.75" customHeight="1">
      <c r="Q563" s="15">
        <f t="shared" si="5"/>
        <v>0</v>
      </c>
      <c r="W563" s="22">
        <f t="shared" si="11"/>
        <v>0</v>
      </c>
      <c r="X563" s="19">
        <f t="shared" si="12"/>
        <v>0</v>
      </c>
    </row>
    <row r="564" ht="15.75" customHeight="1">
      <c r="Q564" s="15">
        <f t="shared" si="5"/>
        <v>0</v>
      </c>
      <c r="W564" s="22">
        <f t="shared" si="11"/>
        <v>0</v>
      </c>
      <c r="X564" s="19">
        <f t="shared" si="12"/>
        <v>0</v>
      </c>
    </row>
    <row r="565" ht="15.75" customHeight="1">
      <c r="Q565" s="15">
        <f t="shared" si="5"/>
        <v>0</v>
      </c>
      <c r="W565" s="22">
        <f t="shared" si="11"/>
        <v>0</v>
      </c>
      <c r="X565" s="19">
        <f t="shared" si="12"/>
        <v>0</v>
      </c>
    </row>
    <row r="566" ht="15.75" customHeight="1">
      <c r="Q566" s="15">
        <f t="shared" si="5"/>
        <v>0</v>
      </c>
      <c r="W566" s="22">
        <f t="shared" si="11"/>
        <v>0</v>
      </c>
      <c r="X566" s="19">
        <f t="shared" si="12"/>
        <v>0</v>
      </c>
    </row>
    <row r="567" ht="15.75" customHeight="1">
      <c r="Q567" s="15">
        <f t="shared" si="5"/>
        <v>0</v>
      </c>
      <c r="W567" s="22">
        <f t="shared" si="11"/>
        <v>0</v>
      </c>
      <c r="X567" s="19">
        <f t="shared" si="12"/>
        <v>0</v>
      </c>
    </row>
    <row r="568" ht="15.75" customHeight="1">
      <c r="Q568" s="15">
        <f t="shared" si="5"/>
        <v>0</v>
      </c>
      <c r="W568" s="22">
        <f t="shared" si="11"/>
        <v>0</v>
      </c>
      <c r="X568" s="19">
        <f t="shared" si="12"/>
        <v>0</v>
      </c>
    </row>
    <row r="569" ht="15.75" customHeight="1">
      <c r="Q569" s="15">
        <f t="shared" si="5"/>
        <v>0</v>
      </c>
      <c r="W569" s="22">
        <f t="shared" si="11"/>
        <v>0</v>
      </c>
      <c r="X569" s="19">
        <f t="shared" si="12"/>
        <v>0</v>
      </c>
    </row>
    <row r="570" ht="15.75" customHeight="1">
      <c r="Q570" s="15">
        <f t="shared" si="5"/>
        <v>0</v>
      </c>
      <c r="W570" s="22">
        <f t="shared" si="11"/>
        <v>0</v>
      </c>
      <c r="X570" s="19">
        <f t="shared" si="12"/>
        <v>0</v>
      </c>
    </row>
    <row r="571" ht="15.75" customHeight="1">
      <c r="Q571" s="15">
        <f t="shared" si="5"/>
        <v>0</v>
      </c>
      <c r="W571" s="22">
        <f t="shared" si="11"/>
        <v>0</v>
      </c>
      <c r="X571" s="19">
        <f t="shared" si="12"/>
        <v>0</v>
      </c>
    </row>
    <row r="572" ht="15.75" customHeight="1">
      <c r="Q572" s="15">
        <f t="shared" si="5"/>
        <v>0</v>
      </c>
      <c r="W572" s="22">
        <f t="shared" si="11"/>
        <v>0</v>
      </c>
      <c r="X572" s="19">
        <f t="shared" si="12"/>
        <v>0</v>
      </c>
    </row>
    <row r="573" ht="15.75" customHeight="1">
      <c r="Q573" s="15">
        <f t="shared" si="5"/>
        <v>0</v>
      </c>
      <c r="W573" s="22">
        <f t="shared" si="11"/>
        <v>0</v>
      </c>
      <c r="X573" s="19">
        <f t="shared" si="12"/>
        <v>0</v>
      </c>
    </row>
    <row r="574" ht="15.75" customHeight="1">
      <c r="Q574" s="15">
        <f t="shared" si="5"/>
        <v>0</v>
      </c>
      <c r="W574" s="22">
        <f t="shared" si="11"/>
        <v>0</v>
      </c>
      <c r="X574" s="19">
        <f t="shared" si="12"/>
        <v>0</v>
      </c>
    </row>
    <row r="575" ht="15.75" customHeight="1">
      <c r="Q575" s="15">
        <f t="shared" si="5"/>
        <v>0</v>
      </c>
      <c r="W575" s="22">
        <f t="shared" si="11"/>
        <v>0</v>
      </c>
      <c r="X575" s="19">
        <f t="shared" si="12"/>
        <v>0</v>
      </c>
    </row>
    <row r="576" ht="15.75" customHeight="1">
      <c r="Q576" s="15">
        <f t="shared" si="5"/>
        <v>0</v>
      </c>
      <c r="W576" s="22">
        <f t="shared" si="11"/>
        <v>0</v>
      </c>
      <c r="X576" s="19">
        <f t="shared" si="12"/>
        <v>0</v>
      </c>
    </row>
    <row r="577" ht="15.75" customHeight="1">
      <c r="Q577" s="15">
        <f t="shared" si="5"/>
        <v>0</v>
      </c>
      <c r="W577" s="22">
        <f t="shared" si="11"/>
        <v>0</v>
      </c>
      <c r="X577" s="19">
        <f t="shared" si="12"/>
        <v>0</v>
      </c>
    </row>
    <row r="578" ht="15.75" customHeight="1">
      <c r="Q578" s="15">
        <f t="shared" si="5"/>
        <v>0</v>
      </c>
      <c r="W578" s="22">
        <f t="shared" si="11"/>
        <v>0</v>
      </c>
      <c r="X578" s="19">
        <f t="shared" si="12"/>
        <v>0</v>
      </c>
    </row>
    <row r="579" ht="15.75" customHeight="1">
      <c r="Q579" s="15">
        <f t="shared" si="5"/>
        <v>0</v>
      </c>
      <c r="W579" s="22">
        <f t="shared" si="11"/>
        <v>0</v>
      </c>
      <c r="X579" s="19">
        <f t="shared" si="12"/>
        <v>0</v>
      </c>
    </row>
    <row r="580" ht="15.75" customHeight="1">
      <c r="Q580" s="15">
        <f t="shared" si="5"/>
        <v>0</v>
      </c>
      <c r="W580" s="22">
        <f t="shared" si="11"/>
        <v>0</v>
      </c>
      <c r="X580" s="19">
        <f t="shared" si="12"/>
        <v>0</v>
      </c>
    </row>
    <row r="581" ht="15.75" customHeight="1">
      <c r="Q581" s="15">
        <f t="shared" si="5"/>
        <v>0</v>
      </c>
      <c r="W581" s="22">
        <f t="shared" si="11"/>
        <v>0</v>
      </c>
      <c r="X581" s="19">
        <f t="shared" si="12"/>
        <v>0</v>
      </c>
    </row>
    <row r="582" ht="15.75" customHeight="1">
      <c r="Q582" s="15">
        <f t="shared" si="5"/>
        <v>0</v>
      </c>
      <c r="W582" s="22">
        <f t="shared" si="11"/>
        <v>0</v>
      </c>
      <c r="X582" s="19">
        <f t="shared" si="12"/>
        <v>0</v>
      </c>
    </row>
    <row r="583" ht="15.75" customHeight="1">
      <c r="Q583" s="15">
        <f t="shared" si="5"/>
        <v>0</v>
      </c>
      <c r="W583" s="22">
        <f t="shared" si="11"/>
        <v>0</v>
      </c>
      <c r="X583" s="19">
        <f t="shared" si="12"/>
        <v>0</v>
      </c>
    </row>
    <row r="584" ht="15.75" customHeight="1">
      <c r="Q584" s="15">
        <f t="shared" si="5"/>
        <v>0</v>
      </c>
      <c r="W584" s="22">
        <f t="shared" si="11"/>
        <v>0</v>
      </c>
      <c r="X584" s="19">
        <f t="shared" si="12"/>
        <v>0</v>
      </c>
    </row>
    <row r="585" ht="15.75" customHeight="1">
      <c r="Q585" s="15">
        <f t="shared" si="5"/>
        <v>0</v>
      </c>
      <c r="W585" s="22">
        <f t="shared" si="11"/>
        <v>0</v>
      </c>
      <c r="X585" s="19">
        <f t="shared" si="12"/>
        <v>0</v>
      </c>
    </row>
    <row r="586" ht="15.75" customHeight="1">
      <c r="Q586" s="15">
        <f t="shared" si="5"/>
        <v>0</v>
      </c>
      <c r="W586" s="22">
        <f t="shared" si="11"/>
        <v>0</v>
      </c>
      <c r="X586" s="19">
        <f t="shared" si="12"/>
        <v>0</v>
      </c>
    </row>
    <row r="587" ht="15.75" customHeight="1">
      <c r="Q587" s="15">
        <f t="shared" si="5"/>
        <v>0</v>
      </c>
      <c r="W587" s="22">
        <f t="shared" si="11"/>
        <v>0</v>
      </c>
      <c r="X587" s="19">
        <f t="shared" si="12"/>
        <v>0</v>
      </c>
    </row>
    <row r="588" ht="15.75" customHeight="1">
      <c r="Q588" s="15">
        <f t="shared" si="5"/>
        <v>0</v>
      </c>
      <c r="W588" s="22">
        <f t="shared" si="11"/>
        <v>0</v>
      </c>
      <c r="X588" s="19">
        <f t="shared" si="12"/>
        <v>0</v>
      </c>
    </row>
    <row r="589" ht="15.75" customHeight="1">
      <c r="Q589" s="15">
        <f t="shared" si="5"/>
        <v>0</v>
      </c>
      <c r="W589" s="22">
        <f t="shared" si="11"/>
        <v>0</v>
      </c>
      <c r="X589" s="19">
        <f t="shared" si="12"/>
        <v>0</v>
      </c>
    </row>
    <row r="590" ht="15.75" customHeight="1">
      <c r="Q590" s="15">
        <f t="shared" si="5"/>
        <v>0</v>
      </c>
      <c r="W590" s="22">
        <f t="shared" si="11"/>
        <v>0</v>
      </c>
      <c r="X590" s="19">
        <f t="shared" si="12"/>
        <v>0</v>
      </c>
    </row>
    <row r="591" ht="15.75" customHeight="1">
      <c r="Q591" s="15">
        <f t="shared" si="5"/>
        <v>0</v>
      </c>
      <c r="W591" s="22">
        <f t="shared" si="11"/>
        <v>0</v>
      </c>
      <c r="X591" s="19">
        <f t="shared" si="12"/>
        <v>0</v>
      </c>
    </row>
    <row r="592" ht="15.75" customHeight="1">
      <c r="Q592" s="15">
        <f t="shared" si="5"/>
        <v>0</v>
      </c>
      <c r="W592" s="22">
        <f t="shared" si="11"/>
        <v>0</v>
      </c>
      <c r="X592" s="19">
        <f t="shared" si="12"/>
        <v>0</v>
      </c>
    </row>
    <row r="593" ht="15.75" customHeight="1">
      <c r="Q593" s="15">
        <f t="shared" si="5"/>
        <v>0</v>
      </c>
      <c r="W593" s="22">
        <f t="shared" si="11"/>
        <v>0</v>
      </c>
      <c r="X593" s="19">
        <f t="shared" si="12"/>
        <v>0</v>
      </c>
    </row>
    <row r="594" ht="15.75" customHeight="1">
      <c r="Q594" s="15">
        <f t="shared" si="5"/>
        <v>0</v>
      </c>
      <c r="W594" s="22">
        <f t="shared" si="11"/>
        <v>0</v>
      </c>
      <c r="X594" s="19">
        <f t="shared" si="12"/>
        <v>0</v>
      </c>
    </row>
    <row r="595" ht="15.75" customHeight="1">
      <c r="Q595" s="15">
        <f t="shared" si="5"/>
        <v>0</v>
      </c>
      <c r="W595" s="22">
        <f t="shared" si="11"/>
        <v>0</v>
      </c>
      <c r="X595" s="19">
        <f t="shared" si="12"/>
        <v>0</v>
      </c>
    </row>
    <row r="596" ht="15.75" customHeight="1">
      <c r="Q596" s="15">
        <f t="shared" si="5"/>
        <v>0</v>
      </c>
      <c r="W596" s="22">
        <f t="shared" si="11"/>
        <v>0</v>
      </c>
      <c r="X596" s="19">
        <f t="shared" si="12"/>
        <v>0</v>
      </c>
    </row>
    <row r="597" ht="15.75" customHeight="1">
      <c r="Q597" s="15">
        <f t="shared" si="5"/>
        <v>0</v>
      </c>
      <c r="W597" s="22">
        <f t="shared" si="11"/>
        <v>0</v>
      </c>
      <c r="X597" s="19">
        <f t="shared" si="12"/>
        <v>0</v>
      </c>
    </row>
    <row r="598" ht="15.75" customHeight="1">
      <c r="Q598" s="15">
        <f t="shared" si="5"/>
        <v>0</v>
      </c>
      <c r="W598" s="22">
        <f t="shared" si="11"/>
        <v>0</v>
      </c>
      <c r="X598" s="19">
        <f t="shared" si="12"/>
        <v>0</v>
      </c>
    </row>
    <row r="599" ht="15.75" customHeight="1">
      <c r="Q599" s="15">
        <f t="shared" si="5"/>
        <v>0</v>
      </c>
      <c r="W599" s="22">
        <f t="shared" si="11"/>
        <v>0</v>
      </c>
      <c r="X599" s="19">
        <f t="shared" si="12"/>
        <v>0</v>
      </c>
    </row>
    <row r="600" ht="15.75" customHeight="1">
      <c r="Q600" s="15">
        <f t="shared" si="5"/>
        <v>0</v>
      </c>
      <c r="W600" s="22">
        <f t="shared" si="11"/>
        <v>0</v>
      </c>
      <c r="X600" s="19">
        <f t="shared" si="12"/>
        <v>0</v>
      </c>
    </row>
    <row r="601" ht="15.75" customHeight="1">
      <c r="Q601" s="15">
        <f t="shared" si="5"/>
        <v>0</v>
      </c>
      <c r="W601" s="22">
        <f t="shared" si="11"/>
        <v>0</v>
      </c>
      <c r="X601" s="19">
        <f t="shared" si="12"/>
        <v>0</v>
      </c>
    </row>
    <row r="602" ht="15.75" customHeight="1">
      <c r="Q602" s="15">
        <f t="shared" si="5"/>
        <v>0</v>
      </c>
      <c r="W602" s="22">
        <f t="shared" si="11"/>
        <v>0</v>
      </c>
      <c r="X602" s="19">
        <f t="shared" si="12"/>
        <v>0</v>
      </c>
    </row>
    <row r="603" ht="15.75" customHeight="1">
      <c r="Q603" s="15">
        <f t="shared" si="5"/>
        <v>0</v>
      </c>
      <c r="W603" s="22">
        <f t="shared" si="11"/>
        <v>0</v>
      </c>
      <c r="X603" s="19">
        <f t="shared" si="12"/>
        <v>0</v>
      </c>
    </row>
    <row r="604" ht="15.75" customHeight="1">
      <c r="Q604" s="15">
        <f t="shared" si="5"/>
        <v>0</v>
      </c>
      <c r="W604" s="22">
        <f t="shared" si="11"/>
        <v>0</v>
      </c>
      <c r="X604" s="19">
        <f t="shared" si="12"/>
        <v>0</v>
      </c>
    </row>
    <row r="605" ht="15.75" customHeight="1">
      <c r="Q605" s="15">
        <f t="shared" si="5"/>
        <v>0</v>
      </c>
      <c r="W605" s="22">
        <f t="shared" si="11"/>
        <v>0</v>
      </c>
      <c r="X605" s="19">
        <f t="shared" si="12"/>
        <v>0</v>
      </c>
    </row>
    <row r="606" ht="15.75" customHeight="1">
      <c r="Q606" s="15">
        <f t="shared" si="5"/>
        <v>0</v>
      </c>
      <c r="W606" s="22">
        <f t="shared" si="11"/>
        <v>0</v>
      </c>
      <c r="X606" s="19">
        <f t="shared" si="12"/>
        <v>0</v>
      </c>
    </row>
    <row r="607" ht="15.75" customHeight="1">
      <c r="Q607" s="15">
        <f t="shared" si="5"/>
        <v>0</v>
      </c>
      <c r="W607" s="22">
        <f t="shared" si="11"/>
        <v>0</v>
      </c>
      <c r="X607" s="19">
        <f t="shared" si="12"/>
        <v>0</v>
      </c>
    </row>
    <row r="608" ht="15.75" customHeight="1">
      <c r="Q608" s="15">
        <f t="shared" si="5"/>
        <v>0</v>
      </c>
      <c r="W608" s="22">
        <f t="shared" si="11"/>
        <v>0</v>
      </c>
      <c r="X608" s="19">
        <f t="shared" si="12"/>
        <v>0</v>
      </c>
    </row>
    <row r="609" ht="15.75" customHeight="1">
      <c r="Q609" s="15">
        <f t="shared" si="5"/>
        <v>0</v>
      </c>
      <c r="W609" s="22">
        <f t="shared" si="11"/>
        <v>0</v>
      </c>
      <c r="X609" s="19">
        <f t="shared" si="12"/>
        <v>0</v>
      </c>
    </row>
    <row r="610" ht="15.75" customHeight="1">
      <c r="Q610" s="15">
        <f t="shared" si="5"/>
        <v>0</v>
      </c>
      <c r="W610" s="22">
        <f t="shared" si="11"/>
        <v>0</v>
      </c>
      <c r="X610" s="19">
        <f t="shared" si="12"/>
        <v>0</v>
      </c>
    </row>
    <row r="611" ht="15.75" customHeight="1">
      <c r="Q611" s="15">
        <f t="shared" si="5"/>
        <v>0</v>
      </c>
      <c r="W611" s="22">
        <f t="shared" si="11"/>
        <v>0</v>
      </c>
      <c r="X611" s="19">
        <f t="shared" si="12"/>
        <v>0</v>
      </c>
    </row>
    <row r="612" ht="15.75" customHeight="1">
      <c r="Q612" s="15">
        <f t="shared" si="5"/>
        <v>0</v>
      </c>
      <c r="W612" s="22">
        <f t="shared" si="11"/>
        <v>0</v>
      </c>
      <c r="X612" s="19">
        <f t="shared" si="12"/>
        <v>0</v>
      </c>
    </row>
    <row r="613" ht="15.75" customHeight="1">
      <c r="Q613" s="15">
        <f t="shared" si="5"/>
        <v>0</v>
      </c>
      <c r="W613" s="22">
        <f t="shared" si="11"/>
        <v>0</v>
      </c>
      <c r="X613" s="19">
        <f t="shared" si="12"/>
        <v>0</v>
      </c>
    </row>
    <row r="614" ht="15.75" customHeight="1">
      <c r="Q614" s="15">
        <f t="shared" si="5"/>
        <v>0</v>
      </c>
      <c r="W614" s="22">
        <f t="shared" si="11"/>
        <v>0</v>
      </c>
      <c r="X614" s="19">
        <f t="shared" si="12"/>
        <v>0</v>
      </c>
    </row>
    <row r="615" ht="15.75" customHeight="1">
      <c r="Q615" s="15">
        <f t="shared" si="5"/>
        <v>0</v>
      </c>
      <c r="W615" s="22">
        <f t="shared" si="11"/>
        <v>0</v>
      </c>
      <c r="X615" s="19">
        <f t="shared" si="12"/>
        <v>0</v>
      </c>
    </row>
    <row r="616" ht="15.75" customHeight="1">
      <c r="Q616" s="15">
        <f t="shared" si="5"/>
        <v>0</v>
      </c>
      <c r="W616" s="22">
        <f t="shared" si="11"/>
        <v>0</v>
      </c>
      <c r="X616" s="19">
        <f t="shared" si="12"/>
        <v>0</v>
      </c>
    </row>
    <row r="617" ht="15.75" customHeight="1">
      <c r="Q617" s="15">
        <f t="shared" si="5"/>
        <v>0</v>
      </c>
      <c r="W617" s="22">
        <f t="shared" si="11"/>
        <v>0</v>
      </c>
      <c r="X617" s="19">
        <f t="shared" si="12"/>
        <v>0</v>
      </c>
    </row>
    <row r="618" ht="15.75" customHeight="1">
      <c r="Q618" s="15">
        <f t="shared" si="5"/>
        <v>0</v>
      </c>
      <c r="W618" s="22">
        <f t="shared" si="11"/>
        <v>0</v>
      </c>
      <c r="X618" s="19">
        <f t="shared" si="12"/>
        <v>0</v>
      </c>
    </row>
    <row r="619" ht="15.75" customHeight="1">
      <c r="Q619" s="15">
        <f t="shared" si="5"/>
        <v>0</v>
      </c>
      <c r="W619" s="22">
        <f t="shared" si="11"/>
        <v>0</v>
      </c>
      <c r="X619" s="19">
        <f t="shared" si="12"/>
        <v>0</v>
      </c>
    </row>
    <row r="620" ht="15.75" customHeight="1">
      <c r="Q620" s="15">
        <f t="shared" si="5"/>
        <v>0</v>
      </c>
      <c r="W620" s="22">
        <f t="shared" si="11"/>
        <v>0</v>
      </c>
      <c r="X620" s="19">
        <f t="shared" si="12"/>
        <v>0</v>
      </c>
    </row>
    <row r="621" ht="15.75" customHeight="1">
      <c r="Q621" s="15">
        <f t="shared" si="5"/>
        <v>0</v>
      </c>
      <c r="W621" s="22">
        <f t="shared" si="11"/>
        <v>0</v>
      </c>
      <c r="X621" s="19">
        <f t="shared" si="12"/>
        <v>0</v>
      </c>
    </row>
    <row r="622" ht="15.75" customHeight="1">
      <c r="Q622" s="15">
        <f t="shared" si="5"/>
        <v>0</v>
      </c>
      <c r="W622" s="22">
        <f t="shared" si="11"/>
        <v>0</v>
      </c>
      <c r="X622" s="19">
        <f t="shared" si="12"/>
        <v>0</v>
      </c>
    </row>
    <row r="623" ht="15.75" customHeight="1">
      <c r="Q623" s="15">
        <f t="shared" si="5"/>
        <v>0</v>
      </c>
      <c r="W623" s="22">
        <f t="shared" si="11"/>
        <v>0</v>
      </c>
      <c r="X623" s="19">
        <f t="shared" si="12"/>
        <v>0</v>
      </c>
    </row>
    <row r="624" ht="15.75" customHeight="1">
      <c r="Q624" s="15">
        <f t="shared" si="5"/>
        <v>0</v>
      </c>
      <c r="W624" s="22">
        <f t="shared" si="11"/>
        <v>0</v>
      </c>
      <c r="X624" s="19">
        <f t="shared" si="12"/>
        <v>0</v>
      </c>
    </row>
    <row r="625" ht="15.75" customHeight="1">
      <c r="Q625" s="15">
        <f t="shared" si="5"/>
        <v>0</v>
      </c>
      <c r="W625" s="22">
        <f t="shared" si="11"/>
        <v>0</v>
      </c>
      <c r="X625" s="19">
        <f t="shared" si="12"/>
        <v>0</v>
      </c>
    </row>
    <row r="626" ht="15.75" customHeight="1">
      <c r="Q626" s="15">
        <f t="shared" si="5"/>
        <v>0</v>
      </c>
      <c r="W626" s="22">
        <f t="shared" si="11"/>
        <v>0</v>
      </c>
      <c r="X626" s="19">
        <f t="shared" si="12"/>
        <v>0</v>
      </c>
    </row>
    <row r="627" ht="15.75" customHeight="1">
      <c r="Q627" s="15">
        <f t="shared" si="5"/>
        <v>0</v>
      </c>
      <c r="W627" s="22">
        <f t="shared" si="11"/>
        <v>0</v>
      </c>
      <c r="X627" s="19">
        <f t="shared" si="12"/>
        <v>0</v>
      </c>
    </row>
    <row r="628" ht="15.75" customHeight="1">
      <c r="Q628" s="15">
        <f t="shared" si="5"/>
        <v>0</v>
      </c>
      <c r="W628" s="22">
        <f t="shared" si="11"/>
        <v>0</v>
      </c>
      <c r="X628" s="19">
        <f t="shared" si="12"/>
        <v>0</v>
      </c>
    </row>
    <row r="629" ht="15.75" customHeight="1">
      <c r="Q629" s="15">
        <f t="shared" si="5"/>
        <v>0</v>
      </c>
      <c r="W629" s="22">
        <f t="shared" si="11"/>
        <v>0</v>
      </c>
      <c r="X629" s="19">
        <f t="shared" si="12"/>
        <v>0</v>
      </c>
    </row>
    <row r="630" ht="15.75" customHeight="1">
      <c r="Q630" s="15">
        <f t="shared" si="5"/>
        <v>0</v>
      </c>
      <c r="W630" s="22">
        <f t="shared" si="11"/>
        <v>0</v>
      </c>
      <c r="X630" s="19">
        <f t="shared" si="12"/>
        <v>0</v>
      </c>
    </row>
    <row r="631" ht="15.75" customHeight="1">
      <c r="Q631" s="15">
        <f t="shared" si="5"/>
        <v>0</v>
      </c>
      <c r="W631" s="22">
        <f t="shared" si="11"/>
        <v>0</v>
      </c>
      <c r="X631" s="19">
        <f t="shared" si="12"/>
        <v>0</v>
      </c>
    </row>
    <row r="632" ht="15.75" customHeight="1">
      <c r="Q632" s="15">
        <f t="shared" si="5"/>
        <v>0</v>
      </c>
      <c r="W632" s="22">
        <f t="shared" si="11"/>
        <v>0</v>
      </c>
      <c r="X632" s="19">
        <f t="shared" si="12"/>
        <v>0</v>
      </c>
    </row>
    <row r="633" ht="15.75" customHeight="1">
      <c r="Q633" s="15">
        <f t="shared" si="5"/>
        <v>0</v>
      </c>
      <c r="W633" s="22">
        <f t="shared" si="11"/>
        <v>0</v>
      </c>
      <c r="X633" s="19">
        <f t="shared" si="12"/>
        <v>0</v>
      </c>
    </row>
    <row r="634" ht="15.75" customHeight="1">
      <c r="Q634" s="15">
        <f t="shared" si="5"/>
        <v>0</v>
      </c>
      <c r="W634" s="22">
        <f t="shared" si="11"/>
        <v>0</v>
      </c>
      <c r="X634" s="19">
        <f t="shared" si="12"/>
        <v>0</v>
      </c>
    </row>
    <row r="635" ht="15.75" customHeight="1">
      <c r="Q635" s="15">
        <f t="shared" si="5"/>
        <v>0</v>
      </c>
      <c r="W635" s="22">
        <f t="shared" si="11"/>
        <v>0</v>
      </c>
      <c r="X635" s="19">
        <f t="shared" si="12"/>
        <v>0</v>
      </c>
    </row>
    <row r="636" ht="15.75" customHeight="1">
      <c r="Q636" s="15">
        <f t="shared" si="5"/>
        <v>0</v>
      </c>
      <c r="W636" s="22">
        <f t="shared" si="11"/>
        <v>0</v>
      </c>
      <c r="X636" s="19">
        <f t="shared" si="12"/>
        <v>0</v>
      </c>
    </row>
    <row r="637" ht="15.75" customHeight="1">
      <c r="Q637" s="15">
        <f t="shared" si="5"/>
        <v>0</v>
      </c>
      <c r="W637" s="22">
        <f t="shared" si="11"/>
        <v>0</v>
      </c>
      <c r="X637" s="19">
        <f t="shared" si="12"/>
        <v>0</v>
      </c>
    </row>
    <row r="638" ht="15.75" customHeight="1">
      <c r="Q638" s="15">
        <f t="shared" si="5"/>
        <v>0</v>
      </c>
      <c r="W638" s="22">
        <f t="shared" si="11"/>
        <v>0</v>
      </c>
      <c r="X638" s="19">
        <f t="shared" si="12"/>
        <v>0</v>
      </c>
    </row>
    <row r="639" ht="15.75" customHeight="1">
      <c r="Q639" s="15">
        <f t="shared" si="5"/>
        <v>0</v>
      </c>
      <c r="W639" s="22">
        <f t="shared" si="11"/>
        <v>0</v>
      </c>
      <c r="X639" s="19">
        <f t="shared" si="12"/>
        <v>0</v>
      </c>
    </row>
    <row r="640" ht="15.75" customHeight="1">
      <c r="Q640" s="15">
        <f t="shared" si="5"/>
        <v>0</v>
      </c>
      <c r="W640" s="22">
        <f t="shared" si="11"/>
        <v>0</v>
      </c>
      <c r="X640" s="19">
        <f t="shared" si="12"/>
        <v>0</v>
      </c>
    </row>
    <row r="641" ht="15.75" customHeight="1">
      <c r="Q641" s="15">
        <f t="shared" si="5"/>
        <v>0</v>
      </c>
      <c r="W641" s="22">
        <f t="shared" si="11"/>
        <v>0</v>
      </c>
      <c r="X641" s="19">
        <f t="shared" si="12"/>
        <v>0</v>
      </c>
    </row>
    <row r="642" ht="15.75" customHeight="1">
      <c r="Q642" s="15">
        <f t="shared" si="5"/>
        <v>0</v>
      </c>
      <c r="W642" s="22">
        <f t="shared" si="11"/>
        <v>0</v>
      </c>
      <c r="X642" s="19">
        <f t="shared" si="12"/>
        <v>0</v>
      </c>
    </row>
    <row r="643" ht="15.75" customHeight="1">
      <c r="Q643" s="15">
        <f t="shared" si="5"/>
        <v>0</v>
      </c>
      <c r="W643" s="22">
        <f t="shared" si="11"/>
        <v>0</v>
      </c>
      <c r="X643" s="19">
        <f t="shared" si="12"/>
        <v>0</v>
      </c>
    </row>
    <row r="644" ht="15.75" customHeight="1">
      <c r="Q644" s="15">
        <f t="shared" si="5"/>
        <v>0</v>
      </c>
      <c r="W644" s="22">
        <f t="shared" si="11"/>
        <v>0</v>
      </c>
      <c r="X644" s="19">
        <f t="shared" si="12"/>
        <v>0</v>
      </c>
    </row>
    <row r="645" ht="15.75" customHeight="1">
      <c r="Q645" s="15">
        <f t="shared" si="5"/>
        <v>0</v>
      </c>
      <c r="W645" s="22">
        <f t="shared" si="11"/>
        <v>0</v>
      </c>
      <c r="X645" s="19">
        <f t="shared" si="12"/>
        <v>0</v>
      </c>
    </row>
    <row r="646" ht="15.75" customHeight="1">
      <c r="Q646" s="15">
        <f t="shared" si="5"/>
        <v>0</v>
      </c>
      <c r="W646" s="22">
        <f t="shared" si="11"/>
        <v>0</v>
      </c>
      <c r="X646" s="19">
        <f t="shared" si="12"/>
        <v>0</v>
      </c>
    </row>
    <row r="647" ht="15.75" customHeight="1">
      <c r="Q647" s="15">
        <f t="shared" si="5"/>
        <v>0</v>
      </c>
      <c r="W647" s="22">
        <f t="shared" si="11"/>
        <v>0</v>
      </c>
      <c r="X647" s="19">
        <f t="shared" si="12"/>
        <v>0</v>
      </c>
    </row>
    <row r="648" ht="15.75" customHeight="1">
      <c r="Q648" s="15">
        <f t="shared" si="5"/>
        <v>0</v>
      </c>
      <c r="W648" s="22">
        <f t="shared" si="11"/>
        <v>0</v>
      </c>
      <c r="X648" s="19">
        <f t="shared" si="12"/>
        <v>0</v>
      </c>
    </row>
    <row r="649" ht="15.75" customHeight="1">
      <c r="Q649" s="15">
        <f t="shared" si="5"/>
        <v>0</v>
      </c>
      <c r="W649" s="22">
        <f t="shared" si="11"/>
        <v>0</v>
      </c>
      <c r="X649" s="19">
        <f t="shared" si="12"/>
        <v>0</v>
      </c>
    </row>
    <row r="650" ht="15.75" customHeight="1">
      <c r="Q650" s="15">
        <f t="shared" si="5"/>
        <v>0</v>
      </c>
      <c r="W650" s="22">
        <f t="shared" si="11"/>
        <v>0</v>
      </c>
      <c r="X650" s="19">
        <f t="shared" si="12"/>
        <v>0</v>
      </c>
    </row>
    <row r="651" ht="15.75" customHeight="1">
      <c r="Q651" s="15">
        <f t="shared" si="5"/>
        <v>0</v>
      </c>
      <c r="W651" s="22">
        <f t="shared" si="11"/>
        <v>0</v>
      </c>
      <c r="X651" s="19">
        <f t="shared" si="12"/>
        <v>0</v>
      </c>
    </row>
    <row r="652" ht="15.75" customHeight="1">
      <c r="Q652" s="15">
        <f t="shared" si="5"/>
        <v>0</v>
      </c>
      <c r="W652" s="22">
        <f t="shared" si="11"/>
        <v>0</v>
      </c>
      <c r="X652" s="19">
        <f t="shared" si="12"/>
        <v>0</v>
      </c>
    </row>
    <row r="653" ht="15.75" customHeight="1">
      <c r="Q653" s="15">
        <f t="shared" si="5"/>
        <v>0</v>
      </c>
      <c r="W653" s="22">
        <f t="shared" si="11"/>
        <v>0</v>
      </c>
      <c r="X653" s="19">
        <f t="shared" si="12"/>
        <v>0</v>
      </c>
    </row>
    <row r="654" ht="15.75" customHeight="1">
      <c r="Q654" s="15">
        <f t="shared" si="5"/>
        <v>0</v>
      </c>
      <c r="W654" s="22">
        <f t="shared" si="11"/>
        <v>0</v>
      </c>
      <c r="X654" s="19">
        <f t="shared" si="12"/>
        <v>0</v>
      </c>
    </row>
    <row r="655" ht="15.75" customHeight="1">
      <c r="Q655" s="15">
        <f t="shared" si="5"/>
        <v>0</v>
      </c>
      <c r="W655" s="22">
        <f t="shared" si="11"/>
        <v>0</v>
      </c>
      <c r="X655" s="19">
        <f t="shared" si="12"/>
        <v>0</v>
      </c>
    </row>
    <row r="656" ht="15.75" customHeight="1">
      <c r="Q656" s="15">
        <f t="shared" si="5"/>
        <v>0</v>
      </c>
      <c r="W656" s="22">
        <f t="shared" si="11"/>
        <v>0</v>
      </c>
      <c r="X656" s="19">
        <f t="shared" si="12"/>
        <v>0</v>
      </c>
    </row>
    <row r="657" ht="15.75" customHeight="1">
      <c r="Q657" s="15">
        <f t="shared" si="5"/>
        <v>0</v>
      </c>
      <c r="W657" s="22">
        <f t="shared" si="11"/>
        <v>0</v>
      </c>
      <c r="X657" s="19">
        <f t="shared" si="12"/>
        <v>0</v>
      </c>
    </row>
    <row r="658" ht="15.75" customHeight="1">
      <c r="Q658" s="15">
        <f t="shared" si="5"/>
        <v>0</v>
      </c>
      <c r="W658" s="22">
        <f t="shared" si="11"/>
        <v>0</v>
      </c>
      <c r="X658" s="19">
        <f t="shared" si="12"/>
        <v>0</v>
      </c>
    </row>
    <row r="659" ht="15.75" customHeight="1">
      <c r="Q659" s="15">
        <f t="shared" si="5"/>
        <v>0</v>
      </c>
      <c r="W659" s="22">
        <f t="shared" si="11"/>
        <v>0</v>
      </c>
      <c r="X659" s="19">
        <f t="shared" si="12"/>
        <v>0</v>
      </c>
    </row>
    <row r="660" ht="15.75" customHeight="1">
      <c r="Q660" s="15">
        <f t="shared" si="5"/>
        <v>0</v>
      </c>
      <c r="W660" s="22">
        <f t="shared" si="11"/>
        <v>0</v>
      </c>
      <c r="X660" s="19">
        <f t="shared" si="12"/>
        <v>0</v>
      </c>
    </row>
    <row r="661" ht="15.75" customHeight="1">
      <c r="Q661" s="15">
        <f t="shared" si="5"/>
        <v>0</v>
      </c>
      <c r="W661" s="22">
        <f t="shared" si="11"/>
        <v>0</v>
      </c>
      <c r="X661" s="19">
        <f t="shared" si="12"/>
        <v>0</v>
      </c>
    </row>
    <row r="662" ht="15.75" customHeight="1">
      <c r="Q662" s="15">
        <f t="shared" si="5"/>
        <v>0</v>
      </c>
      <c r="W662" s="22">
        <f t="shared" si="11"/>
        <v>0</v>
      </c>
      <c r="X662" s="19">
        <f t="shared" si="12"/>
        <v>0</v>
      </c>
    </row>
    <row r="663" ht="15.75" customHeight="1">
      <c r="Q663" s="15">
        <f t="shared" si="5"/>
        <v>0</v>
      </c>
      <c r="W663" s="22">
        <f t="shared" si="11"/>
        <v>0</v>
      </c>
      <c r="X663" s="19">
        <f t="shared" si="12"/>
        <v>0</v>
      </c>
    </row>
    <row r="664" ht="15.75" customHeight="1">
      <c r="Q664" s="15">
        <f t="shared" si="5"/>
        <v>0</v>
      </c>
      <c r="W664" s="22">
        <f t="shared" si="11"/>
        <v>0</v>
      </c>
      <c r="X664" s="19">
        <f t="shared" si="12"/>
        <v>0</v>
      </c>
    </row>
    <row r="665" ht="15.75" customHeight="1">
      <c r="Q665" s="15">
        <f t="shared" si="5"/>
        <v>0</v>
      </c>
      <c r="W665" s="22">
        <f t="shared" si="11"/>
        <v>0</v>
      </c>
      <c r="X665" s="19">
        <f t="shared" si="12"/>
        <v>0</v>
      </c>
    </row>
    <row r="666" ht="15.75" customHeight="1">
      <c r="Q666" s="15">
        <f t="shared" si="5"/>
        <v>0</v>
      </c>
      <c r="W666" s="22">
        <f t="shared" si="11"/>
        <v>0</v>
      </c>
      <c r="X666" s="19">
        <f t="shared" si="12"/>
        <v>0</v>
      </c>
    </row>
    <row r="667" ht="15.75" customHeight="1">
      <c r="Q667" s="15">
        <f t="shared" si="5"/>
        <v>0</v>
      </c>
      <c r="W667" s="22">
        <f t="shared" si="11"/>
        <v>0</v>
      </c>
      <c r="X667" s="19">
        <f t="shared" si="12"/>
        <v>0</v>
      </c>
    </row>
    <row r="668" ht="15.75" customHeight="1">
      <c r="Q668" s="15">
        <f t="shared" si="5"/>
        <v>0</v>
      </c>
      <c r="W668" s="22">
        <f t="shared" si="11"/>
        <v>0</v>
      </c>
      <c r="X668" s="19">
        <f t="shared" si="12"/>
        <v>0</v>
      </c>
    </row>
    <row r="669" ht="15.75" customHeight="1">
      <c r="Q669" s="15">
        <f t="shared" si="5"/>
        <v>0</v>
      </c>
      <c r="W669" s="22">
        <f t="shared" si="11"/>
        <v>0</v>
      </c>
      <c r="X669" s="19">
        <f t="shared" si="12"/>
        <v>0</v>
      </c>
    </row>
    <row r="670" ht="15.75" customHeight="1">
      <c r="Q670" s="15">
        <f t="shared" si="5"/>
        <v>0</v>
      </c>
      <c r="W670" s="22">
        <f t="shared" si="11"/>
        <v>0</v>
      </c>
      <c r="X670" s="19">
        <f t="shared" si="12"/>
        <v>0</v>
      </c>
    </row>
    <row r="671" ht="15.75" customHeight="1">
      <c r="Q671" s="15">
        <f t="shared" si="5"/>
        <v>0</v>
      </c>
      <c r="W671" s="22">
        <f t="shared" si="11"/>
        <v>0</v>
      </c>
      <c r="X671" s="19">
        <f t="shared" si="12"/>
        <v>0</v>
      </c>
    </row>
    <row r="672" ht="15.75" customHeight="1">
      <c r="Q672" s="15">
        <f t="shared" si="5"/>
        <v>0</v>
      </c>
      <c r="W672" s="22">
        <f t="shared" si="11"/>
        <v>0</v>
      </c>
      <c r="X672" s="19">
        <f t="shared" si="12"/>
        <v>0</v>
      </c>
    </row>
    <row r="673" ht="15.75" customHeight="1">
      <c r="Q673" s="15">
        <f t="shared" si="5"/>
        <v>0</v>
      </c>
      <c r="W673" s="22">
        <f t="shared" si="11"/>
        <v>0</v>
      </c>
      <c r="X673" s="19">
        <f t="shared" si="12"/>
        <v>0</v>
      </c>
    </row>
    <row r="674" ht="15.75" customHeight="1">
      <c r="Q674" s="15">
        <f t="shared" si="5"/>
        <v>0</v>
      </c>
      <c r="W674" s="22">
        <f t="shared" si="11"/>
        <v>0</v>
      </c>
      <c r="X674" s="19">
        <f t="shared" si="12"/>
        <v>0</v>
      </c>
    </row>
    <row r="675" ht="15.75" customHeight="1">
      <c r="Q675" s="15">
        <f t="shared" si="5"/>
        <v>0</v>
      </c>
      <c r="W675" s="22">
        <f t="shared" si="11"/>
        <v>0</v>
      </c>
      <c r="X675" s="19">
        <f t="shared" si="12"/>
        <v>0</v>
      </c>
    </row>
    <row r="676" ht="15.75" customHeight="1">
      <c r="Q676" s="15">
        <f t="shared" si="5"/>
        <v>0</v>
      </c>
      <c r="W676" s="22">
        <f t="shared" si="11"/>
        <v>0</v>
      </c>
      <c r="X676" s="19">
        <f t="shared" si="12"/>
        <v>0</v>
      </c>
    </row>
    <row r="677" ht="15.75" customHeight="1">
      <c r="Q677" s="15">
        <f t="shared" si="5"/>
        <v>0</v>
      </c>
      <c r="W677" s="22">
        <f t="shared" si="11"/>
        <v>0</v>
      </c>
      <c r="X677" s="19">
        <f t="shared" si="12"/>
        <v>0</v>
      </c>
    </row>
    <row r="678" ht="15.75" customHeight="1">
      <c r="Q678" s="15">
        <f t="shared" si="5"/>
        <v>0</v>
      </c>
      <c r="W678" s="22">
        <f t="shared" si="11"/>
        <v>0</v>
      </c>
      <c r="X678" s="19">
        <f t="shared" si="12"/>
        <v>0</v>
      </c>
    </row>
    <row r="679" ht="15.75" customHeight="1">
      <c r="Q679" s="15">
        <f t="shared" si="5"/>
        <v>0</v>
      </c>
      <c r="W679" s="22">
        <f t="shared" si="11"/>
        <v>0</v>
      </c>
      <c r="X679" s="19">
        <f t="shared" si="12"/>
        <v>0</v>
      </c>
    </row>
    <row r="680" ht="15.75" customHeight="1">
      <c r="Q680" s="15">
        <f t="shared" si="5"/>
        <v>0</v>
      </c>
      <c r="W680" s="22">
        <f t="shared" si="11"/>
        <v>0</v>
      </c>
      <c r="X680" s="19">
        <f t="shared" si="12"/>
        <v>0</v>
      </c>
    </row>
    <row r="681" ht="15.75" customHeight="1">
      <c r="Q681" s="15">
        <f t="shared" si="5"/>
        <v>0</v>
      </c>
      <c r="W681" s="22">
        <f t="shared" si="11"/>
        <v>0</v>
      </c>
      <c r="X681" s="19">
        <f t="shared" si="12"/>
        <v>0</v>
      </c>
    </row>
    <row r="682" ht="15.75" customHeight="1">
      <c r="Q682" s="15">
        <f t="shared" si="5"/>
        <v>0</v>
      </c>
      <c r="W682" s="22">
        <f t="shared" si="11"/>
        <v>0</v>
      </c>
      <c r="X682" s="19">
        <f t="shared" si="12"/>
        <v>0</v>
      </c>
    </row>
    <row r="683" ht="15.75" customHeight="1">
      <c r="Q683" s="15">
        <f t="shared" si="5"/>
        <v>0</v>
      </c>
      <c r="W683" s="22">
        <f t="shared" si="11"/>
        <v>0</v>
      </c>
      <c r="X683" s="19">
        <f t="shared" si="12"/>
        <v>0</v>
      </c>
    </row>
    <row r="684" ht="15.75" customHeight="1">
      <c r="Q684" s="15">
        <f t="shared" si="5"/>
        <v>0</v>
      </c>
      <c r="W684" s="22">
        <f t="shared" si="11"/>
        <v>0</v>
      </c>
      <c r="X684" s="19">
        <f t="shared" si="12"/>
        <v>0</v>
      </c>
    </row>
    <row r="685" ht="15.75" customHeight="1">
      <c r="Q685" s="15">
        <f t="shared" si="5"/>
        <v>0</v>
      </c>
      <c r="W685" s="22">
        <f t="shared" si="11"/>
        <v>0</v>
      </c>
      <c r="X685" s="19">
        <f t="shared" si="12"/>
        <v>0</v>
      </c>
    </row>
    <row r="686" ht="15.75" customHeight="1">
      <c r="Q686" s="15">
        <f t="shared" si="5"/>
        <v>0</v>
      </c>
      <c r="W686" s="22">
        <f t="shared" si="11"/>
        <v>0</v>
      </c>
      <c r="X686" s="19">
        <f t="shared" si="12"/>
        <v>0</v>
      </c>
    </row>
    <row r="687" ht="15.75" customHeight="1">
      <c r="Q687" s="15">
        <f t="shared" si="5"/>
        <v>0</v>
      </c>
      <c r="W687" s="22">
        <f t="shared" si="11"/>
        <v>0</v>
      </c>
      <c r="X687" s="19">
        <f t="shared" si="12"/>
        <v>0</v>
      </c>
    </row>
    <row r="688" ht="15.75" customHeight="1">
      <c r="Q688" s="15">
        <f t="shared" si="5"/>
        <v>0</v>
      </c>
      <c r="W688" s="22">
        <f t="shared" si="11"/>
        <v>0</v>
      </c>
      <c r="X688" s="19">
        <f t="shared" si="12"/>
        <v>0</v>
      </c>
    </row>
    <row r="689" ht="15.75" customHeight="1">
      <c r="Q689" s="15">
        <f t="shared" si="5"/>
        <v>0</v>
      </c>
      <c r="W689" s="22">
        <f t="shared" si="11"/>
        <v>0</v>
      </c>
      <c r="X689" s="19">
        <f t="shared" si="12"/>
        <v>0</v>
      </c>
    </row>
    <row r="690" ht="15.75" customHeight="1">
      <c r="Q690" s="15">
        <f t="shared" si="5"/>
        <v>0</v>
      </c>
      <c r="W690" s="22">
        <f t="shared" si="11"/>
        <v>0</v>
      </c>
      <c r="X690" s="19">
        <f t="shared" si="12"/>
        <v>0</v>
      </c>
    </row>
    <row r="691" ht="15.75" customHeight="1">
      <c r="Q691" s="15">
        <f t="shared" si="5"/>
        <v>0</v>
      </c>
      <c r="W691" s="22">
        <f t="shared" si="11"/>
        <v>0</v>
      </c>
      <c r="X691" s="19">
        <f t="shared" si="12"/>
        <v>0</v>
      </c>
    </row>
    <row r="692" ht="15.75" customHeight="1">
      <c r="Q692" s="15">
        <f t="shared" si="5"/>
        <v>0</v>
      </c>
      <c r="W692" s="22">
        <f t="shared" si="11"/>
        <v>0</v>
      </c>
      <c r="X692" s="19">
        <f t="shared" si="12"/>
        <v>0</v>
      </c>
    </row>
    <row r="693" ht="15.75" customHeight="1">
      <c r="Q693" s="15">
        <f t="shared" si="5"/>
        <v>0</v>
      </c>
      <c r="W693" s="22">
        <f t="shared" si="11"/>
        <v>0</v>
      </c>
      <c r="X693" s="19">
        <f t="shared" si="12"/>
        <v>0</v>
      </c>
    </row>
    <row r="694" ht="15.75" customHeight="1">
      <c r="Q694" s="15">
        <f t="shared" si="5"/>
        <v>0</v>
      </c>
      <c r="W694" s="22">
        <f t="shared" si="11"/>
        <v>0</v>
      </c>
      <c r="X694" s="19">
        <f t="shared" si="12"/>
        <v>0</v>
      </c>
    </row>
    <row r="695" ht="15.75" customHeight="1">
      <c r="Q695" s="15">
        <f t="shared" si="5"/>
        <v>0</v>
      </c>
      <c r="W695" s="22">
        <f t="shared" si="11"/>
        <v>0</v>
      </c>
      <c r="X695" s="19">
        <f t="shared" si="12"/>
        <v>0</v>
      </c>
    </row>
    <row r="696" ht="15.75" customHeight="1">
      <c r="Q696" s="15">
        <f t="shared" si="5"/>
        <v>0</v>
      </c>
      <c r="W696" s="22">
        <f t="shared" si="11"/>
        <v>0</v>
      </c>
      <c r="X696" s="19">
        <f t="shared" si="12"/>
        <v>0</v>
      </c>
    </row>
    <row r="697" ht="15.75" customHeight="1">
      <c r="Q697" s="15">
        <f t="shared" si="5"/>
        <v>0</v>
      </c>
      <c r="W697" s="22">
        <f t="shared" si="11"/>
        <v>0</v>
      </c>
      <c r="X697" s="19">
        <f t="shared" si="12"/>
        <v>0</v>
      </c>
    </row>
    <row r="698" ht="15.75" customHeight="1">
      <c r="Q698" s="15">
        <f t="shared" si="5"/>
        <v>0</v>
      </c>
      <c r="W698" s="22">
        <f t="shared" si="11"/>
        <v>0</v>
      </c>
      <c r="X698" s="19">
        <f t="shared" si="12"/>
        <v>0</v>
      </c>
    </row>
    <row r="699" ht="15.75" customHeight="1">
      <c r="Q699" s="15">
        <f t="shared" si="5"/>
        <v>0</v>
      </c>
      <c r="W699" s="22">
        <f t="shared" si="11"/>
        <v>0</v>
      </c>
      <c r="X699" s="19">
        <f t="shared" si="12"/>
        <v>0</v>
      </c>
    </row>
    <row r="700" ht="15.75" customHeight="1">
      <c r="Q700" s="15">
        <f t="shared" si="5"/>
        <v>0</v>
      </c>
      <c r="W700" s="22">
        <f t="shared" si="11"/>
        <v>0</v>
      </c>
      <c r="X700" s="19">
        <f t="shared" si="12"/>
        <v>0</v>
      </c>
    </row>
    <row r="701" ht="15.75" customHeight="1">
      <c r="Q701" s="15">
        <f t="shared" si="5"/>
        <v>0</v>
      </c>
      <c r="W701" s="22">
        <f t="shared" si="11"/>
        <v>0</v>
      </c>
      <c r="X701" s="19">
        <f t="shared" si="12"/>
        <v>0</v>
      </c>
    </row>
    <row r="702" ht="15.75" customHeight="1">
      <c r="Q702" s="15">
        <f t="shared" si="5"/>
        <v>0</v>
      </c>
      <c r="W702" s="22">
        <f t="shared" si="11"/>
        <v>0</v>
      </c>
      <c r="X702" s="19">
        <f t="shared" si="12"/>
        <v>0</v>
      </c>
    </row>
    <row r="703" ht="15.75" customHeight="1">
      <c r="Q703" s="15">
        <f t="shared" si="5"/>
        <v>0</v>
      </c>
      <c r="W703" s="22">
        <f t="shared" si="11"/>
        <v>0</v>
      </c>
      <c r="X703" s="19">
        <f t="shared" si="12"/>
        <v>0</v>
      </c>
    </row>
    <row r="704" ht="15.75" customHeight="1">
      <c r="Q704" s="15">
        <f t="shared" si="5"/>
        <v>0</v>
      </c>
      <c r="W704" s="22">
        <f t="shared" si="11"/>
        <v>0</v>
      </c>
      <c r="X704" s="19">
        <f t="shared" si="12"/>
        <v>0</v>
      </c>
    </row>
    <row r="705" ht="15.75" customHeight="1">
      <c r="Q705" s="15">
        <f t="shared" si="5"/>
        <v>0</v>
      </c>
      <c r="W705" s="22">
        <f t="shared" si="11"/>
        <v>0</v>
      </c>
      <c r="X705" s="19">
        <f t="shared" si="12"/>
        <v>0</v>
      </c>
    </row>
    <row r="706" ht="15.75" customHeight="1">
      <c r="Q706" s="15">
        <f t="shared" si="5"/>
        <v>0</v>
      </c>
      <c r="W706" s="22">
        <f t="shared" si="11"/>
        <v>0</v>
      </c>
      <c r="X706" s="19">
        <f t="shared" si="12"/>
        <v>0</v>
      </c>
    </row>
    <row r="707" ht="15.75" customHeight="1">
      <c r="Q707" s="15">
        <f t="shared" si="5"/>
        <v>0</v>
      </c>
      <c r="W707" s="22">
        <f t="shared" si="11"/>
        <v>0</v>
      </c>
      <c r="X707" s="19">
        <f t="shared" si="12"/>
        <v>0</v>
      </c>
    </row>
    <row r="708" ht="15.75" customHeight="1">
      <c r="Q708" s="15">
        <f t="shared" si="5"/>
        <v>0</v>
      </c>
      <c r="W708" s="22">
        <f t="shared" si="11"/>
        <v>0</v>
      </c>
      <c r="X708" s="19">
        <f t="shared" si="12"/>
        <v>0</v>
      </c>
    </row>
    <row r="709" ht="15.75" customHeight="1">
      <c r="Q709" s="15">
        <f t="shared" si="5"/>
        <v>0</v>
      </c>
      <c r="W709" s="22">
        <f t="shared" si="11"/>
        <v>0</v>
      </c>
      <c r="X709" s="19">
        <f t="shared" si="12"/>
        <v>0</v>
      </c>
    </row>
    <row r="710" ht="15.75" customHeight="1">
      <c r="Q710" s="15">
        <f t="shared" si="5"/>
        <v>0</v>
      </c>
      <c r="W710" s="22">
        <f t="shared" si="11"/>
        <v>0</v>
      </c>
      <c r="X710" s="19">
        <f t="shared" si="12"/>
        <v>0</v>
      </c>
    </row>
    <row r="711" ht="15.75" customHeight="1">
      <c r="Q711" s="15">
        <f t="shared" si="5"/>
        <v>0</v>
      </c>
      <c r="W711" s="22">
        <f t="shared" si="11"/>
        <v>0</v>
      </c>
      <c r="X711" s="19">
        <f t="shared" si="12"/>
        <v>0</v>
      </c>
    </row>
    <row r="712" ht="15.75" customHeight="1">
      <c r="Q712" s="15">
        <f t="shared" si="5"/>
        <v>0</v>
      </c>
      <c r="W712" s="22">
        <f t="shared" si="11"/>
        <v>0</v>
      </c>
      <c r="X712" s="19">
        <f t="shared" si="12"/>
        <v>0</v>
      </c>
    </row>
    <row r="713" ht="15.75" customHeight="1">
      <c r="Q713" s="15">
        <f t="shared" si="5"/>
        <v>0</v>
      </c>
      <c r="W713" s="22">
        <f t="shared" si="11"/>
        <v>0</v>
      </c>
      <c r="X713" s="19">
        <f t="shared" si="12"/>
        <v>0</v>
      </c>
    </row>
    <row r="714" ht="15.75" customHeight="1">
      <c r="Q714" s="15">
        <f t="shared" si="5"/>
        <v>0</v>
      </c>
      <c r="W714" s="22">
        <f t="shared" si="11"/>
        <v>0</v>
      </c>
      <c r="X714" s="19">
        <f t="shared" si="12"/>
        <v>0</v>
      </c>
    </row>
    <row r="715" ht="15.75" customHeight="1">
      <c r="Q715" s="15">
        <f t="shared" si="5"/>
        <v>0</v>
      </c>
      <c r="W715" s="22">
        <f t="shared" si="11"/>
        <v>0</v>
      </c>
      <c r="X715" s="19">
        <f t="shared" si="12"/>
        <v>0</v>
      </c>
    </row>
    <row r="716" ht="15.75" customHeight="1">
      <c r="Q716" s="15">
        <f t="shared" si="5"/>
        <v>0</v>
      </c>
      <c r="W716" s="22">
        <f t="shared" si="11"/>
        <v>0</v>
      </c>
      <c r="X716" s="19">
        <f t="shared" si="12"/>
        <v>0</v>
      </c>
    </row>
    <row r="717" ht="15.75" customHeight="1">
      <c r="Q717" s="15">
        <f t="shared" si="5"/>
        <v>0</v>
      </c>
      <c r="W717" s="22">
        <f t="shared" si="11"/>
        <v>0</v>
      </c>
      <c r="X717" s="19">
        <f t="shared" si="12"/>
        <v>0</v>
      </c>
    </row>
    <row r="718" ht="15.75" customHeight="1">
      <c r="Q718" s="15">
        <f t="shared" si="5"/>
        <v>0</v>
      </c>
      <c r="W718" s="22">
        <f t="shared" si="11"/>
        <v>0</v>
      </c>
      <c r="X718" s="19">
        <f t="shared" si="12"/>
        <v>0</v>
      </c>
    </row>
    <row r="719" ht="15.75" customHeight="1">
      <c r="Q719" s="15">
        <f t="shared" si="5"/>
        <v>0</v>
      </c>
      <c r="W719" s="22">
        <f t="shared" si="11"/>
        <v>0</v>
      </c>
      <c r="X719" s="19">
        <f t="shared" si="12"/>
        <v>0</v>
      </c>
    </row>
    <row r="720" ht="15.75" customHeight="1">
      <c r="Q720" s="15">
        <f t="shared" si="5"/>
        <v>0</v>
      </c>
      <c r="W720" s="22">
        <f t="shared" si="11"/>
        <v>0</v>
      </c>
      <c r="X720" s="19">
        <f t="shared" si="12"/>
        <v>0</v>
      </c>
    </row>
    <row r="721" ht="15.75" customHeight="1">
      <c r="Q721" s="15">
        <f t="shared" si="5"/>
        <v>0</v>
      </c>
      <c r="W721" s="22">
        <f t="shared" si="11"/>
        <v>0</v>
      </c>
      <c r="X721" s="19">
        <f t="shared" si="12"/>
        <v>0</v>
      </c>
    </row>
    <row r="722" ht="15.75" customHeight="1">
      <c r="Q722" s="15">
        <f t="shared" si="5"/>
        <v>0</v>
      </c>
      <c r="W722" s="22">
        <f t="shared" si="11"/>
        <v>0</v>
      </c>
      <c r="X722" s="19">
        <f t="shared" si="12"/>
        <v>0</v>
      </c>
    </row>
    <row r="723" ht="15.75" customHeight="1">
      <c r="Q723" s="15">
        <f t="shared" si="5"/>
        <v>0</v>
      </c>
      <c r="W723" s="22">
        <f t="shared" si="11"/>
        <v>0</v>
      </c>
      <c r="X723" s="19">
        <f t="shared" si="12"/>
        <v>0</v>
      </c>
    </row>
    <row r="724" ht="15.75" customHeight="1">
      <c r="Q724" s="15">
        <f t="shared" si="5"/>
        <v>0</v>
      </c>
      <c r="W724" s="22">
        <f t="shared" si="11"/>
        <v>0</v>
      </c>
      <c r="X724" s="19">
        <f t="shared" si="12"/>
        <v>0</v>
      </c>
    </row>
    <row r="725" ht="15.75" customHeight="1">
      <c r="Q725" s="15">
        <f t="shared" si="5"/>
        <v>0</v>
      </c>
      <c r="W725" s="22">
        <f t="shared" si="11"/>
        <v>0</v>
      </c>
      <c r="X725" s="19">
        <f t="shared" si="12"/>
        <v>0</v>
      </c>
    </row>
    <row r="726" ht="15.75" customHeight="1">
      <c r="Q726" s="15">
        <f t="shared" si="5"/>
        <v>0</v>
      </c>
      <c r="W726" s="22">
        <f t="shared" si="11"/>
        <v>0</v>
      </c>
      <c r="X726" s="19">
        <f t="shared" si="12"/>
        <v>0</v>
      </c>
    </row>
    <row r="727" ht="15.75" customHeight="1">
      <c r="Q727" s="15">
        <f t="shared" si="5"/>
        <v>0</v>
      </c>
      <c r="W727" s="22">
        <f t="shared" si="11"/>
        <v>0</v>
      </c>
      <c r="X727" s="19">
        <f t="shared" si="12"/>
        <v>0</v>
      </c>
    </row>
    <row r="728" ht="15.75" customHeight="1">
      <c r="Q728" s="15">
        <f t="shared" si="5"/>
        <v>0</v>
      </c>
      <c r="W728" s="22">
        <f t="shared" si="11"/>
        <v>0</v>
      </c>
      <c r="X728" s="19">
        <f t="shared" si="12"/>
        <v>0</v>
      </c>
    </row>
    <row r="729" ht="15.75" customHeight="1">
      <c r="Q729" s="15">
        <f t="shared" si="5"/>
        <v>0</v>
      </c>
      <c r="W729" s="22">
        <f t="shared" si="11"/>
        <v>0</v>
      </c>
      <c r="X729" s="19">
        <f t="shared" si="12"/>
        <v>0</v>
      </c>
    </row>
    <row r="730" ht="15.75" customHeight="1">
      <c r="Q730" s="15">
        <f t="shared" si="5"/>
        <v>0</v>
      </c>
      <c r="W730" s="22">
        <f t="shared" si="11"/>
        <v>0</v>
      </c>
      <c r="X730" s="19">
        <f t="shared" si="12"/>
        <v>0</v>
      </c>
    </row>
    <row r="731" ht="15.75" customHeight="1">
      <c r="Q731" s="15">
        <f t="shared" si="5"/>
        <v>0</v>
      </c>
      <c r="W731" s="22">
        <f t="shared" si="11"/>
        <v>0</v>
      </c>
      <c r="X731" s="19">
        <f t="shared" si="12"/>
        <v>0</v>
      </c>
    </row>
    <row r="732" ht="15.75" customHeight="1">
      <c r="Q732" s="15">
        <f t="shared" si="5"/>
        <v>0</v>
      </c>
      <c r="W732" s="22">
        <f t="shared" si="11"/>
        <v>0</v>
      </c>
      <c r="X732" s="19">
        <f t="shared" si="12"/>
        <v>0</v>
      </c>
    </row>
    <row r="733" ht="15.75" customHeight="1">
      <c r="Q733" s="15">
        <f t="shared" si="5"/>
        <v>0</v>
      </c>
      <c r="W733" s="22">
        <f t="shared" si="11"/>
        <v>0</v>
      </c>
      <c r="X733" s="19">
        <f t="shared" si="12"/>
        <v>0</v>
      </c>
    </row>
    <row r="734" ht="15.75" customHeight="1">
      <c r="Q734" s="15">
        <f t="shared" si="5"/>
        <v>0</v>
      </c>
      <c r="W734" s="22">
        <f t="shared" si="11"/>
        <v>0</v>
      </c>
      <c r="X734" s="19">
        <f t="shared" si="12"/>
        <v>0</v>
      </c>
    </row>
    <row r="735" ht="15.75" customHeight="1">
      <c r="Q735" s="15">
        <f t="shared" si="5"/>
        <v>0</v>
      </c>
      <c r="W735" s="22">
        <f t="shared" si="11"/>
        <v>0</v>
      </c>
      <c r="X735" s="19">
        <f t="shared" si="12"/>
        <v>0</v>
      </c>
    </row>
    <row r="736" ht="15.75" customHeight="1">
      <c r="Q736" s="15">
        <f t="shared" si="5"/>
        <v>0</v>
      </c>
      <c r="W736" s="22">
        <f t="shared" si="11"/>
        <v>0</v>
      </c>
      <c r="X736" s="19">
        <f t="shared" si="12"/>
        <v>0</v>
      </c>
    </row>
    <row r="737" ht="15.75" customHeight="1">
      <c r="Q737" s="15">
        <f t="shared" si="5"/>
        <v>0</v>
      </c>
      <c r="W737" s="22">
        <f t="shared" si="11"/>
        <v>0</v>
      </c>
      <c r="X737" s="19">
        <f t="shared" si="12"/>
        <v>0</v>
      </c>
    </row>
    <row r="738" ht="15.75" customHeight="1">
      <c r="Q738" s="15">
        <f t="shared" si="5"/>
        <v>0</v>
      </c>
      <c r="W738" s="22">
        <f t="shared" si="11"/>
        <v>0</v>
      </c>
      <c r="X738" s="19">
        <f t="shared" si="12"/>
        <v>0</v>
      </c>
    </row>
    <row r="739" ht="15.75" customHeight="1">
      <c r="Q739" s="15">
        <f t="shared" si="5"/>
        <v>0</v>
      </c>
      <c r="W739" s="22">
        <f t="shared" si="11"/>
        <v>0</v>
      </c>
      <c r="X739" s="19">
        <f t="shared" si="12"/>
        <v>0</v>
      </c>
    </row>
    <row r="740" ht="15.75" customHeight="1">
      <c r="Q740" s="15">
        <f t="shared" si="5"/>
        <v>0</v>
      </c>
      <c r="W740" s="22">
        <f t="shared" si="11"/>
        <v>0</v>
      </c>
      <c r="X740" s="19">
        <f t="shared" si="12"/>
        <v>0</v>
      </c>
    </row>
    <row r="741" ht="15.75" customHeight="1">
      <c r="Q741" s="15">
        <f t="shared" si="5"/>
        <v>0</v>
      </c>
      <c r="W741" s="22">
        <f t="shared" si="11"/>
        <v>0</v>
      </c>
      <c r="X741" s="19">
        <f t="shared" si="12"/>
        <v>0</v>
      </c>
    </row>
    <row r="742" ht="15.75" customHeight="1">
      <c r="Q742" s="15">
        <f t="shared" si="5"/>
        <v>0</v>
      </c>
      <c r="W742" s="22">
        <f t="shared" si="11"/>
        <v>0</v>
      </c>
      <c r="X742" s="19">
        <f t="shared" si="12"/>
        <v>0</v>
      </c>
    </row>
    <row r="743" ht="15.75" customHeight="1">
      <c r="Q743" s="15">
        <f t="shared" si="5"/>
        <v>0</v>
      </c>
      <c r="W743" s="22">
        <f t="shared" si="11"/>
        <v>0</v>
      </c>
      <c r="X743" s="19">
        <f t="shared" si="12"/>
        <v>0</v>
      </c>
    </row>
    <row r="744" ht="15.75" customHeight="1">
      <c r="Q744" s="15">
        <f t="shared" si="5"/>
        <v>0</v>
      </c>
      <c r="W744" s="22">
        <f t="shared" si="11"/>
        <v>0</v>
      </c>
      <c r="X744" s="19">
        <f t="shared" si="12"/>
        <v>0</v>
      </c>
    </row>
    <row r="745" ht="15.75" customHeight="1">
      <c r="Q745" s="15">
        <f t="shared" si="5"/>
        <v>0</v>
      </c>
      <c r="W745" s="22">
        <f t="shared" si="11"/>
        <v>0</v>
      </c>
      <c r="X745" s="19">
        <f t="shared" si="12"/>
        <v>0</v>
      </c>
    </row>
    <row r="746" ht="15.75" customHeight="1">
      <c r="Q746" s="15">
        <f t="shared" si="5"/>
        <v>0</v>
      </c>
      <c r="W746" s="22">
        <f t="shared" si="11"/>
        <v>0</v>
      </c>
      <c r="X746" s="19">
        <f t="shared" si="12"/>
        <v>0</v>
      </c>
    </row>
    <row r="747" ht="15.75" customHeight="1">
      <c r="Q747" s="15">
        <f t="shared" si="5"/>
        <v>0</v>
      </c>
      <c r="W747" s="22">
        <f t="shared" si="11"/>
        <v>0</v>
      </c>
      <c r="X747" s="19">
        <f t="shared" si="12"/>
        <v>0</v>
      </c>
    </row>
    <row r="748" ht="15.75" customHeight="1">
      <c r="Q748" s="15">
        <f t="shared" si="5"/>
        <v>0</v>
      </c>
      <c r="W748" s="22">
        <f t="shared" si="11"/>
        <v>0</v>
      </c>
      <c r="X748" s="19">
        <f t="shared" si="12"/>
        <v>0</v>
      </c>
    </row>
    <row r="749" ht="15.75" customHeight="1">
      <c r="Q749" s="15">
        <f t="shared" si="5"/>
        <v>0</v>
      </c>
      <c r="W749" s="22">
        <f t="shared" si="11"/>
        <v>0</v>
      </c>
      <c r="X749" s="19">
        <f t="shared" si="12"/>
        <v>0</v>
      </c>
    </row>
    <row r="750" ht="15.75" customHeight="1">
      <c r="Q750" s="15">
        <f t="shared" si="5"/>
        <v>0</v>
      </c>
      <c r="W750" s="22">
        <f t="shared" si="11"/>
        <v>0</v>
      </c>
      <c r="X750" s="19">
        <f t="shared" si="12"/>
        <v>0</v>
      </c>
    </row>
    <row r="751" ht="15.75" customHeight="1">
      <c r="Q751" s="15">
        <f t="shared" si="5"/>
        <v>0</v>
      </c>
      <c r="W751" s="22">
        <f t="shared" si="11"/>
        <v>0</v>
      </c>
      <c r="X751" s="19">
        <f t="shared" si="12"/>
        <v>0</v>
      </c>
    </row>
    <row r="752" ht="15.75" customHeight="1">
      <c r="Q752" s="15">
        <f t="shared" si="5"/>
        <v>0</v>
      </c>
      <c r="W752" s="22">
        <f t="shared" si="11"/>
        <v>0</v>
      </c>
      <c r="X752" s="19">
        <f t="shared" si="12"/>
        <v>0</v>
      </c>
    </row>
    <row r="753" ht="15.75" customHeight="1">
      <c r="Q753" s="15">
        <f t="shared" si="5"/>
        <v>0</v>
      </c>
      <c r="W753" s="22">
        <f t="shared" si="11"/>
        <v>0</v>
      </c>
      <c r="X753" s="19">
        <f t="shared" si="12"/>
        <v>0</v>
      </c>
    </row>
    <row r="754" ht="15.75" customHeight="1">
      <c r="Q754" s="15">
        <f t="shared" si="5"/>
        <v>0</v>
      </c>
      <c r="W754" s="22">
        <f t="shared" si="11"/>
        <v>0</v>
      </c>
      <c r="X754" s="19">
        <f t="shared" si="12"/>
        <v>0</v>
      </c>
    </row>
    <row r="755" ht="15.75" customHeight="1">
      <c r="Q755" s="15">
        <f t="shared" si="5"/>
        <v>0</v>
      </c>
      <c r="W755" s="22">
        <f t="shared" si="11"/>
        <v>0</v>
      </c>
      <c r="X755" s="19">
        <f t="shared" si="12"/>
        <v>0</v>
      </c>
    </row>
    <row r="756" ht="15.75" customHeight="1">
      <c r="Q756" s="15">
        <f t="shared" si="5"/>
        <v>0</v>
      </c>
      <c r="W756" s="22">
        <f t="shared" si="11"/>
        <v>0</v>
      </c>
      <c r="X756" s="19">
        <f t="shared" si="12"/>
        <v>0</v>
      </c>
    </row>
    <row r="757" ht="15.75" customHeight="1">
      <c r="Q757" s="15">
        <f t="shared" si="5"/>
        <v>0</v>
      </c>
      <c r="W757" s="22">
        <f t="shared" si="11"/>
        <v>0</v>
      </c>
      <c r="X757" s="19">
        <f t="shared" si="12"/>
        <v>0</v>
      </c>
    </row>
    <row r="758" ht="15.75" customHeight="1">
      <c r="Q758" s="15">
        <f t="shared" si="5"/>
        <v>0</v>
      </c>
      <c r="W758" s="22">
        <f t="shared" si="11"/>
        <v>0</v>
      </c>
      <c r="X758" s="19">
        <f t="shared" si="12"/>
        <v>0</v>
      </c>
    </row>
    <row r="759" ht="15.75" customHeight="1">
      <c r="Q759" s="15">
        <f t="shared" si="5"/>
        <v>0</v>
      </c>
      <c r="W759" s="22">
        <f t="shared" si="11"/>
        <v>0</v>
      </c>
      <c r="X759" s="19">
        <f t="shared" si="12"/>
        <v>0</v>
      </c>
    </row>
    <row r="760" ht="15.75" customHeight="1">
      <c r="Q760" s="15">
        <f t="shared" si="5"/>
        <v>0</v>
      </c>
      <c r="W760" s="22">
        <f t="shared" si="11"/>
        <v>0</v>
      </c>
      <c r="X760" s="19">
        <f t="shared" si="12"/>
        <v>0</v>
      </c>
    </row>
    <row r="761" ht="15.75" customHeight="1">
      <c r="Q761" s="15">
        <f t="shared" si="5"/>
        <v>0</v>
      </c>
      <c r="W761" s="22">
        <f t="shared" si="11"/>
        <v>0</v>
      </c>
      <c r="X761" s="19">
        <f t="shared" si="12"/>
        <v>0</v>
      </c>
    </row>
    <row r="762" ht="15.75" customHeight="1">
      <c r="Q762" s="15">
        <f t="shared" si="5"/>
        <v>0</v>
      </c>
      <c r="W762" s="22">
        <f t="shared" si="11"/>
        <v>0</v>
      </c>
      <c r="X762" s="19">
        <f t="shared" si="12"/>
        <v>0</v>
      </c>
    </row>
    <row r="763" ht="15.75" customHeight="1">
      <c r="Q763" s="15">
        <f t="shared" si="5"/>
        <v>0</v>
      </c>
      <c r="W763" s="22">
        <f t="shared" si="11"/>
        <v>0</v>
      </c>
      <c r="X763" s="19">
        <f t="shared" si="12"/>
        <v>0</v>
      </c>
    </row>
    <row r="764" ht="15.75" customHeight="1">
      <c r="Q764" s="15">
        <f t="shared" si="5"/>
        <v>0</v>
      </c>
      <c r="W764" s="22">
        <f t="shared" si="11"/>
        <v>0</v>
      </c>
      <c r="X764" s="19">
        <f t="shared" si="12"/>
        <v>0</v>
      </c>
    </row>
    <row r="765" ht="15.75" customHeight="1">
      <c r="Q765" s="15">
        <f t="shared" si="5"/>
        <v>0</v>
      </c>
      <c r="W765" s="22">
        <f t="shared" si="11"/>
        <v>0</v>
      </c>
      <c r="X765" s="19">
        <f t="shared" si="12"/>
        <v>0</v>
      </c>
    </row>
    <row r="766" ht="15.75" customHeight="1">
      <c r="Q766" s="15">
        <f t="shared" si="5"/>
        <v>0</v>
      </c>
      <c r="W766" s="22">
        <f t="shared" si="11"/>
        <v>0</v>
      </c>
      <c r="X766" s="19">
        <f t="shared" si="12"/>
        <v>0</v>
      </c>
    </row>
    <row r="767" ht="15.75" customHeight="1">
      <c r="Q767" s="15">
        <f t="shared" si="5"/>
        <v>0</v>
      </c>
      <c r="W767" s="22">
        <f t="shared" si="11"/>
        <v>0</v>
      </c>
      <c r="X767" s="19">
        <f t="shared" si="12"/>
        <v>0</v>
      </c>
    </row>
    <row r="768" ht="15.75" customHeight="1">
      <c r="Q768" s="15">
        <f t="shared" si="5"/>
        <v>0</v>
      </c>
      <c r="W768" s="22">
        <f t="shared" si="11"/>
        <v>0</v>
      </c>
      <c r="X768" s="19">
        <f t="shared" si="12"/>
        <v>0</v>
      </c>
    </row>
    <row r="769" ht="15.75" customHeight="1">
      <c r="Q769" s="15">
        <f t="shared" si="5"/>
        <v>0</v>
      </c>
      <c r="W769" s="22">
        <f t="shared" si="11"/>
        <v>0</v>
      </c>
      <c r="X769" s="19">
        <f t="shared" si="12"/>
        <v>0</v>
      </c>
    </row>
    <row r="770" ht="15.75" customHeight="1">
      <c r="Q770" s="15">
        <f t="shared" si="5"/>
        <v>0</v>
      </c>
      <c r="W770" s="22">
        <f t="shared" si="11"/>
        <v>0</v>
      </c>
      <c r="X770" s="19">
        <f t="shared" si="12"/>
        <v>0</v>
      </c>
    </row>
    <row r="771" ht="15.75" customHeight="1">
      <c r="Q771" s="15">
        <f t="shared" si="5"/>
        <v>0</v>
      </c>
      <c r="W771" s="22">
        <f t="shared" si="11"/>
        <v>0</v>
      </c>
      <c r="X771" s="19">
        <f t="shared" si="12"/>
        <v>0</v>
      </c>
    </row>
    <row r="772" ht="15.75" customHeight="1">
      <c r="Q772" s="15">
        <f t="shared" si="5"/>
        <v>0</v>
      </c>
      <c r="W772" s="22">
        <f t="shared" si="11"/>
        <v>0</v>
      </c>
      <c r="X772" s="19">
        <f t="shared" si="12"/>
        <v>0</v>
      </c>
    </row>
    <row r="773" ht="15.75" customHeight="1">
      <c r="Q773" s="15">
        <f t="shared" si="5"/>
        <v>0</v>
      </c>
      <c r="W773" s="22">
        <f t="shared" si="11"/>
        <v>0</v>
      </c>
      <c r="X773" s="19">
        <f t="shared" si="12"/>
        <v>0</v>
      </c>
    </row>
    <row r="774" ht="15.75" customHeight="1">
      <c r="Q774" s="15">
        <f t="shared" si="5"/>
        <v>0</v>
      </c>
      <c r="W774" s="22">
        <f t="shared" si="11"/>
        <v>0</v>
      </c>
      <c r="X774" s="19">
        <f t="shared" si="12"/>
        <v>0</v>
      </c>
    </row>
    <row r="775" ht="15.75" customHeight="1">
      <c r="Q775" s="15">
        <f t="shared" si="5"/>
        <v>0</v>
      </c>
      <c r="W775" s="22">
        <f t="shared" si="11"/>
        <v>0</v>
      </c>
      <c r="X775" s="19">
        <f t="shared" si="12"/>
        <v>0</v>
      </c>
    </row>
    <row r="776" ht="15.75" customHeight="1">
      <c r="Q776" s="15">
        <f t="shared" si="5"/>
        <v>0</v>
      </c>
      <c r="W776" s="22">
        <f t="shared" si="11"/>
        <v>0</v>
      </c>
      <c r="X776" s="19">
        <f t="shared" si="12"/>
        <v>0</v>
      </c>
    </row>
    <row r="777" ht="15.75" customHeight="1">
      <c r="Q777" s="15">
        <f t="shared" si="5"/>
        <v>0</v>
      </c>
      <c r="W777" s="22">
        <f t="shared" si="11"/>
        <v>0</v>
      </c>
      <c r="X777" s="19">
        <f t="shared" si="12"/>
        <v>0</v>
      </c>
    </row>
    <row r="778" ht="15.75" customHeight="1">
      <c r="Q778" s="15">
        <f t="shared" si="5"/>
        <v>0</v>
      </c>
      <c r="W778" s="22">
        <f t="shared" si="11"/>
        <v>0</v>
      </c>
      <c r="X778" s="19">
        <f t="shared" si="12"/>
        <v>0</v>
      </c>
    </row>
    <row r="779" ht="15.75" customHeight="1">
      <c r="Q779" s="15">
        <f t="shared" si="5"/>
        <v>0</v>
      </c>
      <c r="W779" s="22">
        <f t="shared" si="11"/>
        <v>0</v>
      </c>
      <c r="X779" s="19">
        <f t="shared" si="12"/>
        <v>0</v>
      </c>
    </row>
    <row r="780" ht="15.75" customHeight="1">
      <c r="Q780" s="15">
        <f t="shared" si="5"/>
        <v>0</v>
      </c>
      <c r="W780" s="22">
        <f t="shared" si="11"/>
        <v>0</v>
      </c>
      <c r="X780" s="19">
        <f t="shared" si="12"/>
        <v>0</v>
      </c>
    </row>
    <row r="781" ht="15.75" customHeight="1">
      <c r="Q781" s="15">
        <f t="shared" si="5"/>
        <v>0</v>
      </c>
      <c r="W781" s="22">
        <f t="shared" si="11"/>
        <v>0</v>
      </c>
      <c r="X781" s="19">
        <f t="shared" si="12"/>
        <v>0</v>
      </c>
    </row>
    <row r="782" ht="15.75" customHeight="1">
      <c r="Q782" s="15">
        <f t="shared" si="5"/>
        <v>0</v>
      </c>
      <c r="W782" s="22">
        <f t="shared" si="11"/>
        <v>0</v>
      </c>
      <c r="X782" s="19">
        <f t="shared" si="12"/>
        <v>0</v>
      </c>
    </row>
    <row r="783" ht="15.75" customHeight="1">
      <c r="Q783" s="15">
        <f t="shared" si="5"/>
        <v>0</v>
      </c>
      <c r="W783" s="22">
        <f t="shared" si="11"/>
        <v>0</v>
      </c>
      <c r="X783" s="19">
        <f t="shared" si="12"/>
        <v>0</v>
      </c>
    </row>
    <row r="784" ht="15.75" customHeight="1">
      <c r="Q784" s="15">
        <f t="shared" si="5"/>
        <v>0</v>
      </c>
      <c r="W784" s="22">
        <f t="shared" si="11"/>
        <v>0</v>
      </c>
      <c r="X784" s="19">
        <f t="shared" si="12"/>
        <v>0</v>
      </c>
    </row>
    <row r="785" ht="15.75" customHeight="1">
      <c r="Q785" s="15">
        <f t="shared" si="5"/>
        <v>0</v>
      </c>
      <c r="W785" s="22">
        <f t="shared" si="11"/>
        <v>0</v>
      </c>
      <c r="X785" s="19">
        <f t="shared" si="12"/>
        <v>0</v>
      </c>
    </row>
    <row r="786" ht="15.75" customHeight="1">
      <c r="Q786" s="15">
        <f t="shared" si="5"/>
        <v>0</v>
      </c>
      <c r="W786" s="22">
        <f t="shared" si="11"/>
        <v>0</v>
      </c>
      <c r="X786" s="19">
        <f t="shared" si="12"/>
        <v>0</v>
      </c>
    </row>
    <row r="787" ht="15.75" customHeight="1">
      <c r="Q787" s="15">
        <f t="shared" si="5"/>
        <v>0</v>
      </c>
      <c r="W787" s="22">
        <f t="shared" si="11"/>
        <v>0</v>
      </c>
      <c r="X787" s="19">
        <f t="shared" si="12"/>
        <v>0</v>
      </c>
    </row>
    <row r="788" ht="15.75" customHeight="1">
      <c r="Q788" s="15">
        <f t="shared" si="5"/>
        <v>0</v>
      </c>
      <c r="W788" s="22">
        <f t="shared" si="11"/>
        <v>0</v>
      </c>
      <c r="X788" s="19">
        <f t="shared" si="12"/>
        <v>0</v>
      </c>
    </row>
    <row r="789" ht="15.75" customHeight="1">
      <c r="Q789" s="15">
        <f t="shared" si="5"/>
        <v>0</v>
      </c>
      <c r="W789" s="22">
        <f t="shared" si="11"/>
        <v>0</v>
      </c>
      <c r="X789" s="19">
        <f t="shared" si="12"/>
        <v>0</v>
      </c>
    </row>
    <row r="790" ht="15.75" customHeight="1">
      <c r="Q790" s="15">
        <f t="shared" si="5"/>
        <v>0</v>
      </c>
      <c r="W790" s="22">
        <f t="shared" si="11"/>
        <v>0</v>
      </c>
      <c r="X790" s="19">
        <f t="shared" si="12"/>
        <v>0</v>
      </c>
    </row>
    <row r="791" ht="15.75" customHeight="1">
      <c r="Q791" s="15">
        <f t="shared" si="5"/>
        <v>0</v>
      </c>
      <c r="W791" s="22">
        <f t="shared" si="11"/>
        <v>0</v>
      </c>
      <c r="X791" s="19">
        <f t="shared" si="12"/>
        <v>0</v>
      </c>
    </row>
    <row r="792" ht="15.75" customHeight="1">
      <c r="Q792" s="15">
        <f t="shared" si="5"/>
        <v>0</v>
      </c>
      <c r="W792" s="22">
        <f t="shared" si="11"/>
        <v>0</v>
      </c>
      <c r="X792" s="19">
        <f t="shared" si="12"/>
        <v>0</v>
      </c>
    </row>
    <row r="793" ht="15.75" customHeight="1">
      <c r="Q793" s="15">
        <f t="shared" si="5"/>
        <v>0</v>
      </c>
      <c r="W793" s="22">
        <f t="shared" si="11"/>
        <v>0</v>
      </c>
      <c r="X793" s="19">
        <f t="shared" si="12"/>
        <v>0</v>
      </c>
    </row>
    <row r="794" ht="15.75" customHeight="1">
      <c r="Q794" s="15">
        <f t="shared" si="5"/>
        <v>0</v>
      </c>
      <c r="W794" s="22">
        <f t="shared" si="11"/>
        <v>0</v>
      </c>
      <c r="X794" s="19">
        <f t="shared" si="12"/>
        <v>0</v>
      </c>
    </row>
    <row r="795" ht="15.75" customHeight="1">
      <c r="Q795" s="15">
        <f t="shared" si="5"/>
        <v>0</v>
      </c>
      <c r="W795" s="22">
        <f t="shared" si="11"/>
        <v>0</v>
      </c>
      <c r="X795" s="19">
        <f t="shared" si="12"/>
        <v>0</v>
      </c>
    </row>
    <row r="796" ht="15.75" customHeight="1">
      <c r="Q796" s="15">
        <f t="shared" si="5"/>
        <v>0</v>
      </c>
      <c r="W796" s="22">
        <f t="shared" si="11"/>
        <v>0</v>
      </c>
      <c r="X796" s="19">
        <f t="shared" si="12"/>
        <v>0</v>
      </c>
    </row>
    <row r="797" ht="15.75" customHeight="1">
      <c r="Q797" s="15">
        <f t="shared" si="5"/>
        <v>0</v>
      </c>
      <c r="W797" s="22">
        <f t="shared" si="11"/>
        <v>0</v>
      </c>
      <c r="X797" s="19">
        <f t="shared" si="12"/>
        <v>0</v>
      </c>
    </row>
    <row r="798" ht="15.75" customHeight="1">
      <c r="Q798" s="15">
        <f t="shared" si="5"/>
        <v>0</v>
      </c>
      <c r="W798" s="22">
        <f t="shared" si="11"/>
        <v>0</v>
      </c>
      <c r="X798" s="19">
        <f t="shared" si="12"/>
        <v>0</v>
      </c>
    </row>
    <row r="799" ht="15.75" customHeight="1">
      <c r="Q799" s="15">
        <f t="shared" si="5"/>
        <v>0</v>
      </c>
      <c r="W799" s="22">
        <f t="shared" si="11"/>
        <v>0</v>
      </c>
      <c r="X799" s="19">
        <f t="shared" si="12"/>
        <v>0</v>
      </c>
    </row>
    <row r="800" ht="15.75" customHeight="1">
      <c r="Q800" s="15">
        <f t="shared" si="5"/>
        <v>0</v>
      </c>
      <c r="W800" s="22">
        <f t="shared" si="11"/>
        <v>0</v>
      </c>
      <c r="X800" s="19">
        <f t="shared" si="12"/>
        <v>0</v>
      </c>
    </row>
    <row r="801" ht="15.75" customHeight="1">
      <c r="Q801" s="15">
        <f t="shared" si="5"/>
        <v>0</v>
      </c>
      <c r="W801" s="22">
        <f t="shared" si="11"/>
        <v>0</v>
      </c>
      <c r="X801" s="19">
        <f t="shared" si="12"/>
        <v>0</v>
      </c>
    </row>
    <row r="802" ht="15.75" customHeight="1">
      <c r="Q802" s="15">
        <f t="shared" si="5"/>
        <v>0</v>
      </c>
      <c r="W802" s="22">
        <f t="shared" si="11"/>
        <v>0</v>
      </c>
      <c r="X802" s="19">
        <f t="shared" si="12"/>
        <v>0</v>
      </c>
    </row>
    <row r="803" ht="15.75" customHeight="1">
      <c r="Q803" s="15">
        <f t="shared" si="5"/>
        <v>0</v>
      </c>
      <c r="W803" s="22">
        <f t="shared" si="11"/>
        <v>0</v>
      </c>
      <c r="X803" s="19">
        <f t="shared" si="12"/>
        <v>0</v>
      </c>
    </row>
    <row r="804" ht="15.75" customHeight="1">
      <c r="Q804" s="15">
        <f t="shared" si="5"/>
        <v>0</v>
      </c>
      <c r="W804" s="22">
        <f t="shared" si="11"/>
        <v>0</v>
      </c>
      <c r="X804" s="19">
        <f t="shared" si="12"/>
        <v>0</v>
      </c>
    </row>
    <row r="805" ht="15.75" customHeight="1">
      <c r="Q805" s="15">
        <f t="shared" si="5"/>
        <v>0</v>
      </c>
      <c r="W805" s="22">
        <f t="shared" si="11"/>
        <v>0</v>
      </c>
      <c r="X805" s="19">
        <f t="shared" si="12"/>
        <v>0</v>
      </c>
    </row>
    <row r="806" ht="15.75" customHeight="1">
      <c r="Q806" s="15">
        <f t="shared" si="5"/>
        <v>0</v>
      </c>
      <c r="W806" s="22">
        <f t="shared" si="11"/>
        <v>0</v>
      </c>
      <c r="X806" s="19">
        <f t="shared" si="12"/>
        <v>0</v>
      </c>
    </row>
    <row r="807" ht="15.75" customHeight="1">
      <c r="Q807" s="15">
        <f t="shared" si="5"/>
        <v>0</v>
      </c>
      <c r="W807" s="22">
        <f t="shared" si="11"/>
        <v>0</v>
      </c>
      <c r="X807" s="19">
        <f t="shared" si="12"/>
        <v>0</v>
      </c>
    </row>
    <row r="808" ht="15.75" customHeight="1">
      <c r="Q808" s="15">
        <f t="shared" si="5"/>
        <v>0</v>
      </c>
      <c r="W808" s="22">
        <f t="shared" si="11"/>
        <v>0</v>
      </c>
      <c r="X808" s="19">
        <f t="shared" si="12"/>
        <v>0</v>
      </c>
    </row>
    <row r="809" ht="15.75" customHeight="1">
      <c r="Q809" s="15">
        <f t="shared" si="5"/>
        <v>0</v>
      </c>
      <c r="W809" s="22">
        <f t="shared" si="11"/>
        <v>0</v>
      </c>
      <c r="X809" s="19">
        <f t="shared" si="12"/>
        <v>0</v>
      </c>
    </row>
    <row r="810" ht="15.75" customHeight="1">
      <c r="Q810" s="15">
        <f t="shared" si="5"/>
        <v>0</v>
      </c>
      <c r="W810" s="22">
        <f t="shared" si="11"/>
        <v>0</v>
      </c>
      <c r="X810" s="19">
        <f t="shared" si="12"/>
        <v>0</v>
      </c>
    </row>
    <row r="811" ht="15.75" customHeight="1">
      <c r="Q811" s="15">
        <f t="shared" si="5"/>
        <v>0</v>
      </c>
      <c r="W811" s="22">
        <f t="shared" si="11"/>
        <v>0</v>
      </c>
      <c r="X811" s="19">
        <f t="shared" si="12"/>
        <v>0</v>
      </c>
    </row>
    <row r="812" ht="15.75" customHeight="1">
      <c r="Q812" s="15">
        <f t="shared" si="5"/>
        <v>0</v>
      </c>
      <c r="W812" s="22">
        <f t="shared" si="11"/>
        <v>0</v>
      </c>
      <c r="X812" s="19">
        <f t="shared" si="12"/>
        <v>0</v>
      </c>
    </row>
    <row r="813" ht="15.75" customHeight="1">
      <c r="Q813" s="15">
        <f t="shared" si="5"/>
        <v>0</v>
      </c>
      <c r="W813" s="22">
        <f t="shared" si="11"/>
        <v>0</v>
      </c>
      <c r="X813" s="19">
        <f t="shared" si="12"/>
        <v>0</v>
      </c>
    </row>
    <row r="814" ht="15.75" customHeight="1">
      <c r="Q814" s="15">
        <f t="shared" si="5"/>
        <v>0</v>
      </c>
      <c r="W814" s="22">
        <f t="shared" si="11"/>
        <v>0</v>
      </c>
      <c r="X814" s="19">
        <f t="shared" si="12"/>
        <v>0</v>
      </c>
    </row>
    <row r="815" ht="15.75" customHeight="1">
      <c r="Q815" s="15">
        <f t="shared" si="5"/>
        <v>0</v>
      </c>
      <c r="W815" s="22">
        <f t="shared" si="11"/>
        <v>0</v>
      </c>
      <c r="X815" s="19">
        <f t="shared" si="12"/>
        <v>0</v>
      </c>
    </row>
    <row r="816" ht="15.75" customHeight="1">
      <c r="Q816" s="15">
        <f t="shared" si="5"/>
        <v>0</v>
      </c>
      <c r="W816" s="22">
        <f t="shared" si="11"/>
        <v>0</v>
      </c>
      <c r="X816" s="19">
        <f t="shared" si="12"/>
        <v>0</v>
      </c>
    </row>
    <row r="817" ht="15.75" customHeight="1">
      <c r="Q817" s="15">
        <f t="shared" si="5"/>
        <v>0</v>
      </c>
      <c r="W817" s="22">
        <f t="shared" si="11"/>
        <v>0</v>
      </c>
      <c r="X817" s="19">
        <f t="shared" si="12"/>
        <v>0</v>
      </c>
    </row>
    <row r="818" ht="15.75" customHeight="1">
      <c r="Q818" s="15">
        <f t="shared" si="5"/>
        <v>0</v>
      </c>
      <c r="W818" s="22">
        <f t="shared" si="11"/>
        <v>0</v>
      </c>
      <c r="X818" s="19">
        <f t="shared" si="12"/>
        <v>0</v>
      </c>
    </row>
    <row r="819" ht="15.75" customHeight="1">
      <c r="Q819" s="15">
        <f t="shared" si="5"/>
        <v>0</v>
      </c>
      <c r="W819" s="22">
        <f t="shared" si="11"/>
        <v>0</v>
      </c>
      <c r="X819" s="19">
        <f t="shared" si="12"/>
        <v>0</v>
      </c>
    </row>
    <row r="820" ht="15.75" customHeight="1">
      <c r="Q820" s="15">
        <f t="shared" si="5"/>
        <v>0</v>
      </c>
      <c r="W820" s="22">
        <f t="shared" si="11"/>
        <v>0</v>
      </c>
      <c r="X820" s="19">
        <f t="shared" si="12"/>
        <v>0</v>
      </c>
    </row>
    <row r="821" ht="15.75" customHeight="1">
      <c r="Q821" s="15">
        <f t="shared" si="5"/>
        <v>0</v>
      </c>
      <c r="W821" s="22">
        <f t="shared" si="11"/>
        <v>0</v>
      </c>
      <c r="X821" s="19">
        <f t="shared" si="12"/>
        <v>0</v>
      </c>
    </row>
    <row r="822" ht="15.75" customHeight="1">
      <c r="Q822" s="15">
        <f t="shared" si="5"/>
        <v>0</v>
      </c>
      <c r="W822" s="22">
        <f t="shared" si="11"/>
        <v>0</v>
      </c>
      <c r="X822" s="19">
        <f t="shared" si="12"/>
        <v>0</v>
      </c>
    </row>
    <row r="823" ht="15.75" customHeight="1">
      <c r="Q823" s="15">
        <f t="shared" si="5"/>
        <v>0</v>
      </c>
      <c r="W823" s="22">
        <f t="shared" si="11"/>
        <v>0</v>
      </c>
      <c r="X823" s="19">
        <f t="shared" si="12"/>
        <v>0</v>
      </c>
    </row>
    <row r="824" ht="15.75" customHeight="1">
      <c r="Q824" s="15">
        <f t="shared" si="5"/>
        <v>0</v>
      </c>
      <c r="W824" s="22">
        <f t="shared" si="11"/>
        <v>0</v>
      </c>
      <c r="X824" s="19">
        <f t="shared" si="12"/>
        <v>0</v>
      </c>
    </row>
    <row r="825" ht="15.75" customHeight="1">
      <c r="Q825" s="15">
        <f t="shared" si="5"/>
        <v>0</v>
      </c>
      <c r="W825" s="22">
        <f t="shared" si="11"/>
        <v>0</v>
      </c>
      <c r="X825" s="19">
        <f t="shared" si="12"/>
        <v>0</v>
      </c>
    </row>
    <row r="826" ht="15.75" customHeight="1">
      <c r="Q826" s="15">
        <f t="shared" si="5"/>
        <v>0</v>
      </c>
      <c r="W826" s="22">
        <f t="shared" si="11"/>
        <v>0</v>
      </c>
      <c r="X826" s="19">
        <f t="shared" si="12"/>
        <v>0</v>
      </c>
    </row>
    <row r="827" ht="15.75" customHeight="1">
      <c r="Q827" s="15">
        <f t="shared" si="5"/>
        <v>0</v>
      </c>
      <c r="W827" s="22">
        <f t="shared" si="11"/>
        <v>0</v>
      </c>
      <c r="X827" s="19">
        <f t="shared" si="12"/>
        <v>0</v>
      </c>
    </row>
    <row r="828" ht="15.75" customHeight="1">
      <c r="Q828" s="15">
        <f t="shared" si="5"/>
        <v>0</v>
      </c>
      <c r="W828" s="22">
        <f t="shared" si="11"/>
        <v>0</v>
      </c>
      <c r="X828" s="19">
        <f t="shared" si="12"/>
        <v>0</v>
      </c>
    </row>
    <row r="829" ht="15.75" customHeight="1">
      <c r="Q829" s="15">
        <f t="shared" si="5"/>
        <v>0</v>
      </c>
      <c r="W829" s="22">
        <f t="shared" si="11"/>
        <v>0</v>
      </c>
      <c r="X829" s="19">
        <f t="shared" si="12"/>
        <v>0</v>
      </c>
    </row>
    <row r="830" ht="15.75" customHeight="1">
      <c r="Q830" s="15">
        <f t="shared" si="5"/>
        <v>0</v>
      </c>
      <c r="W830" s="22">
        <f t="shared" si="11"/>
        <v>0</v>
      </c>
      <c r="X830" s="19">
        <f t="shared" si="12"/>
        <v>0</v>
      </c>
    </row>
    <row r="831" ht="15.75" customHeight="1">
      <c r="Q831" s="15">
        <f t="shared" si="5"/>
        <v>0</v>
      </c>
      <c r="W831" s="22">
        <f t="shared" si="11"/>
        <v>0</v>
      </c>
      <c r="X831" s="19">
        <f t="shared" si="12"/>
        <v>0</v>
      </c>
    </row>
    <row r="832" ht="15.75" customHeight="1">
      <c r="Q832" s="15">
        <f t="shared" si="5"/>
        <v>0</v>
      </c>
      <c r="W832" s="22">
        <f t="shared" si="11"/>
        <v>0</v>
      </c>
      <c r="X832" s="19">
        <f t="shared" si="12"/>
        <v>0</v>
      </c>
    </row>
    <row r="833" ht="15.75" customHeight="1">
      <c r="Q833" s="15">
        <f t="shared" si="5"/>
        <v>0</v>
      </c>
      <c r="W833" s="22">
        <f t="shared" si="11"/>
        <v>0</v>
      </c>
      <c r="X833" s="19">
        <f t="shared" si="12"/>
        <v>0</v>
      </c>
    </row>
    <row r="834" ht="15.75" customHeight="1">
      <c r="Q834" s="15">
        <f t="shared" si="5"/>
        <v>0</v>
      </c>
      <c r="W834" s="22">
        <f t="shared" si="11"/>
        <v>0</v>
      </c>
      <c r="X834" s="19">
        <f t="shared" si="12"/>
        <v>0</v>
      </c>
    </row>
    <row r="835" ht="15.75" customHeight="1">
      <c r="Q835" s="15">
        <f t="shared" si="5"/>
        <v>0</v>
      </c>
      <c r="W835" s="22">
        <f t="shared" si="11"/>
        <v>0</v>
      </c>
      <c r="X835" s="19">
        <f t="shared" si="12"/>
        <v>0</v>
      </c>
    </row>
    <row r="836" ht="15.75" customHeight="1">
      <c r="Q836" s="15">
        <f t="shared" si="5"/>
        <v>0</v>
      </c>
      <c r="W836" s="22">
        <f t="shared" si="11"/>
        <v>0</v>
      </c>
      <c r="X836" s="19">
        <f t="shared" si="12"/>
        <v>0</v>
      </c>
    </row>
    <row r="837" ht="15.75" customHeight="1">
      <c r="Q837" s="15">
        <f t="shared" si="5"/>
        <v>0</v>
      </c>
      <c r="W837" s="22">
        <f t="shared" si="11"/>
        <v>0</v>
      </c>
      <c r="X837" s="19">
        <f t="shared" si="12"/>
        <v>0</v>
      </c>
    </row>
    <row r="838" ht="15.75" customHeight="1">
      <c r="Q838" s="15">
        <f t="shared" si="5"/>
        <v>0</v>
      </c>
      <c r="W838" s="22">
        <f t="shared" si="11"/>
        <v>0</v>
      </c>
      <c r="X838" s="19">
        <f t="shared" si="12"/>
        <v>0</v>
      </c>
    </row>
    <row r="839" ht="15.75" customHeight="1">
      <c r="Q839" s="15">
        <f t="shared" si="5"/>
        <v>0</v>
      </c>
      <c r="W839" s="22">
        <f t="shared" si="11"/>
        <v>0</v>
      </c>
      <c r="X839" s="19">
        <f t="shared" si="12"/>
        <v>0</v>
      </c>
    </row>
    <row r="840" ht="15.75" customHeight="1">
      <c r="Q840" s="15">
        <f t="shared" si="5"/>
        <v>0</v>
      </c>
      <c r="W840" s="22">
        <f t="shared" si="11"/>
        <v>0</v>
      </c>
      <c r="X840" s="19">
        <f t="shared" si="12"/>
        <v>0</v>
      </c>
    </row>
    <row r="841" ht="15.75" customHeight="1">
      <c r="Q841" s="15">
        <f t="shared" si="5"/>
        <v>0</v>
      </c>
      <c r="W841" s="22">
        <f t="shared" si="11"/>
        <v>0</v>
      </c>
      <c r="X841" s="19">
        <f t="shared" si="12"/>
        <v>0</v>
      </c>
    </row>
    <row r="842" ht="15.75" customHeight="1">
      <c r="Q842" s="15">
        <f t="shared" si="5"/>
        <v>0</v>
      </c>
      <c r="W842" s="22">
        <f t="shared" si="11"/>
        <v>0</v>
      </c>
      <c r="X842" s="19">
        <f t="shared" si="12"/>
        <v>0</v>
      </c>
    </row>
    <row r="843" ht="15.75" customHeight="1">
      <c r="Q843" s="15">
        <f t="shared" si="5"/>
        <v>0</v>
      </c>
      <c r="W843" s="22">
        <f t="shared" si="11"/>
        <v>0</v>
      </c>
      <c r="X843" s="19">
        <f t="shared" si="12"/>
        <v>0</v>
      </c>
    </row>
    <row r="844" ht="15.75" customHeight="1">
      <c r="Q844" s="15">
        <f t="shared" si="5"/>
        <v>0</v>
      </c>
      <c r="W844" s="22">
        <f t="shared" si="11"/>
        <v>0</v>
      </c>
      <c r="X844" s="19">
        <f t="shared" si="12"/>
        <v>0</v>
      </c>
    </row>
    <row r="845" ht="15.75" customHeight="1">
      <c r="Q845" s="15">
        <f t="shared" si="5"/>
        <v>0</v>
      </c>
      <c r="W845" s="22">
        <f t="shared" si="11"/>
        <v>0</v>
      </c>
      <c r="X845" s="19">
        <f t="shared" si="12"/>
        <v>0</v>
      </c>
    </row>
    <row r="846" ht="15.75" customHeight="1">
      <c r="Q846" s="15">
        <f t="shared" si="5"/>
        <v>0</v>
      </c>
      <c r="W846" s="22">
        <f t="shared" si="11"/>
        <v>0</v>
      </c>
      <c r="X846" s="19">
        <f t="shared" si="12"/>
        <v>0</v>
      </c>
    </row>
    <row r="847" ht="15.75" customHeight="1">
      <c r="Q847" s="15">
        <f t="shared" si="5"/>
        <v>0</v>
      </c>
      <c r="W847" s="22">
        <f t="shared" si="11"/>
        <v>0</v>
      </c>
      <c r="X847" s="19">
        <f t="shared" si="12"/>
        <v>0</v>
      </c>
    </row>
    <row r="848" ht="15.75" customHeight="1">
      <c r="Q848" s="15">
        <f t="shared" si="5"/>
        <v>0</v>
      </c>
      <c r="W848" s="22">
        <f t="shared" si="11"/>
        <v>0</v>
      </c>
      <c r="X848" s="19">
        <f t="shared" si="12"/>
        <v>0</v>
      </c>
    </row>
    <row r="849" ht="15.75" customHeight="1">
      <c r="Q849" s="15">
        <f t="shared" si="5"/>
        <v>0</v>
      </c>
      <c r="W849" s="22">
        <f t="shared" si="11"/>
        <v>0</v>
      </c>
      <c r="X849" s="19">
        <f t="shared" si="12"/>
        <v>0</v>
      </c>
    </row>
    <row r="850" ht="15.75" customHeight="1">
      <c r="Q850" s="15">
        <f t="shared" si="5"/>
        <v>0</v>
      </c>
      <c r="W850" s="22">
        <f t="shared" si="11"/>
        <v>0</v>
      </c>
      <c r="X850" s="19">
        <f t="shared" si="12"/>
        <v>0</v>
      </c>
    </row>
    <row r="851" ht="15.75" customHeight="1">
      <c r="Q851" s="15">
        <f t="shared" si="5"/>
        <v>0</v>
      </c>
      <c r="W851" s="22">
        <f t="shared" si="11"/>
        <v>0</v>
      </c>
      <c r="X851" s="19">
        <f t="shared" si="12"/>
        <v>0</v>
      </c>
    </row>
    <row r="852" ht="15.75" customHeight="1">
      <c r="Q852" s="15">
        <f t="shared" si="5"/>
        <v>0</v>
      </c>
      <c r="W852" s="22">
        <f t="shared" si="11"/>
        <v>0</v>
      </c>
      <c r="X852" s="19">
        <f t="shared" si="12"/>
        <v>0</v>
      </c>
    </row>
    <row r="853" ht="15.75" customHeight="1">
      <c r="Q853" s="15">
        <f t="shared" si="5"/>
        <v>0</v>
      </c>
      <c r="W853" s="22">
        <f t="shared" si="11"/>
        <v>0</v>
      </c>
      <c r="X853" s="19">
        <f t="shared" si="12"/>
        <v>0</v>
      </c>
    </row>
    <row r="854" ht="15.75" customHeight="1">
      <c r="Q854" s="15">
        <f t="shared" si="5"/>
        <v>0</v>
      </c>
      <c r="W854" s="22">
        <f t="shared" si="11"/>
        <v>0</v>
      </c>
      <c r="X854" s="19">
        <f t="shared" si="12"/>
        <v>0</v>
      </c>
    </row>
    <row r="855" ht="15.75" customHeight="1">
      <c r="Q855" s="15">
        <f t="shared" si="5"/>
        <v>0</v>
      </c>
      <c r="W855" s="22">
        <f t="shared" si="11"/>
        <v>0</v>
      </c>
      <c r="X855" s="19">
        <f t="shared" si="12"/>
        <v>0</v>
      </c>
    </row>
    <row r="856" ht="15.75" customHeight="1">
      <c r="Q856" s="15">
        <f t="shared" si="5"/>
        <v>0</v>
      </c>
      <c r="W856" s="22">
        <f t="shared" si="11"/>
        <v>0</v>
      </c>
      <c r="X856" s="19">
        <f t="shared" si="12"/>
        <v>0</v>
      </c>
    </row>
    <row r="857" ht="15.75" customHeight="1">
      <c r="Q857" s="15">
        <f t="shared" si="5"/>
        <v>0</v>
      </c>
      <c r="W857" s="22">
        <f t="shared" si="11"/>
        <v>0</v>
      </c>
      <c r="X857" s="19">
        <f t="shared" si="12"/>
        <v>0</v>
      </c>
    </row>
    <row r="858" ht="15.75" customHeight="1">
      <c r="Q858" s="15">
        <f t="shared" si="5"/>
        <v>0</v>
      </c>
      <c r="W858" s="22">
        <f t="shared" si="11"/>
        <v>0</v>
      </c>
      <c r="X858" s="19">
        <f t="shared" si="12"/>
        <v>0</v>
      </c>
    </row>
    <row r="859" ht="15.75" customHeight="1">
      <c r="Q859" s="15">
        <f t="shared" si="5"/>
        <v>0</v>
      </c>
      <c r="W859" s="22">
        <f t="shared" si="11"/>
        <v>0</v>
      </c>
      <c r="X859" s="19">
        <f t="shared" si="12"/>
        <v>0</v>
      </c>
    </row>
    <row r="860" ht="15.75" customHeight="1">
      <c r="Q860" s="15">
        <f t="shared" si="5"/>
        <v>0</v>
      </c>
      <c r="W860" s="22">
        <f t="shared" si="11"/>
        <v>0</v>
      </c>
      <c r="X860" s="19">
        <f t="shared" si="12"/>
        <v>0</v>
      </c>
    </row>
    <row r="861" ht="15.75" customHeight="1">
      <c r="Q861" s="15">
        <f t="shared" si="5"/>
        <v>0</v>
      </c>
      <c r="W861" s="22">
        <f t="shared" si="11"/>
        <v>0</v>
      </c>
      <c r="X861" s="19">
        <f t="shared" si="12"/>
        <v>0</v>
      </c>
    </row>
    <row r="862" ht="15.75" customHeight="1">
      <c r="Q862" s="15">
        <f t="shared" si="5"/>
        <v>0</v>
      </c>
      <c r="W862" s="22">
        <f t="shared" si="11"/>
        <v>0</v>
      </c>
      <c r="X862" s="19">
        <f t="shared" si="12"/>
        <v>0</v>
      </c>
    </row>
    <row r="863" ht="15.75" customHeight="1">
      <c r="Q863" s="15">
        <f t="shared" si="5"/>
        <v>0</v>
      </c>
      <c r="W863" s="22">
        <f t="shared" si="11"/>
        <v>0</v>
      </c>
      <c r="X863" s="19">
        <f t="shared" si="12"/>
        <v>0</v>
      </c>
    </row>
    <row r="864" ht="15.75" customHeight="1">
      <c r="Q864" s="15">
        <f t="shared" si="5"/>
        <v>0</v>
      </c>
      <c r="W864" s="22">
        <f t="shared" si="11"/>
        <v>0</v>
      </c>
      <c r="X864" s="19">
        <f t="shared" si="12"/>
        <v>0</v>
      </c>
    </row>
    <row r="865" ht="15.75" customHeight="1">
      <c r="Q865" s="15">
        <f t="shared" si="5"/>
        <v>0</v>
      </c>
      <c r="W865" s="22">
        <f t="shared" si="11"/>
        <v>0</v>
      </c>
      <c r="X865" s="19">
        <f t="shared" si="12"/>
        <v>0</v>
      </c>
    </row>
    <row r="866" ht="15.75" customHeight="1">
      <c r="Q866" s="15">
        <f t="shared" si="5"/>
        <v>0</v>
      </c>
      <c r="W866" s="22">
        <f t="shared" si="11"/>
        <v>0</v>
      </c>
      <c r="X866" s="19">
        <f t="shared" si="12"/>
        <v>0</v>
      </c>
    </row>
    <row r="867" ht="15.75" customHeight="1">
      <c r="Q867" s="15">
        <f t="shared" si="5"/>
        <v>0</v>
      </c>
      <c r="W867" s="22">
        <f t="shared" si="11"/>
        <v>0</v>
      </c>
      <c r="X867" s="19">
        <f t="shared" si="12"/>
        <v>0</v>
      </c>
    </row>
    <row r="868" ht="15.75" customHeight="1">
      <c r="Q868" s="15">
        <f t="shared" si="5"/>
        <v>0</v>
      </c>
      <c r="W868" s="22">
        <f t="shared" si="11"/>
        <v>0</v>
      </c>
      <c r="X868" s="19">
        <f t="shared" si="12"/>
        <v>0</v>
      </c>
    </row>
    <row r="869" ht="15.75" customHeight="1">
      <c r="Q869" s="15">
        <f t="shared" si="5"/>
        <v>0</v>
      </c>
      <c r="W869" s="22">
        <f t="shared" si="11"/>
        <v>0</v>
      </c>
      <c r="X869" s="19">
        <f t="shared" si="12"/>
        <v>0</v>
      </c>
    </row>
    <row r="870" ht="15.75" customHeight="1">
      <c r="Q870" s="15">
        <f t="shared" si="5"/>
        <v>0</v>
      </c>
      <c r="W870" s="22">
        <f t="shared" si="11"/>
        <v>0</v>
      </c>
      <c r="X870" s="19">
        <f t="shared" si="12"/>
        <v>0</v>
      </c>
    </row>
    <row r="871" ht="15.75" customHeight="1">
      <c r="Q871" s="15">
        <f t="shared" si="5"/>
        <v>0</v>
      </c>
      <c r="W871" s="22">
        <f t="shared" si="11"/>
        <v>0</v>
      </c>
      <c r="X871" s="19">
        <f t="shared" si="12"/>
        <v>0</v>
      </c>
    </row>
    <row r="872" ht="15.75" customHeight="1">
      <c r="Q872" s="15">
        <f t="shared" si="5"/>
        <v>0</v>
      </c>
      <c r="W872" s="22">
        <f t="shared" si="11"/>
        <v>0</v>
      </c>
      <c r="X872" s="19">
        <f t="shared" si="12"/>
        <v>0</v>
      </c>
    </row>
    <row r="873" ht="15.75" customHeight="1">
      <c r="Q873" s="15">
        <f t="shared" si="5"/>
        <v>0</v>
      </c>
      <c r="W873" s="22">
        <f t="shared" si="11"/>
        <v>0</v>
      </c>
      <c r="X873" s="19">
        <f t="shared" si="12"/>
        <v>0</v>
      </c>
    </row>
    <row r="874" ht="15.75" customHeight="1">
      <c r="Q874" s="15">
        <f t="shared" si="5"/>
        <v>0</v>
      </c>
      <c r="W874" s="22">
        <f t="shared" si="11"/>
        <v>0</v>
      </c>
      <c r="X874" s="19">
        <f t="shared" si="12"/>
        <v>0</v>
      </c>
    </row>
    <row r="875" ht="15.75" customHeight="1">
      <c r="Q875" s="15">
        <f t="shared" si="5"/>
        <v>0</v>
      </c>
      <c r="W875" s="22">
        <f t="shared" si="11"/>
        <v>0</v>
      </c>
      <c r="X875" s="19">
        <f t="shared" si="12"/>
        <v>0</v>
      </c>
    </row>
    <row r="876" ht="15.75" customHeight="1">
      <c r="Q876" s="15">
        <f t="shared" si="5"/>
        <v>0</v>
      </c>
      <c r="W876" s="22">
        <f t="shared" si="11"/>
        <v>0</v>
      </c>
      <c r="X876" s="19">
        <f t="shared" si="12"/>
        <v>0</v>
      </c>
    </row>
    <row r="877" ht="15.75" customHeight="1">
      <c r="Q877" s="15">
        <f t="shared" si="5"/>
        <v>0</v>
      </c>
      <c r="W877" s="22">
        <f t="shared" si="11"/>
        <v>0</v>
      </c>
      <c r="X877" s="19">
        <f t="shared" si="12"/>
        <v>0</v>
      </c>
    </row>
    <row r="878" ht="15.75" customHeight="1">
      <c r="Q878" s="15">
        <f t="shared" si="5"/>
        <v>0</v>
      </c>
      <c r="W878" s="22">
        <f t="shared" si="11"/>
        <v>0</v>
      </c>
      <c r="X878" s="19">
        <f t="shared" si="12"/>
        <v>0</v>
      </c>
    </row>
    <row r="879" ht="15.75" customHeight="1">
      <c r="Q879" s="15">
        <f t="shared" si="5"/>
        <v>0</v>
      </c>
      <c r="W879" s="22">
        <f t="shared" si="11"/>
        <v>0</v>
      </c>
      <c r="X879" s="19">
        <f t="shared" si="12"/>
        <v>0</v>
      </c>
    </row>
    <row r="880" ht="15.75" customHeight="1">
      <c r="Q880" s="15">
        <f t="shared" si="5"/>
        <v>0</v>
      </c>
      <c r="W880" s="22">
        <f t="shared" si="11"/>
        <v>0</v>
      </c>
      <c r="X880" s="19">
        <f t="shared" si="12"/>
        <v>0</v>
      </c>
    </row>
    <row r="881" ht="15.75" customHeight="1">
      <c r="Q881" s="15">
        <f t="shared" si="5"/>
        <v>0</v>
      </c>
      <c r="W881" s="22">
        <f t="shared" si="11"/>
        <v>0</v>
      </c>
      <c r="X881" s="19">
        <f t="shared" si="12"/>
        <v>0</v>
      </c>
    </row>
    <row r="882" ht="15.75" customHeight="1">
      <c r="Q882" s="15">
        <f t="shared" si="5"/>
        <v>0</v>
      </c>
      <c r="W882" s="22">
        <f t="shared" si="11"/>
        <v>0</v>
      </c>
      <c r="X882" s="19">
        <f t="shared" si="12"/>
        <v>0</v>
      </c>
    </row>
    <row r="883" ht="15.75" customHeight="1">
      <c r="Q883" s="15">
        <f t="shared" si="5"/>
        <v>0</v>
      </c>
      <c r="W883" s="22">
        <f t="shared" si="11"/>
        <v>0</v>
      </c>
      <c r="X883" s="19">
        <f t="shared" si="12"/>
        <v>0</v>
      </c>
    </row>
    <row r="884" ht="15.75" customHeight="1">
      <c r="Q884" s="15">
        <f t="shared" si="5"/>
        <v>0</v>
      </c>
      <c r="W884" s="22">
        <f t="shared" si="11"/>
        <v>0</v>
      </c>
      <c r="X884" s="19">
        <f t="shared" si="12"/>
        <v>0</v>
      </c>
    </row>
    <row r="885" ht="15.75" customHeight="1">
      <c r="Q885" s="15">
        <f t="shared" si="5"/>
        <v>0</v>
      </c>
      <c r="W885" s="22">
        <f t="shared" si="11"/>
        <v>0</v>
      </c>
      <c r="X885" s="19">
        <f t="shared" si="12"/>
        <v>0</v>
      </c>
    </row>
    <row r="886" ht="15.75" customHeight="1">
      <c r="Q886" s="15">
        <f t="shared" si="5"/>
        <v>0</v>
      </c>
      <c r="W886" s="22">
        <f t="shared" si="11"/>
        <v>0</v>
      </c>
      <c r="X886" s="19">
        <f t="shared" si="12"/>
        <v>0</v>
      </c>
    </row>
    <row r="887" ht="15.75" customHeight="1">
      <c r="Q887" s="15">
        <f t="shared" si="5"/>
        <v>0</v>
      </c>
      <c r="W887" s="22">
        <f t="shared" si="11"/>
        <v>0</v>
      </c>
      <c r="X887" s="19">
        <f t="shared" si="12"/>
        <v>0</v>
      </c>
    </row>
    <row r="888" ht="15.75" customHeight="1">
      <c r="Q888" s="15">
        <f t="shared" si="5"/>
        <v>0</v>
      </c>
      <c r="W888" s="22">
        <f t="shared" si="11"/>
        <v>0</v>
      </c>
      <c r="X888" s="19">
        <f t="shared" si="12"/>
        <v>0</v>
      </c>
    </row>
    <row r="889" ht="15.75" customHeight="1">
      <c r="Q889" s="15">
        <f t="shared" si="5"/>
        <v>0</v>
      </c>
      <c r="W889" s="22">
        <f t="shared" si="11"/>
        <v>0</v>
      </c>
      <c r="X889" s="19">
        <f t="shared" si="12"/>
        <v>0</v>
      </c>
    </row>
    <row r="890" ht="15.75" customHeight="1">
      <c r="Q890" s="15">
        <f t="shared" si="5"/>
        <v>0</v>
      </c>
      <c r="W890" s="22">
        <f t="shared" si="11"/>
        <v>0</v>
      </c>
      <c r="X890" s="19">
        <f t="shared" si="12"/>
        <v>0</v>
      </c>
    </row>
    <row r="891" ht="15.75" customHeight="1">
      <c r="Q891" s="15">
        <f t="shared" si="5"/>
        <v>0</v>
      </c>
      <c r="W891" s="22">
        <f t="shared" si="11"/>
        <v>0</v>
      </c>
      <c r="X891" s="19">
        <f t="shared" si="12"/>
        <v>0</v>
      </c>
    </row>
    <row r="892" ht="15.75" customHeight="1">
      <c r="Q892" s="15">
        <f t="shared" si="5"/>
        <v>0</v>
      </c>
      <c r="W892" s="22">
        <f t="shared" si="11"/>
        <v>0</v>
      </c>
      <c r="X892" s="19">
        <f t="shared" si="12"/>
        <v>0</v>
      </c>
    </row>
    <row r="893" ht="15.75" customHeight="1">
      <c r="Q893" s="15">
        <f t="shared" si="5"/>
        <v>0</v>
      </c>
      <c r="W893" s="22">
        <f t="shared" si="11"/>
        <v>0</v>
      </c>
      <c r="X893" s="19">
        <f t="shared" si="12"/>
        <v>0</v>
      </c>
    </row>
    <row r="894" ht="15.75" customHeight="1">
      <c r="Q894" s="15">
        <f t="shared" si="5"/>
        <v>0</v>
      </c>
      <c r="W894" s="22">
        <f t="shared" si="11"/>
        <v>0</v>
      </c>
      <c r="X894" s="19">
        <f t="shared" si="12"/>
        <v>0</v>
      </c>
    </row>
    <row r="895" ht="15.75" customHeight="1">
      <c r="Q895" s="15">
        <f t="shared" si="5"/>
        <v>0</v>
      </c>
      <c r="W895" s="22">
        <f t="shared" si="11"/>
        <v>0</v>
      </c>
      <c r="X895" s="19">
        <f t="shared" si="12"/>
        <v>0</v>
      </c>
    </row>
    <row r="896" ht="15.75" customHeight="1">
      <c r="Q896" s="15">
        <f t="shared" si="5"/>
        <v>0</v>
      </c>
      <c r="W896" s="22">
        <f t="shared" si="11"/>
        <v>0</v>
      </c>
      <c r="X896" s="19">
        <f t="shared" si="12"/>
        <v>0</v>
      </c>
    </row>
    <row r="897" ht="15.75" customHeight="1">
      <c r="Q897" s="15">
        <f t="shared" si="5"/>
        <v>0</v>
      </c>
      <c r="W897" s="22">
        <f t="shared" si="11"/>
        <v>0</v>
      </c>
      <c r="X897" s="19">
        <f t="shared" si="12"/>
        <v>0</v>
      </c>
    </row>
    <row r="898" ht="15.75" customHeight="1">
      <c r="Q898" s="15">
        <f t="shared" si="5"/>
        <v>0</v>
      </c>
      <c r="W898" s="22">
        <f t="shared" si="11"/>
        <v>0</v>
      </c>
      <c r="X898" s="19">
        <f t="shared" si="12"/>
        <v>0</v>
      </c>
    </row>
    <row r="899" ht="15.75" customHeight="1">
      <c r="Q899" s="15">
        <f t="shared" si="5"/>
        <v>0</v>
      </c>
      <c r="W899" s="22">
        <f t="shared" si="11"/>
        <v>0</v>
      </c>
      <c r="X899" s="19">
        <f t="shared" si="12"/>
        <v>0</v>
      </c>
    </row>
    <row r="900" ht="15.75" customHeight="1">
      <c r="Q900" s="15">
        <f t="shared" si="5"/>
        <v>0</v>
      </c>
      <c r="W900" s="22">
        <f t="shared" si="11"/>
        <v>0</v>
      </c>
      <c r="X900" s="19">
        <f t="shared" si="12"/>
        <v>0</v>
      </c>
    </row>
    <row r="901" ht="15.75" customHeight="1">
      <c r="Q901" s="15">
        <f t="shared" si="5"/>
        <v>0</v>
      </c>
      <c r="W901" s="22">
        <f t="shared" si="11"/>
        <v>0</v>
      </c>
      <c r="X901" s="19">
        <f t="shared" si="12"/>
        <v>0</v>
      </c>
    </row>
    <row r="902" ht="15.75" customHeight="1">
      <c r="Q902" s="15">
        <f t="shared" si="5"/>
        <v>0</v>
      </c>
      <c r="W902" s="22">
        <f t="shared" si="11"/>
        <v>0</v>
      </c>
      <c r="X902" s="19">
        <f t="shared" si="12"/>
        <v>0</v>
      </c>
    </row>
    <row r="903" ht="15.75" customHeight="1">
      <c r="Q903" s="15">
        <f t="shared" si="5"/>
        <v>0</v>
      </c>
      <c r="W903" s="22">
        <f t="shared" si="11"/>
        <v>0</v>
      </c>
      <c r="X903" s="19">
        <f t="shared" si="12"/>
        <v>0</v>
      </c>
    </row>
    <row r="904" ht="15.75" customHeight="1">
      <c r="Q904" s="15">
        <f t="shared" si="5"/>
        <v>0</v>
      </c>
      <c r="W904" s="22">
        <f t="shared" si="11"/>
        <v>0</v>
      </c>
      <c r="X904" s="19">
        <f t="shared" si="12"/>
        <v>0</v>
      </c>
    </row>
    <row r="905" ht="15.75" customHeight="1">
      <c r="Q905" s="15">
        <f t="shared" si="5"/>
        <v>0</v>
      </c>
      <c r="W905" s="22">
        <f t="shared" si="11"/>
        <v>0</v>
      </c>
      <c r="X905" s="19">
        <f t="shared" si="12"/>
        <v>0</v>
      </c>
    </row>
    <row r="906" ht="15.75" customHeight="1">
      <c r="Q906" s="15">
        <f t="shared" si="5"/>
        <v>0</v>
      </c>
      <c r="W906" s="22">
        <f t="shared" si="11"/>
        <v>0</v>
      </c>
      <c r="X906" s="19">
        <f t="shared" si="12"/>
        <v>0</v>
      </c>
    </row>
    <row r="907" ht="15.75" customHeight="1">
      <c r="Q907" s="15">
        <f t="shared" si="5"/>
        <v>0</v>
      </c>
      <c r="W907" s="22">
        <f t="shared" si="11"/>
        <v>0</v>
      </c>
      <c r="X907" s="19">
        <f t="shared" si="12"/>
        <v>0</v>
      </c>
    </row>
    <row r="908" ht="15.75" customHeight="1">
      <c r="Q908" s="15">
        <f t="shared" si="5"/>
        <v>0</v>
      </c>
      <c r="W908" s="22">
        <f t="shared" si="11"/>
        <v>0</v>
      </c>
      <c r="X908" s="19">
        <f t="shared" si="12"/>
        <v>0</v>
      </c>
    </row>
    <row r="909" ht="15.75" customHeight="1">
      <c r="Q909" s="15">
        <f t="shared" si="5"/>
        <v>0</v>
      </c>
      <c r="W909" s="22">
        <f t="shared" si="11"/>
        <v>0</v>
      </c>
      <c r="X909" s="19">
        <f t="shared" si="12"/>
        <v>0</v>
      </c>
    </row>
    <row r="910" ht="15.75" customHeight="1">
      <c r="Q910" s="15">
        <f t="shared" si="5"/>
        <v>0</v>
      </c>
      <c r="W910" s="22">
        <f t="shared" si="11"/>
        <v>0</v>
      </c>
      <c r="X910" s="19">
        <f t="shared" si="12"/>
        <v>0</v>
      </c>
    </row>
    <row r="911" ht="15.75" customHeight="1">
      <c r="Q911" s="15">
        <f t="shared" si="5"/>
        <v>0</v>
      </c>
      <c r="W911" s="22">
        <f t="shared" si="11"/>
        <v>0</v>
      </c>
      <c r="X911" s="19">
        <f t="shared" si="12"/>
        <v>0</v>
      </c>
    </row>
    <row r="912" ht="15.75" customHeight="1">
      <c r="Q912" s="15">
        <f t="shared" si="5"/>
        <v>0</v>
      </c>
      <c r="W912" s="22">
        <f t="shared" si="11"/>
        <v>0</v>
      </c>
      <c r="X912" s="19">
        <f t="shared" si="12"/>
        <v>0</v>
      </c>
    </row>
    <row r="913" ht="15.75" customHeight="1">
      <c r="Q913" s="15">
        <f t="shared" si="5"/>
        <v>0</v>
      </c>
      <c r="W913" s="22">
        <f t="shared" si="11"/>
        <v>0</v>
      </c>
      <c r="X913" s="19">
        <f t="shared" si="12"/>
        <v>0</v>
      </c>
    </row>
    <row r="914" ht="15.75" customHeight="1">
      <c r="Q914" s="15">
        <f t="shared" si="5"/>
        <v>0</v>
      </c>
      <c r="W914" s="22">
        <f t="shared" si="11"/>
        <v>0</v>
      </c>
      <c r="X914" s="19">
        <f t="shared" si="12"/>
        <v>0</v>
      </c>
    </row>
    <row r="915" ht="15.75" customHeight="1">
      <c r="Q915" s="15">
        <f t="shared" si="5"/>
        <v>0</v>
      </c>
      <c r="W915" s="22">
        <f t="shared" si="11"/>
        <v>0</v>
      </c>
      <c r="X915" s="19">
        <f t="shared" si="12"/>
        <v>0</v>
      </c>
    </row>
    <row r="916" ht="15.75" customHeight="1">
      <c r="Q916" s="15">
        <f t="shared" si="5"/>
        <v>0</v>
      </c>
      <c r="W916" s="22">
        <f t="shared" si="11"/>
        <v>0</v>
      </c>
      <c r="X916" s="19">
        <f t="shared" si="12"/>
        <v>0</v>
      </c>
    </row>
    <row r="917" ht="15.75" customHeight="1">
      <c r="Q917" s="15">
        <f t="shared" si="5"/>
        <v>0</v>
      </c>
      <c r="W917" s="22">
        <f t="shared" si="11"/>
        <v>0</v>
      </c>
      <c r="X917" s="19">
        <f t="shared" si="12"/>
        <v>0</v>
      </c>
    </row>
    <row r="918" ht="15.75" customHeight="1">
      <c r="Q918" s="15">
        <f t="shared" si="5"/>
        <v>0</v>
      </c>
      <c r="W918" s="22">
        <f t="shared" si="11"/>
        <v>0</v>
      </c>
      <c r="X918" s="19">
        <f t="shared" si="12"/>
        <v>0</v>
      </c>
    </row>
    <row r="919" ht="15.75" customHeight="1">
      <c r="Q919" s="15">
        <f t="shared" si="5"/>
        <v>0</v>
      </c>
      <c r="W919" s="22">
        <f t="shared" si="11"/>
        <v>0</v>
      </c>
      <c r="X919" s="19">
        <f t="shared" si="12"/>
        <v>0</v>
      </c>
    </row>
    <row r="920" ht="15.75" customHeight="1">
      <c r="Q920" s="15">
        <f t="shared" si="5"/>
        <v>0</v>
      </c>
      <c r="W920" s="22">
        <f t="shared" si="11"/>
        <v>0</v>
      </c>
      <c r="X920" s="19">
        <f t="shared" si="12"/>
        <v>0</v>
      </c>
    </row>
    <row r="921" ht="15.75" customHeight="1">
      <c r="Q921" s="15">
        <f t="shared" si="5"/>
        <v>0</v>
      </c>
      <c r="W921" s="22">
        <f t="shared" si="11"/>
        <v>0</v>
      </c>
      <c r="X921" s="19">
        <f t="shared" si="12"/>
        <v>0</v>
      </c>
    </row>
    <row r="922" ht="15.75" customHeight="1">
      <c r="Q922" s="15">
        <f t="shared" si="5"/>
        <v>0</v>
      </c>
      <c r="W922" s="22">
        <f t="shared" si="11"/>
        <v>0</v>
      </c>
      <c r="X922" s="19">
        <f t="shared" si="12"/>
        <v>0</v>
      </c>
    </row>
    <row r="923" ht="15.75" customHeight="1">
      <c r="Q923" s="15">
        <f t="shared" si="5"/>
        <v>0</v>
      </c>
      <c r="W923" s="22">
        <f t="shared" si="11"/>
        <v>0</v>
      </c>
      <c r="X923" s="19">
        <f t="shared" si="12"/>
        <v>0</v>
      </c>
    </row>
    <row r="924" ht="15.75" customHeight="1">
      <c r="Q924" s="15">
        <f t="shared" si="5"/>
        <v>0</v>
      </c>
      <c r="W924" s="22">
        <f t="shared" si="11"/>
        <v>0</v>
      </c>
      <c r="X924" s="19">
        <f t="shared" si="12"/>
        <v>0</v>
      </c>
    </row>
    <row r="925" ht="15.75" customHeight="1">
      <c r="Q925" s="15">
        <f t="shared" si="5"/>
        <v>0</v>
      </c>
      <c r="W925" s="22">
        <f t="shared" si="11"/>
        <v>0</v>
      </c>
      <c r="X925" s="19">
        <f t="shared" si="12"/>
        <v>0</v>
      </c>
    </row>
    <row r="926" ht="15.75" customHeight="1">
      <c r="Q926" s="15">
        <f t="shared" si="5"/>
        <v>0</v>
      </c>
      <c r="W926" s="22">
        <f t="shared" si="11"/>
        <v>0</v>
      </c>
      <c r="X926" s="19">
        <f t="shared" si="12"/>
        <v>0</v>
      </c>
    </row>
    <row r="927" ht="15.75" customHeight="1">
      <c r="Q927" s="15">
        <f t="shared" si="5"/>
        <v>0</v>
      </c>
      <c r="W927" s="22">
        <f t="shared" si="11"/>
        <v>0</v>
      </c>
      <c r="X927" s="19">
        <f t="shared" si="12"/>
        <v>0</v>
      </c>
    </row>
    <row r="928" ht="15.75" customHeight="1">
      <c r="Q928" s="15">
        <f t="shared" si="5"/>
        <v>0</v>
      </c>
      <c r="W928" s="22">
        <f t="shared" si="11"/>
        <v>0</v>
      </c>
      <c r="X928" s="19">
        <f t="shared" si="12"/>
        <v>0</v>
      </c>
    </row>
    <row r="929" ht="15.75" customHeight="1">
      <c r="Q929" s="15">
        <f t="shared" si="5"/>
        <v>0</v>
      </c>
      <c r="W929" s="22">
        <f t="shared" si="11"/>
        <v>0</v>
      </c>
      <c r="X929" s="19">
        <f t="shared" si="12"/>
        <v>0</v>
      </c>
    </row>
    <row r="930" ht="15.75" customHeight="1">
      <c r="Q930" s="15">
        <f t="shared" si="5"/>
        <v>0</v>
      </c>
      <c r="W930" s="22">
        <f t="shared" si="11"/>
        <v>0</v>
      </c>
      <c r="X930" s="19">
        <f t="shared" si="12"/>
        <v>0</v>
      </c>
    </row>
    <row r="931" ht="15.75" customHeight="1">
      <c r="Q931" s="15">
        <f t="shared" si="5"/>
        <v>0</v>
      </c>
      <c r="W931" s="22">
        <f t="shared" si="11"/>
        <v>0</v>
      </c>
      <c r="X931" s="19">
        <f t="shared" si="12"/>
        <v>0</v>
      </c>
    </row>
    <row r="932" ht="15.75" customHeight="1">
      <c r="Q932" s="15">
        <f t="shared" si="5"/>
        <v>0</v>
      </c>
      <c r="W932" s="22">
        <f t="shared" si="11"/>
        <v>0</v>
      </c>
      <c r="X932" s="19">
        <f t="shared" si="12"/>
        <v>0</v>
      </c>
    </row>
    <row r="933" ht="15.75" customHeight="1">
      <c r="Q933" s="15">
        <f t="shared" si="5"/>
        <v>0</v>
      </c>
      <c r="W933" s="22">
        <f t="shared" si="11"/>
        <v>0</v>
      </c>
      <c r="X933" s="19">
        <f t="shared" si="12"/>
        <v>0</v>
      </c>
    </row>
    <row r="934" ht="15.75" customHeight="1">
      <c r="Q934" s="15">
        <f t="shared" si="5"/>
        <v>0</v>
      </c>
      <c r="W934" s="22">
        <f t="shared" si="11"/>
        <v>0</v>
      </c>
      <c r="X934" s="19">
        <f t="shared" si="12"/>
        <v>0</v>
      </c>
    </row>
    <row r="935" ht="15.75" customHeight="1">
      <c r="Q935" s="15">
        <f t="shared" si="5"/>
        <v>0</v>
      </c>
      <c r="W935" s="22">
        <f t="shared" si="11"/>
        <v>0</v>
      </c>
      <c r="X935" s="19">
        <f t="shared" si="12"/>
        <v>0</v>
      </c>
    </row>
    <row r="936" ht="15.75" customHeight="1">
      <c r="Q936" s="15">
        <f t="shared" si="5"/>
        <v>0</v>
      </c>
      <c r="W936" s="22">
        <f t="shared" si="11"/>
        <v>0</v>
      </c>
      <c r="X936" s="19">
        <f t="shared" si="12"/>
        <v>0</v>
      </c>
    </row>
    <row r="937" ht="15.75" customHeight="1">
      <c r="Q937" s="15">
        <f t="shared" si="5"/>
        <v>0</v>
      </c>
      <c r="W937" s="22">
        <f t="shared" si="11"/>
        <v>0</v>
      </c>
      <c r="X937" s="19">
        <f t="shared" si="12"/>
        <v>0</v>
      </c>
    </row>
    <row r="938" ht="15.75" customHeight="1">
      <c r="Q938" s="15">
        <f t="shared" si="5"/>
        <v>0</v>
      </c>
      <c r="W938" s="22">
        <f t="shared" si="11"/>
        <v>0</v>
      </c>
      <c r="X938" s="19">
        <f t="shared" si="12"/>
        <v>0</v>
      </c>
    </row>
    <row r="939" ht="15.75" customHeight="1">
      <c r="Q939" s="15">
        <f t="shared" si="5"/>
        <v>0</v>
      </c>
      <c r="W939" s="22">
        <f t="shared" si="11"/>
        <v>0</v>
      </c>
      <c r="X939" s="19">
        <f t="shared" si="12"/>
        <v>0</v>
      </c>
    </row>
    <row r="940" ht="15.75" customHeight="1">
      <c r="Q940" s="15">
        <f t="shared" si="5"/>
        <v>0</v>
      </c>
      <c r="W940" s="22">
        <f t="shared" si="11"/>
        <v>0</v>
      </c>
      <c r="X940" s="19">
        <f t="shared" si="12"/>
        <v>0</v>
      </c>
    </row>
    <row r="941" ht="15.75" customHeight="1">
      <c r="Q941" s="15">
        <f t="shared" si="5"/>
        <v>0</v>
      </c>
      <c r="W941" s="22">
        <f t="shared" si="11"/>
        <v>0</v>
      </c>
      <c r="X941" s="19">
        <f t="shared" si="12"/>
        <v>0</v>
      </c>
    </row>
    <row r="942" ht="15.75" customHeight="1">
      <c r="Q942" s="15">
        <f t="shared" si="5"/>
        <v>0</v>
      </c>
      <c r="W942" s="22">
        <f t="shared" si="11"/>
        <v>0</v>
      </c>
      <c r="X942" s="19">
        <f t="shared" si="12"/>
        <v>0</v>
      </c>
    </row>
    <row r="943" ht="15.75" customHeight="1">
      <c r="Q943" s="15">
        <f t="shared" si="5"/>
        <v>0</v>
      </c>
      <c r="W943" s="22">
        <f t="shared" si="11"/>
        <v>0</v>
      </c>
      <c r="X943" s="19">
        <f t="shared" si="12"/>
        <v>0</v>
      </c>
    </row>
    <row r="944" ht="15.75" customHeight="1">
      <c r="Q944" s="15">
        <f t="shared" si="5"/>
        <v>0</v>
      </c>
      <c r="W944" s="22">
        <f t="shared" si="11"/>
        <v>0</v>
      </c>
      <c r="X944" s="19">
        <f t="shared" si="12"/>
        <v>0</v>
      </c>
    </row>
    <row r="945" ht="15.75" customHeight="1">
      <c r="Q945" s="15">
        <f t="shared" si="5"/>
        <v>0</v>
      </c>
      <c r="W945" s="22">
        <f t="shared" si="11"/>
        <v>0</v>
      </c>
      <c r="X945" s="19">
        <f t="shared" si="12"/>
        <v>0</v>
      </c>
    </row>
    <row r="946" ht="15.75" customHeight="1">
      <c r="Q946" s="15">
        <f t="shared" si="5"/>
        <v>0</v>
      </c>
      <c r="W946" s="22">
        <f t="shared" si="11"/>
        <v>0</v>
      </c>
      <c r="X946" s="19">
        <f t="shared" si="12"/>
        <v>0</v>
      </c>
    </row>
    <row r="947" ht="15.75" customHeight="1">
      <c r="Q947" s="15">
        <f t="shared" si="5"/>
        <v>0</v>
      </c>
      <c r="W947" s="22">
        <f t="shared" si="11"/>
        <v>0</v>
      </c>
      <c r="X947" s="19">
        <f t="shared" si="12"/>
        <v>0</v>
      </c>
    </row>
    <row r="948" ht="15.75" customHeight="1">
      <c r="Q948" s="15">
        <f t="shared" si="5"/>
        <v>0</v>
      </c>
      <c r="W948" s="22">
        <f t="shared" si="11"/>
        <v>0</v>
      </c>
      <c r="X948" s="19">
        <f t="shared" si="12"/>
        <v>0</v>
      </c>
    </row>
    <row r="949" ht="15.75" customHeight="1">
      <c r="Q949" s="15">
        <f t="shared" si="5"/>
        <v>0</v>
      </c>
      <c r="W949" s="22">
        <f t="shared" si="11"/>
        <v>0</v>
      </c>
      <c r="X949" s="19">
        <f t="shared" si="12"/>
        <v>0</v>
      </c>
    </row>
    <row r="950" ht="15.75" customHeight="1">
      <c r="Q950" s="15">
        <f t="shared" si="5"/>
        <v>0</v>
      </c>
      <c r="W950" s="22">
        <f t="shared" si="11"/>
        <v>0</v>
      </c>
      <c r="X950" s="19">
        <f t="shared" si="12"/>
        <v>0</v>
      </c>
    </row>
    <row r="951" ht="15.75" customHeight="1">
      <c r="Q951" s="15">
        <f t="shared" si="5"/>
        <v>0</v>
      </c>
      <c r="W951" s="22">
        <f t="shared" si="11"/>
        <v>0</v>
      </c>
      <c r="X951" s="19">
        <f t="shared" si="12"/>
        <v>0</v>
      </c>
    </row>
    <row r="952" ht="15.75" customHeight="1">
      <c r="Q952" s="15">
        <f t="shared" si="5"/>
        <v>0</v>
      </c>
      <c r="W952" s="22">
        <f t="shared" si="11"/>
        <v>0</v>
      </c>
      <c r="X952" s="19">
        <f t="shared" si="12"/>
        <v>0</v>
      </c>
    </row>
    <row r="953" ht="15.75" customHeight="1">
      <c r="Q953" s="15">
        <f t="shared" si="5"/>
        <v>0</v>
      </c>
      <c r="W953" s="22">
        <f t="shared" si="11"/>
        <v>0</v>
      </c>
      <c r="X953" s="19">
        <f t="shared" si="12"/>
        <v>0</v>
      </c>
    </row>
    <row r="954" ht="15.75" customHeight="1">
      <c r="Q954" s="15">
        <f t="shared" si="5"/>
        <v>0</v>
      </c>
      <c r="W954" s="22">
        <f t="shared" si="11"/>
        <v>0</v>
      </c>
      <c r="X954" s="19">
        <f t="shared" si="12"/>
        <v>0</v>
      </c>
    </row>
    <row r="955" ht="15.75" customHeight="1">
      <c r="Q955" s="15">
        <f t="shared" si="5"/>
        <v>0</v>
      </c>
      <c r="W955" s="22">
        <f t="shared" si="11"/>
        <v>0</v>
      </c>
      <c r="X955" s="19">
        <f t="shared" si="12"/>
        <v>0</v>
      </c>
    </row>
    <row r="956" ht="15.75" customHeight="1">
      <c r="Q956" s="15">
        <f t="shared" si="5"/>
        <v>0</v>
      </c>
      <c r="W956" s="22">
        <f t="shared" si="11"/>
        <v>0</v>
      </c>
      <c r="X956" s="19">
        <f t="shared" si="12"/>
        <v>0</v>
      </c>
    </row>
    <row r="957" ht="15.75" customHeight="1">
      <c r="Q957" s="15">
        <f t="shared" si="5"/>
        <v>0</v>
      </c>
      <c r="W957" s="22">
        <f t="shared" si="11"/>
        <v>0</v>
      </c>
      <c r="X957" s="19">
        <f t="shared" si="12"/>
        <v>0</v>
      </c>
    </row>
    <row r="958" ht="15.75" customHeight="1">
      <c r="Q958" s="15">
        <f t="shared" si="5"/>
        <v>0</v>
      </c>
      <c r="W958" s="22">
        <f t="shared" si="11"/>
        <v>0</v>
      </c>
      <c r="X958" s="19">
        <f t="shared" si="12"/>
        <v>0</v>
      </c>
    </row>
    <row r="959" ht="15.75" customHeight="1">
      <c r="Q959" s="15">
        <f t="shared" si="5"/>
        <v>0</v>
      </c>
      <c r="W959" s="22">
        <f t="shared" si="11"/>
        <v>0</v>
      </c>
      <c r="X959" s="19">
        <f t="shared" si="12"/>
        <v>0</v>
      </c>
    </row>
    <row r="960" ht="15.75" customHeight="1">
      <c r="Q960" s="15">
        <f t="shared" si="5"/>
        <v>0</v>
      </c>
      <c r="W960" s="22">
        <f t="shared" si="11"/>
        <v>0</v>
      </c>
      <c r="X960" s="19">
        <f t="shared" si="12"/>
        <v>0</v>
      </c>
    </row>
    <row r="961" ht="15.75" customHeight="1">
      <c r="Q961" s="15">
        <f t="shared" si="5"/>
        <v>0</v>
      </c>
      <c r="W961" s="22">
        <f t="shared" si="11"/>
        <v>0</v>
      </c>
      <c r="X961" s="19">
        <f t="shared" si="12"/>
        <v>0</v>
      </c>
    </row>
    <row r="962" ht="15.75" customHeight="1">
      <c r="Q962" s="15">
        <f t="shared" si="5"/>
        <v>0</v>
      </c>
      <c r="W962" s="22">
        <f t="shared" si="11"/>
        <v>0</v>
      </c>
      <c r="X962" s="19">
        <f t="shared" si="12"/>
        <v>0</v>
      </c>
    </row>
    <row r="963" ht="15.75" customHeight="1">
      <c r="Q963" s="15">
        <f t="shared" si="5"/>
        <v>0</v>
      </c>
      <c r="W963" s="22">
        <f t="shared" si="11"/>
        <v>0</v>
      </c>
      <c r="X963" s="19">
        <f t="shared" si="12"/>
        <v>0</v>
      </c>
    </row>
    <row r="964" ht="15.75" customHeight="1">
      <c r="Q964" s="15">
        <f t="shared" si="5"/>
        <v>0</v>
      </c>
      <c r="W964" s="22">
        <f t="shared" si="11"/>
        <v>0</v>
      </c>
      <c r="X964" s="19">
        <f t="shared" si="12"/>
        <v>0</v>
      </c>
    </row>
    <row r="965" ht="15.75" customHeight="1">
      <c r="Q965" s="15">
        <f t="shared" si="5"/>
        <v>0</v>
      </c>
      <c r="W965" s="22">
        <f t="shared" si="11"/>
        <v>0</v>
      </c>
      <c r="X965" s="19">
        <f t="shared" si="12"/>
        <v>0</v>
      </c>
    </row>
    <row r="966" ht="15.75" customHeight="1">
      <c r="Q966" s="15">
        <f t="shared" si="5"/>
        <v>0</v>
      </c>
      <c r="W966" s="22">
        <f t="shared" si="11"/>
        <v>0</v>
      </c>
      <c r="X966" s="19">
        <f t="shared" si="12"/>
        <v>0</v>
      </c>
    </row>
    <row r="967" ht="15.75" customHeight="1">
      <c r="Q967" s="15">
        <f t="shared" si="5"/>
        <v>0</v>
      </c>
      <c r="W967" s="22">
        <f t="shared" si="11"/>
        <v>0</v>
      </c>
      <c r="X967" s="19">
        <f t="shared" si="12"/>
        <v>0</v>
      </c>
    </row>
    <row r="968" ht="15.75" customHeight="1">
      <c r="Q968" s="15">
        <f t="shared" si="5"/>
        <v>0</v>
      </c>
      <c r="W968" s="22">
        <f t="shared" si="11"/>
        <v>0</v>
      </c>
      <c r="X968" s="19">
        <f t="shared" si="12"/>
        <v>0</v>
      </c>
    </row>
    <row r="969" ht="15.75" customHeight="1">
      <c r="Q969" s="15">
        <f t="shared" si="5"/>
        <v>0</v>
      </c>
      <c r="W969" s="22">
        <f t="shared" si="11"/>
        <v>0</v>
      </c>
      <c r="X969" s="19">
        <f t="shared" si="12"/>
        <v>0</v>
      </c>
    </row>
    <row r="970" ht="15.75" customHeight="1">
      <c r="Q970" s="15">
        <f t="shared" si="5"/>
        <v>0</v>
      </c>
      <c r="W970" s="22">
        <f t="shared" si="11"/>
        <v>0</v>
      </c>
      <c r="X970" s="19">
        <f t="shared" si="12"/>
        <v>0</v>
      </c>
    </row>
    <row r="971" ht="15.75" customHeight="1">
      <c r="Q971" s="15">
        <f t="shared" si="5"/>
        <v>0</v>
      </c>
      <c r="W971" s="22">
        <f t="shared" si="11"/>
        <v>0</v>
      </c>
      <c r="X971" s="19">
        <f t="shared" si="12"/>
        <v>0</v>
      </c>
    </row>
    <row r="972" ht="15.75" customHeight="1">
      <c r="Q972" s="15">
        <f t="shared" si="5"/>
        <v>0</v>
      </c>
      <c r="W972" s="22">
        <f t="shared" si="11"/>
        <v>0</v>
      </c>
      <c r="X972" s="19">
        <f t="shared" si="12"/>
        <v>0</v>
      </c>
    </row>
    <row r="973" ht="15.75" customHeight="1">
      <c r="Q973" s="15">
        <f t="shared" si="5"/>
        <v>0</v>
      </c>
      <c r="W973" s="22">
        <f t="shared" si="11"/>
        <v>0</v>
      </c>
      <c r="X973" s="19">
        <f t="shared" si="12"/>
        <v>0</v>
      </c>
    </row>
    <row r="974" ht="15.75" customHeight="1">
      <c r="Q974" s="15">
        <f t="shared" si="5"/>
        <v>0</v>
      </c>
      <c r="W974" s="22">
        <f t="shared" si="11"/>
        <v>0</v>
      </c>
      <c r="X974" s="19">
        <f t="shared" si="12"/>
        <v>0</v>
      </c>
    </row>
    <row r="975" ht="15.75" customHeight="1">
      <c r="Q975" s="15">
        <f t="shared" si="5"/>
        <v>0</v>
      </c>
      <c r="W975" s="22">
        <f t="shared" si="11"/>
        <v>0</v>
      </c>
      <c r="X975" s="19">
        <f t="shared" si="12"/>
        <v>0</v>
      </c>
    </row>
    <row r="976" ht="15.75" customHeight="1">
      <c r="Q976" s="15">
        <f t="shared" si="5"/>
        <v>0</v>
      </c>
      <c r="W976" s="22">
        <f t="shared" si="11"/>
        <v>0</v>
      </c>
      <c r="X976" s="19">
        <f t="shared" si="12"/>
        <v>0</v>
      </c>
    </row>
    <row r="977" ht="15.75" customHeight="1">
      <c r="Q977" s="15">
        <f t="shared" si="5"/>
        <v>0</v>
      </c>
      <c r="W977" s="22">
        <f t="shared" si="11"/>
        <v>0</v>
      </c>
      <c r="X977" s="19">
        <f t="shared" si="12"/>
        <v>0</v>
      </c>
    </row>
    <row r="978" ht="15.75" customHeight="1">
      <c r="Q978" s="15">
        <f t="shared" si="5"/>
        <v>0</v>
      </c>
      <c r="W978" s="22">
        <f t="shared" si="11"/>
        <v>0</v>
      </c>
      <c r="X978" s="19">
        <f t="shared" si="12"/>
        <v>0</v>
      </c>
    </row>
    <row r="979" ht="15.75" customHeight="1">
      <c r="Q979" s="15">
        <f t="shared" si="5"/>
        <v>0</v>
      </c>
      <c r="W979" s="22">
        <f t="shared" si="11"/>
        <v>0</v>
      </c>
      <c r="X979" s="19">
        <f t="shared" si="12"/>
        <v>0</v>
      </c>
    </row>
    <row r="980" ht="15.75" customHeight="1">
      <c r="Q980" s="15">
        <f t="shared" si="5"/>
        <v>0</v>
      </c>
      <c r="W980" s="22">
        <f t="shared" si="11"/>
        <v>0</v>
      </c>
      <c r="X980" s="19">
        <f t="shared" si="12"/>
        <v>0</v>
      </c>
    </row>
    <row r="981" ht="15.75" customHeight="1">
      <c r="Q981" s="15">
        <f t="shared" si="5"/>
        <v>0</v>
      </c>
      <c r="W981" s="22">
        <f t="shared" si="11"/>
        <v>0</v>
      </c>
      <c r="X981" s="19">
        <f t="shared" si="12"/>
        <v>0</v>
      </c>
    </row>
    <row r="982" ht="15.75" customHeight="1">
      <c r="Q982" s="15">
        <f t="shared" si="5"/>
        <v>0</v>
      </c>
      <c r="W982" s="22">
        <f t="shared" si="11"/>
        <v>0</v>
      </c>
      <c r="X982" s="19">
        <f t="shared" si="12"/>
        <v>0</v>
      </c>
    </row>
    <row r="983" ht="15.75" customHeight="1">
      <c r="Q983" s="15">
        <f t="shared" si="5"/>
        <v>0</v>
      </c>
      <c r="W983" s="22">
        <f t="shared" si="11"/>
        <v>0</v>
      </c>
      <c r="X983" s="19">
        <f t="shared" si="12"/>
        <v>0</v>
      </c>
    </row>
    <row r="984" ht="15.75" customHeight="1">
      <c r="Q984" s="15">
        <f t="shared" si="5"/>
        <v>0</v>
      </c>
      <c r="W984" s="22">
        <f t="shared" si="11"/>
        <v>0</v>
      </c>
      <c r="X984" s="19">
        <f t="shared" si="12"/>
        <v>0</v>
      </c>
    </row>
    <row r="985" ht="15.75" customHeight="1">
      <c r="Q985" s="15">
        <f t="shared" si="5"/>
        <v>0</v>
      </c>
      <c r="W985" s="22">
        <f t="shared" si="11"/>
        <v>0</v>
      </c>
      <c r="X985" s="19">
        <f t="shared" si="12"/>
        <v>0</v>
      </c>
    </row>
    <row r="986" ht="15.75" customHeight="1">
      <c r="Q986" s="15">
        <f t="shared" si="5"/>
        <v>0</v>
      </c>
      <c r="W986" s="22">
        <f t="shared" si="11"/>
        <v>0</v>
      </c>
      <c r="X986" s="19">
        <f t="shared" si="12"/>
        <v>0</v>
      </c>
    </row>
    <row r="987" ht="15.75" customHeight="1">
      <c r="Q987" s="15">
        <f t="shared" si="5"/>
        <v>0</v>
      </c>
      <c r="W987" s="22">
        <f t="shared" si="11"/>
        <v>0</v>
      </c>
      <c r="X987" s="19">
        <f t="shared" si="12"/>
        <v>0</v>
      </c>
    </row>
    <row r="988" ht="15.75" customHeight="1">
      <c r="Q988" s="15">
        <f t="shared" si="5"/>
        <v>0</v>
      </c>
      <c r="W988" s="22">
        <f t="shared" si="11"/>
        <v>0</v>
      </c>
      <c r="X988" s="19">
        <f t="shared" si="12"/>
        <v>0</v>
      </c>
    </row>
    <row r="989" ht="15.75" customHeight="1">
      <c r="Q989" s="15">
        <f t="shared" si="5"/>
        <v>0</v>
      </c>
      <c r="W989" s="22">
        <f t="shared" si="11"/>
        <v>0</v>
      </c>
      <c r="X989" s="19">
        <f t="shared" si="12"/>
        <v>0</v>
      </c>
    </row>
    <row r="990" ht="15.75" customHeight="1">
      <c r="Q990" s="15">
        <f t="shared" si="5"/>
        <v>0</v>
      </c>
      <c r="W990" s="22">
        <f t="shared" si="11"/>
        <v>0</v>
      </c>
      <c r="X990" s="19">
        <f t="shared" si="12"/>
        <v>0</v>
      </c>
    </row>
    <row r="991" ht="15.75" customHeight="1">
      <c r="Q991" s="15">
        <f t="shared" si="5"/>
        <v>0</v>
      </c>
      <c r="W991" s="22">
        <f t="shared" si="11"/>
        <v>0</v>
      </c>
      <c r="X991" s="19">
        <f t="shared" si="12"/>
        <v>0</v>
      </c>
    </row>
    <row r="992" ht="15.75" customHeight="1">
      <c r="Q992" s="15">
        <f t="shared" si="5"/>
        <v>0</v>
      </c>
      <c r="W992" s="22">
        <f t="shared" si="11"/>
        <v>0</v>
      </c>
      <c r="X992" s="19">
        <f t="shared" si="12"/>
        <v>0</v>
      </c>
    </row>
    <row r="993" ht="15.75" customHeight="1">
      <c r="Q993" s="15">
        <f t="shared" si="5"/>
        <v>0</v>
      </c>
      <c r="W993" s="22">
        <f t="shared" si="11"/>
        <v>0</v>
      </c>
      <c r="X993" s="19">
        <f t="shared" si="12"/>
        <v>0</v>
      </c>
    </row>
    <row r="994" ht="15.75" customHeight="1">
      <c r="Q994" s="15">
        <f t="shared" si="5"/>
        <v>0</v>
      </c>
      <c r="W994" s="22">
        <f t="shared" si="11"/>
        <v>0</v>
      </c>
      <c r="X994" s="19">
        <f t="shared" si="12"/>
        <v>0</v>
      </c>
    </row>
    <row r="995" ht="15.75" customHeight="1">
      <c r="Q995" s="15">
        <f t="shared" si="5"/>
        <v>0</v>
      </c>
      <c r="W995" s="22">
        <f t="shared" si="11"/>
        <v>0</v>
      </c>
      <c r="X995" s="19">
        <f t="shared" si="12"/>
        <v>0</v>
      </c>
    </row>
    <row r="996" ht="15.75" customHeight="1">
      <c r="Q996" s="15">
        <f t="shared" si="5"/>
        <v>0</v>
      </c>
      <c r="W996" s="22">
        <f t="shared" si="11"/>
        <v>0</v>
      </c>
      <c r="X996" s="19">
        <f t="shared" si="12"/>
        <v>0</v>
      </c>
    </row>
    <row r="997" ht="15.75" customHeight="1">
      <c r="Q997" s="15">
        <f t="shared" si="5"/>
        <v>0</v>
      </c>
      <c r="W997" s="22">
        <f t="shared" si="11"/>
        <v>0</v>
      </c>
      <c r="X997" s="19">
        <f t="shared" si="12"/>
        <v>0</v>
      </c>
    </row>
    <row r="998" ht="15.75" customHeight="1">
      <c r="Q998" s="15">
        <f t="shared" si="5"/>
        <v>0</v>
      </c>
      <c r="W998" s="22">
        <f t="shared" si="11"/>
        <v>0</v>
      </c>
      <c r="X998" s="19">
        <f t="shared" si="12"/>
        <v>0</v>
      </c>
    </row>
    <row r="999" ht="15.75" customHeight="1">
      <c r="Q999" s="15">
        <f t="shared" si="5"/>
        <v>0</v>
      </c>
      <c r="W999" s="22">
        <f t="shared" si="11"/>
        <v>0</v>
      </c>
      <c r="X999" s="19">
        <f t="shared" si="12"/>
        <v>0</v>
      </c>
    </row>
    <row r="1000" ht="15.75" customHeight="1">
      <c r="Q1000" s="15">
        <f t="shared" si="5"/>
        <v>0</v>
      </c>
      <c r="W1000" s="22">
        <f t="shared" si="11"/>
        <v>0</v>
      </c>
      <c r="X1000" s="19">
        <f t="shared" si="12"/>
        <v>0</v>
      </c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">
    <mergeCell ref="AA15:AB15"/>
    <mergeCell ref="AA22:AB22"/>
    <mergeCell ref="AA28:AB28"/>
    <mergeCell ref="AA36:AB36"/>
    <mergeCell ref="AA48:AB48"/>
  </mergeCells>
  <dataValidations>
    <dataValidation type="list" allowBlank="1" showErrorMessage="1" sqref="AB6">
      <formula1>"Interior HP 2c walls,Interior Super Paint 2c walls,Interior Duration 2c walls"</formula1>
    </dataValidation>
  </dataValidations>
  <drawing r:id="rId1"/>
</worksheet>
</file>
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" sheetId="1" r:id="rId4"/>
    <sheet state="visible" name="Rates &amp; Settings" sheetId="2" r:id="rId5"/>
  </sheets>
  <definedNames/>
  <calcPr/>
  <extLst>
    <ext uri="GoogleSheetsCustomDataVersion2">
      <go:sheetsCustomData xmlns:go="http://customooxmlschemas.google.com/" r:id="rId6" roundtripDataChecksum="evUXL3Cn8YRet28sob3qlShR9xdnj/gGX28dH3IL3bQ="/>
    </ext>
  </extLst>
</workbook>
</file>

<file path=xl/sharedStrings.xml><?xml version="1.0" encoding="utf-8"?>
<sst xmlns="http://schemas.openxmlformats.org/spreadsheetml/2006/main" count="366" uniqueCount="185">
  <si>
    <t>EXTERIOR PAINTING ESTIMATE</t>
  </si>
  <si>
    <t>Ottawa, Ontario  •  Residential Exterior  •  All amounts in CAD</t>
  </si>
  <si>
    <t>Client name:</t>
  </si>
  <si>
    <t>Project address:</t>
  </si>
  <si>
    <t>Phone / email:</t>
  </si>
  <si>
    <t>Estimate date:</t>
  </si>
  <si>
    <t>Estimate #:</t>
  </si>
  <si>
    <t>Prepared by:</t>
  </si>
  <si>
    <t>Job notes:</t>
  </si>
  <si>
    <t>Valid until:</t>
  </si>
  <si>
    <t>1. SIDING / WALL SURFACES</t>
  </si>
  <si>
    <t>Item / surface</t>
  </si>
  <si>
    <t>Qty</t>
  </si>
  <si>
    <t>Unit</t>
  </si>
  <si>
    <t>Coats</t>
  </si>
  <si>
    <t>Rate</t>
  </si>
  <si>
    <t>Labour hrs</t>
  </si>
  <si>
    <t>Labour $</t>
  </si>
  <si>
    <t>Materials $</t>
  </si>
  <si>
    <t>Line total</t>
  </si>
  <si>
    <t>Notes</t>
  </si>
  <si>
    <t>Wood siding</t>
  </si>
  <si>
    <t>sf</t>
  </si>
  <si>
    <t>Vinyl siding</t>
  </si>
  <si>
    <t>Aluminum siding</t>
  </si>
  <si>
    <t>Stucco / parging</t>
  </si>
  <si>
    <t>Brick (paint)</t>
  </si>
  <si>
    <t>Cement board (Hardie)</t>
  </si>
  <si>
    <t>Other / custom</t>
  </si>
  <si>
    <t>Siding — prep work</t>
  </si>
  <si>
    <t>Masking / taping</t>
  </si>
  <si>
    <t>hr</t>
  </si>
  <si>
    <t>Sanding</t>
  </si>
  <si>
    <t>Other prep (caulk, repair, etc.)</t>
  </si>
  <si>
    <t>Siding subtotal →</t>
  </si>
  <si>
    <t>2. TRIM / SOFFIT / FASCIA / EAVES</t>
  </si>
  <si>
    <t>Window / door trim</t>
  </si>
  <si>
    <t>lf</t>
  </si>
  <si>
    <t>Soffits</t>
  </si>
  <si>
    <t>Fascia board</t>
  </si>
  <si>
    <t>Eavestroughs (gutters)</t>
  </si>
  <si>
    <t>Gable / corner trim</t>
  </si>
  <si>
    <t>Other linear trim</t>
  </si>
  <si>
    <t>Trim — prep work</t>
  </si>
  <si>
    <t>Trim / soffit / fascia subtotal →</t>
  </si>
  <si>
    <t>3. DOORS &amp; WINDOWS</t>
  </si>
  <si>
    <t>Item</t>
  </si>
  <si>
    <t>Quantity</t>
  </si>
  <si>
    <t>Hrs / unit</t>
  </si>
  <si>
    <t>Entry door (front/back)</t>
  </si>
  <si>
    <t>each</t>
  </si>
  <si>
    <t>Garage door — single</t>
  </si>
  <si>
    <t>Garage door — double</t>
  </si>
  <si>
    <t>Window frame (avg)</t>
  </si>
  <si>
    <t>Shutter pair</t>
  </si>
  <si>
    <t>Other door / window</t>
  </si>
  <si>
    <t>Doors &amp; windows — prep work</t>
  </si>
  <si>
    <t>Doors &amp; windows subtotal →</t>
  </si>
  <si>
    <t>4. DECKS</t>
  </si>
  <si>
    <t>Deck floor (stain)</t>
  </si>
  <si>
    <t>Deck railing (stain)</t>
  </si>
  <si>
    <t>Misc railing (paint)</t>
  </si>
  <si>
    <t>Other deck work</t>
  </si>
  <si>
    <t>Decks — prep work</t>
  </si>
  <si>
    <t>Decks subtotal →</t>
  </si>
  <si>
    <t>5. FENCES (priced per panel)</t>
  </si>
  <si>
    <t>Fence type / location</t>
  </si>
  <si>
    <t># Panels</t>
  </si>
  <si>
    <t>Hrs / panel</t>
  </si>
  <si>
    <t>Sf per panel</t>
  </si>
  <si>
    <t>Fence section 1 (describe in notes)</t>
  </si>
  <si>
    <t>panel</t>
  </si>
  <si>
    <t>Fence section 2 (describe in notes)</t>
  </si>
  <si>
    <t>Fences — prep work</t>
  </si>
  <si>
    <t>Fences subtotal →</t>
  </si>
  <si>
    <t>6. PRESSURE WASHING (fixed price)</t>
  </si>
  <si>
    <t>Option</t>
  </si>
  <si>
    <t>Selection</t>
  </si>
  <si>
    <t>Price</t>
  </si>
  <si>
    <t>Pressure washing</t>
  </si>
  <si>
    <t>None</t>
  </si>
  <si>
    <t>Choose "None", "Minimum" ($99.99), or "Big job" ($150)</t>
  </si>
  <si>
    <t>Pressure washing subtotal →</t>
  </si>
  <si>
    <t>7. SETUP &amp; CLEANUP  (cumulative for whole job)</t>
  </si>
  <si>
    <t>Hours</t>
  </si>
  <si>
    <t>Job setup (first day mobilization)</t>
  </si>
  <si>
    <t>Daily setup / cleanup</t>
  </si>
  <si>
    <t>Final cleanup &amp; demob</t>
  </si>
  <si>
    <t>Setup &amp; cleanup subtotal →</t>
  </si>
  <si>
    <t>8. ESTIMATE SUMMARY</t>
  </si>
  <si>
    <t>Component</t>
  </si>
  <si>
    <t>Cost
(labour + materials)</t>
  </si>
  <si>
    <t>+ Markup</t>
  </si>
  <si>
    <t>Client price
(pre-HST)</t>
  </si>
  <si>
    <t>Siding / wall surfaces (incl. prep)</t>
  </si>
  <si>
    <t>Trim / soffit / fascia / eaves (incl. prep)</t>
  </si>
  <si>
    <t>Doors &amp; windows (incl. prep)</t>
  </si>
  <si>
    <t>Decks (incl. prep)</t>
  </si>
  <si>
    <t>Fences (incl. prep)</t>
  </si>
  <si>
    <t>Setup &amp; cleanup (whole job)</t>
  </si>
  <si>
    <t>SUBTOTAL</t>
  </si>
  <si>
    <t>HST (Ontario)</t>
  </si>
  <si>
    <t>GRAND TOTAL (CAD, incl. HST)</t>
  </si>
  <si>
    <t>JOB STATS</t>
  </si>
  <si>
    <t>Total labour hours</t>
  </si>
  <si>
    <t>Estimated crew-days (2 painters × 8 hr)</t>
  </si>
  <si>
    <t>Effective billed labour rate ($/hr after markup)</t>
  </si>
  <si>
    <t>Notes: BLUE cells are inputs (Qty, Coats, Hours, Hrs/panel, Sf/panel, fence labels, dropdowns). GREEN values are pulled from the 'Rates &amp; Settings' tab — change pricing there to update every estimate. Prep work is captured within each surface section; Setup &amp; Cleanup applies once to the whole job. Pressure washing is selected via the dropdown.</t>
  </si>
  <si>
    <t>Rates &amp; Settings — Edit any value to update all estimates</t>
  </si>
  <si>
    <t>All cells in BLUE are editable. Estimates auto-update from these values.</t>
  </si>
  <si>
    <t>GLOBAL SETTINGS</t>
  </si>
  <si>
    <t>Value</t>
  </si>
  <si>
    <t>Labour rate (cost)</t>
  </si>
  <si>
    <t>$/hr</t>
  </si>
  <si>
    <t>Internal labour cost per painter-hour</t>
  </si>
  <si>
    <t>Markup (overhead + profit)</t>
  </si>
  <si>
    <t>%</t>
  </si>
  <si>
    <t>Applied to labour + materials</t>
  </si>
  <si>
    <t>HST</t>
  </si>
  <si>
    <t>Ontario harmonized sales tax</t>
  </si>
  <si>
    <t>Paint coverage (1 coat)</t>
  </si>
  <si>
    <t>sf/gal</t>
  </si>
  <si>
    <t>Typical exterior latex on smooth surface</t>
  </si>
  <si>
    <t>Stain coverage (1 coat)</t>
  </si>
  <si>
    <t>Typical semi-transparent deck stain</t>
  </si>
  <si>
    <t>Primer coverage (1 coat)</t>
  </si>
  <si>
    <t>When required for bare wood / stains</t>
  </si>
  <si>
    <t>Sundries (% of paint cost)</t>
  </si>
  <si>
    <t>Tape, drop cloths, brushes, etc.</t>
  </si>
  <si>
    <t>PRODUCTION RATES — SIDING / WALL SURFACES</t>
  </si>
  <si>
    <t>Wood siding (clapboard, T1-11)</t>
  </si>
  <si>
    <t>sf/hr</t>
  </si>
  <si>
    <t>Brush/roll or spray with backroll</t>
  </si>
  <si>
    <t>Faster — already finished surface, requires bonding primer</t>
  </si>
  <si>
    <t>Similar to vinyl; light scuff sand</t>
  </si>
  <si>
    <t>Roll with thick nap or spray</t>
  </si>
  <si>
    <t>Pre-prime, two coats elastomeric</t>
  </si>
  <si>
    <t>Spray with backroll</t>
  </si>
  <si>
    <t>Edit rate as needed</t>
  </si>
  <si>
    <t>PRODUCTION RATES — TRIM / SOFFIT / FASCIA / EAVES</t>
  </si>
  <si>
    <t>lf/hr</t>
  </si>
  <si>
    <t>Includes cutting in</t>
  </si>
  <si>
    <t>Above eye-level, ladder work</t>
  </si>
  <si>
    <t>Ladder/scaffold required</t>
  </si>
  <si>
    <t>Light scuff, exterior latex</t>
  </si>
  <si>
    <t>Includes detail work</t>
  </si>
  <si>
    <t>DOORS &amp; WINDOWS — HOURS PER UNIT</t>
  </si>
  <si>
    <t>hr/each</t>
  </si>
  <si>
    <t>Frame + slab, includes prep</t>
  </si>
  <si>
    <t>Garage door — single (8x7)</t>
  </si>
  <si>
    <t>Two coats, ladder work</t>
  </si>
  <si>
    <t>Garage door — double (16x7)</t>
  </si>
  <si>
    <t>Exterior frame only, exterior latex</t>
  </si>
  <si>
    <t>hr/pair</t>
  </si>
  <si>
    <t>Remove, paint, rehang</t>
  </si>
  <si>
    <t>Other door/window unit</t>
  </si>
  <si>
    <t>Edit as needed</t>
  </si>
  <si>
    <t>DECKS / RAILINGS — PRODUCTION RATES</t>
  </si>
  <si>
    <t>Roll + brush detail; uses stain</t>
  </si>
  <si>
    <t>Spindles add time</t>
  </si>
  <si>
    <t>Iron/wood; uses paint</t>
  </si>
  <si>
    <t>MATERIAL COSTS</t>
  </si>
  <si>
    <t>Exterior paint (premium)</t>
  </si>
  <si>
    <t>$/gal</t>
  </si>
  <si>
    <t>Benjamin Moore Aura / SW Duration tier</t>
  </si>
  <si>
    <t>Exterior paint (mid-grade)</t>
  </si>
  <si>
    <t>BM Regal Select / SW SuperPaint</t>
  </si>
  <si>
    <t>Primer (exterior)</t>
  </si>
  <si>
    <t>Bonding/stain-blocking primer</t>
  </si>
  <si>
    <t>Deck stain (semi-transparent)</t>
  </si>
  <si>
    <t>Sansin, Sikkens, BM Arborcoat</t>
  </si>
  <si>
    <t>Solid stain (fences/decks)</t>
  </si>
  <si>
    <t>For fences / older decks</t>
  </si>
  <si>
    <t>PREP WORK — HOURLY RATES</t>
  </si>
  <si>
    <t>Per hour, painter rate</t>
  </si>
  <si>
    <t>Hand-sanding / light scraping</t>
  </si>
  <si>
    <t>Caulking, filling, minor repairs</t>
  </si>
  <si>
    <t>Setup / cleanup</t>
  </si>
  <si>
    <t>Drop cloths, plant protection, daily setup/cleanup</t>
  </si>
  <si>
    <t>PRESSURE WASHING — FIXED PRICES</t>
  </si>
  <si>
    <t>Minimum (small/avg job)</t>
  </si>
  <si>
    <t>$</t>
  </si>
  <si>
    <t>Default rate for typical residential job</t>
  </si>
  <si>
    <t>Big job (large home / lots of surface)</t>
  </si>
  <si>
    <t>Larger 2+ storey or extensive surface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</si>
</sst>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[RED]\(#,##0\);\-"/>
    <numFmt numFmtId="165" formatCode="#,##0.0;[RED]\(#,##0.0\);\-"/>
    <numFmt numFmtId="166" formatCode="_-\$#,##0.00_-;[RED]&quot;($&quot;#,##0.00\);\-"/>
    <numFmt numFmtId="167" formatCode="0.0%"/>
  </numFmts>
  <fonts count="17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1.0"/>
      <color rgb="FFFFFFFF"/>
      <name val="Arial"/>
    </font>
    <font>
      <b/>
      <sz val="10.0"/>
      <color theme="1"/>
      <name val="Arial"/>
    </font>
    <font>
      <sz val="10.0"/>
      <color rgb="FF0000FF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8000"/>
      <name val="Arial"/>
    </font>
    <font>
      <sz val="10.0"/>
      <color rgb="FF000000"/>
      <name val="Arial"/>
    </font>
    <font>
      <b/>
      <i/>
      <sz val="10.0"/>
      <color rgb="FF1F3864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14.0"/>
      <color rgb="FFFFFFFF"/>
      <name val="Arial"/>
    </font>
    <font>
      <i/>
      <sz val="9.0"/>
      <color rgb="FF595959"/>
      <name val="Arial"/>
    </font>
    <font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4472C4"/>
        <bgColor rgb="FF4472C4"/>
      </patternFill>
    </fill>
    <fill>
      <patternFill patternType="solid">
        <fgColor rgb="FF8FAADC"/>
        <bgColor rgb="FF8FAAD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right" shrinkToFit="0" vertical="center" wrapText="0"/>
    </xf>
    <xf borderId="4" fillId="3" fontId="5" numFmtId="0" xfId="0" applyAlignment="1" applyBorder="1" applyFill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1" fillId="4" fontId="6" numFmtId="0" xfId="0" applyAlignment="1" applyBorder="1" applyFill="1" applyFont="1">
      <alignment horizontal="left" shrinkToFit="0" vertical="center" wrapText="1"/>
    </xf>
    <xf borderId="7" fillId="5" fontId="7" numFmtId="0" xfId="0" applyAlignment="1" applyBorder="1" applyFill="1" applyFont="1">
      <alignment horizontal="center" shrinkToFit="0" vertical="center" wrapText="1"/>
    </xf>
    <xf borderId="7" fillId="0" fontId="8" numFmtId="0" xfId="0" applyAlignment="1" applyBorder="1" applyFont="1">
      <alignment horizontal="left" shrinkToFit="0" vertical="center" wrapText="1"/>
    </xf>
    <xf borderId="7" fillId="3" fontId="5" numFmtId="164" xfId="0" applyAlignment="1" applyBorder="1" applyFont="1" applyNumberFormat="1">
      <alignment horizontal="center" readingOrder="0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7" fillId="3" fontId="5" numFmtId="164" xfId="0" applyAlignment="1" applyBorder="1" applyFont="1" applyNumberFormat="1">
      <alignment horizontal="center" shrinkToFit="0" vertical="center" wrapText="1"/>
    </xf>
    <xf borderId="7" fillId="0" fontId="9" numFmtId="165" xfId="0" applyAlignment="1" applyBorder="1" applyFont="1" applyNumberFormat="1">
      <alignment horizontal="center" shrinkToFit="0" vertical="center" wrapText="1"/>
    </xf>
    <xf borderId="7" fillId="0" fontId="10" numFmtId="165" xfId="0" applyAlignment="1" applyBorder="1" applyFont="1" applyNumberFormat="1">
      <alignment horizontal="center" shrinkToFit="0" vertical="center" wrapText="1"/>
    </xf>
    <xf borderId="7" fillId="0" fontId="10" numFmtId="166" xfId="0" applyAlignment="1" applyBorder="1" applyFont="1" applyNumberFormat="1">
      <alignment horizontal="center" shrinkToFit="0" vertical="center" wrapText="1"/>
    </xf>
    <xf borderId="7" fillId="3" fontId="5" numFmtId="0" xfId="0" applyAlignment="1" applyBorder="1" applyFont="1">
      <alignment horizontal="left" shrinkToFit="0" vertical="center" wrapText="1"/>
    </xf>
    <xf borderId="1" fillId="6" fontId="11" numFmtId="0" xfId="0" applyAlignment="1" applyBorder="1" applyFill="1" applyFont="1">
      <alignment horizontal="left" shrinkToFit="0" vertical="center" wrapText="1"/>
    </xf>
    <xf borderId="7" fillId="3" fontId="5" numFmtId="165" xfId="0" applyAlignment="1" applyBorder="1" applyFont="1" applyNumberFormat="1">
      <alignment horizontal="center" shrinkToFit="0" vertical="center" wrapText="1"/>
    </xf>
    <xf borderId="7" fillId="7" fontId="12" numFmtId="0" xfId="0" applyAlignment="1" applyBorder="1" applyFill="1" applyFont="1">
      <alignment shrinkToFit="0" vertical="bottom" wrapText="0"/>
    </xf>
    <xf borderId="7" fillId="0" fontId="9" numFmtId="166" xfId="0" applyAlignment="1" applyBorder="1" applyFont="1" applyNumberFormat="1">
      <alignment horizontal="center" shrinkToFit="0" vertical="center" wrapText="1"/>
    </xf>
    <xf borderId="7" fillId="8" fontId="10" numFmtId="165" xfId="0" applyAlignment="1" applyBorder="1" applyFill="1" applyFont="1" applyNumberFormat="1">
      <alignment horizontal="center" shrinkToFit="0" vertical="center" wrapText="1"/>
    </xf>
    <xf borderId="4" fillId="9" fontId="4" numFmtId="0" xfId="0" applyAlignment="1" applyBorder="1" applyFill="1" applyFont="1">
      <alignment horizontal="right" shrinkToFit="0" vertical="center" wrapText="0"/>
    </xf>
    <xf borderId="7" fillId="9" fontId="13" numFmtId="166" xfId="0" applyAlignment="1" applyBorder="1" applyFont="1" applyNumberFormat="1">
      <alignment horizontal="right" shrinkToFit="0" vertical="center" wrapText="0"/>
    </xf>
    <xf borderId="7" fillId="9" fontId="12" numFmtId="0" xfId="0" applyAlignment="1" applyBorder="1" applyFont="1">
      <alignment shrinkToFit="0" vertical="bottom" wrapText="0"/>
    </xf>
    <xf borderId="7" fillId="3" fontId="5" numFmtId="165" xfId="0" applyAlignment="1" applyBorder="1" applyFont="1" applyNumberFormat="1">
      <alignment horizontal="center" readingOrder="0" shrinkToFit="0" vertical="center" wrapText="1"/>
    </xf>
    <xf borderId="7" fillId="3" fontId="5" numFmtId="0" xfId="0" applyAlignment="1" applyBorder="1" applyFont="1">
      <alignment horizontal="left" readingOrder="0" shrinkToFit="0" vertical="center" wrapText="1"/>
    </xf>
    <xf borderId="4" fillId="3" fontId="5" numFmtId="0" xfId="0" applyAlignment="1" applyBorder="1" applyFont="1">
      <alignment horizontal="center" shrinkToFit="0" vertical="center" wrapText="0"/>
    </xf>
    <xf borderId="8" fillId="0" fontId="2" numFmtId="0" xfId="0" applyBorder="1" applyFont="1"/>
    <xf borderId="4" fillId="5" fontId="7" numFmtId="0" xfId="0" applyAlignment="1" applyBorder="1" applyFont="1">
      <alignment horizontal="left" shrinkToFit="0" vertical="center" wrapText="0"/>
    </xf>
    <xf borderId="7" fillId="5" fontId="12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horizontal="left" shrinkToFit="0" vertical="center" wrapText="0"/>
    </xf>
    <xf borderId="7" fillId="0" fontId="8" numFmtId="166" xfId="0" applyAlignment="1" applyBorder="1" applyFont="1" applyNumberFormat="1">
      <alignment horizontal="right" shrinkToFit="0" vertical="center" wrapText="0"/>
    </xf>
    <xf borderId="7" fillId="0" fontId="4" numFmtId="166" xfId="0" applyAlignment="1" applyBorder="1" applyFont="1" applyNumberFormat="1">
      <alignment horizontal="right" shrinkToFit="0" vertical="center" wrapText="0"/>
    </xf>
    <xf borderId="7" fillId="0" fontId="12" numFmtId="0" xfId="0" applyAlignment="1" applyBorder="1" applyFont="1">
      <alignment shrinkToFit="0" vertical="bottom" wrapText="0"/>
    </xf>
    <xf borderId="7" fillId="9" fontId="9" numFmtId="167" xfId="0" applyAlignment="1" applyBorder="1" applyFont="1" applyNumberFormat="1">
      <alignment horizontal="center" shrinkToFit="0" vertical="center" wrapText="1"/>
    </xf>
    <xf borderId="4" fillId="7" fontId="8" numFmtId="0" xfId="0" applyAlignment="1" applyBorder="1" applyFont="1">
      <alignment horizontal="right" shrinkToFit="0" vertical="center" wrapText="0"/>
    </xf>
    <xf borderId="7" fillId="7" fontId="8" numFmtId="166" xfId="0" applyAlignment="1" applyBorder="1" applyFont="1" applyNumberFormat="1">
      <alignment horizontal="right" shrinkToFit="0" vertical="center" wrapText="0"/>
    </xf>
    <xf borderId="7" fillId="7" fontId="9" numFmtId="167" xfId="0" applyAlignment="1" applyBorder="1" applyFont="1" applyNumberFormat="1">
      <alignment horizontal="center" shrinkToFit="0" vertical="center" wrapText="1"/>
    </xf>
    <xf borderId="4" fillId="2" fontId="14" numFmtId="0" xfId="0" applyAlignment="1" applyBorder="1" applyFont="1">
      <alignment horizontal="right" shrinkToFit="0" vertical="center" wrapText="0"/>
    </xf>
    <xf borderId="7" fillId="2" fontId="14" numFmtId="166" xfId="0" applyAlignment="1" applyBorder="1" applyFont="1" applyNumberFormat="1">
      <alignment horizontal="right" shrinkToFit="0" vertical="center" wrapText="0"/>
    </xf>
    <xf borderId="7" fillId="2" fontId="12" numFmtId="0" xfId="0" applyAlignment="1" applyBorder="1" applyFont="1">
      <alignment shrinkToFit="0" vertical="bottom" wrapText="0"/>
    </xf>
    <xf borderId="7" fillId="0" fontId="8" numFmtId="165" xfId="0" applyAlignment="1" applyBorder="1" applyFont="1" applyNumberFormat="1">
      <alignment horizontal="right" shrinkToFit="0" vertical="center" wrapText="0"/>
    </xf>
    <xf borderId="0" fillId="0" fontId="15" numFmtId="0" xfId="0" applyAlignment="1" applyFont="1">
      <alignment horizontal="left" shrinkToFit="0" vertical="center" wrapText="1"/>
    </xf>
    <xf borderId="0" fillId="0" fontId="15" numFmtId="0" xfId="0" applyAlignment="1" applyFont="1">
      <alignment shrinkToFit="0" vertical="bottom" wrapText="0"/>
    </xf>
    <xf borderId="9" fillId="5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9" fillId="3" fontId="5" numFmtId="166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3" fontId="5" numFmtId="167" xfId="0" applyAlignment="1" applyBorder="1" applyFont="1" applyNumberFormat="1">
      <alignment horizontal="center" readingOrder="0" shrinkToFit="0" vertical="center" wrapText="1"/>
    </xf>
    <xf borderId="9" fillId="3" fontId="5" numFmtId="167" xfId="0" applyAlignment="1" applyBorder="1" applyFont="1" applyNumberFormat="1">
      <alignment horizontal="center" shrinkToFit="0" vertical="center" wrapText="1"/>
    </xf>
    <xf borderId="9" fillId="3" fontId="5" numFmtId="164" xfId="0" applyAlignment="1" applyBorder="1" applyFont="1" applyNumberFormat="1">
      <alignment horizontal="center" shrinkToFit="0" vertical="center" wrapText="1"/>
    </xf>
    <xf borderId="9" fillId="3" fontId="16" numFmtId="164" xfId="0" applyAlignment="1" applyBorder="1" applyFont="1" applyNumberFormat="1">
      <alignment horizontal="center" shrinkToFit="0" wrapText="1"/>
    </xf>
    <xf borderId="9" fillId="3" fontId="16" numFmtId="165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12.0"/>
    <col customWidth="1" min="4" max="4" width="9.0"/>
    <col customWidth="1" min="5" max="5" width="8.0"/>
    <col customWidth="1" min="6" max="7" width="11.0"/>
    <col customWidth="1" min="8" max="9" width="13.0"/>
    <col customWidth="1" min="10" max="10" width="14.0"/>
    <col customWidth="1" min="11" max="11" width="24.0"/>
    <col customWidth="1" min="12" max="26" width="8.71"/>
  </cols>
  <sheetData>
    <row r="1" ht="36.0" customHeight="1">
      <c r="B1" s="1" t="s">
        <v>0</v>
      </c>
      <c r="C1" s="2"/>
      <c r="D1" s="2"/>
      <c r="E1" s="2"/>
      <c r="F1" s="2"/>
      <c r="G1" s="2"/>
      <c r="H1" s="2"/>
      <c r="I1" s="2"/>
      <c r="J1" s="3"/>
    </row>
    <row r="2" ht="19.5" customHeight="1">
      <c r="B2" s="4" t="s">
        <v>1</v>
      </c>
      <c r="C2" s="2"/>
      <c r="D2" s="2"/>
      <c r="E2" s="2"/>
      <c r="F2" s="2"/>
      <c r="G2" s="2"/>
      <c r="H2" s="2"/>
      <c r="I2" s="2"/>
      <c r="J2" s="3"/>
    </row>
    <row r="4">
      <c r="B4" s="5" t="s">
        <v>2</v>
      </c>
      <c r="C4" s="6"/>
      <c r="D4" s="7"/>
      <c r="E4" s="8"/>
      <c r="G4" s="5" t="s">
        <v>3</v>
      </c>
      <c r="H4" s="6"/>
      <c r="I4" s="7"/>
      <c r="J4" s="8"/>
    </row>
    <row r="5">
      <c r="B5" s="5" t="s">
        <v>4</v>
      </c>
      <c r="C5" s="6"/>
      <c r="D5" s="7"/>
      <c r="E5" s="8"/>
      <c r="G5" s="5" t="s">
        <v>5</v>
      </c>
      <c r="H5" s="6"/>
      <c r="I5" s="7"/>
      <c r="J5" s="8"/>
    </row>
    <row r="6">
      <c r="B6" s="5" t="s">
        <v>6</v>
      </c>
      <c r="C6" s="6"/>
      <c r="D6" s="7"/>
      <c r="E6" s="8"/>
      <c r="G6" s="5" t="s">
        <v>7</v>
      </c>
      <c r="H6" s="6"/>
      <c r="I6" s="7"/>
      <c r="J6" s="8"/>
    </row>
    <row r="7">
      <c r="B7" s="5" t="s">
        <v>8</v>
      </c>
      <c r="C7" s="6"/>
      <c r="D7" s="7"/>
      <c r="E7" s="8"/>
      <c r="G7" s="5" t="s">
        <v>9</v>
      </c>
      <c r="H7" s="6"/>
      <c r="I7" s="7"/>
      <c r="J7" s="8"/>
    </row>
    <row r="9" ht="21.75" customHeight="1">
      <c r="B9" s="9" t="s">
        <v>10</v>
      </c>
      <c r="C9" s="2"/>
      <c r="D9" s="2"/>
      <c r="E9" s="2"/>
      <c r="F9" s="2"/>
      <c r="G9" s="2"/>
      <c r="H9" s="2"/>
      <c r="I9" s="2"/>
      <c r="J9" s="2"/>
      <c r="K9" s="3"/>
    </row>
    <row r="10" ht="27.75" customHeight="1"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  <c r="I10" s="10" t="s">
        <v>18</v>
      </c>
      <c r="J10" s="10" t="s">
        <v>19</v>
      </c>
      <c r="K10" s="10" t="s">
        <v>20</v>
      </c>
    </row>
    <row r="11">
      <c r="B11" s="11" t="s">
        <v>21</v>
      </c>
      <c r="C11" s="12"/>
      <c r="D11" s="13" t="s">
        <v>22</v>
      </c>
      <c r="E11" s="14">
        <v>2.0</v>
      </c>
      <c r="F11" s="15">
        <f>'Rates &amp; Settings'!$B$16</f>
        <v>120</v>
      </c>
      <c r="G11" s="16">
        <f t="shared" ref="G11:G17" si="1">IF(F11=0,0,C11/F11)</f>
        <v>0</v>
      </c>
      <c r="H11" s="17">
        <f>G11*'Rates &amp; Settings'!$B$6</f>
        <v>0</v>
      </c>
      <c r="I11" s="17">
        <f>IF('Rates &amp; Settings'!$B$9=0,0,(C11*1*E11/'Rates &amp; Settings'!$B$9)*'Rates &amp; Settings'!$B$51*(1+'Rates &amp; Settings'!$B$12))</f>
        <v>0</v>
      </c>
      <c r="J11" s="17">
        <f t="shared" ref="J11:J17" si="2">H11+I11</f>
        <v>0</v>
      </c>
      <c r="K11" s="18"/>
    </row>
    <row r="12">
      <c r="B12" s="11" t="s">
        <v>23</v>
      </c>
      <c r="C12" s="14">
        <v>0.0</v>
      </c>
      <c r="D12" s="13" t="s">
        <v>22</v>
      </c>
      <c r="E12" s="14">
        <v>2.0</v>
      </c>
      <c r="F12" s="15">
        <f>'Rates &amp; Settings'!$B$17</f>
        <v>150</v>
      </c>
      <c r="G12" s="16">
        <f t="shared" si="1"/>
        <v>0</v>
      </c>
      <c r="H12" s="17">
        <f>G12*'Rates &amp; Settings'!$B$6</f>
        <v>0</v>
      </c>
      <c r="I12" s="17">
        <f>IF('Rates &amp; Settings'!$B$9=0,0,(C12*1*E12/'Rates &amp; Settings'!$B$9)*'Rates &amp; Settings'!$B$51*(1+'Rates &amp; Settings'!$B$12))</f>
        <v>0</v>
      </c>
      <c r="J12" s="17">
        <f t="shared" si="2"/>
        <v>0</v>
      </c>
      <c r="K12" s="18"/>
    </row>
    <row r="13">
      <c r="B13" s="11" t="s">
        <v>24</v>
      </c>
      <c r="C13" s="14">
        <v>0.0</v>
      </c>
      <c r="D13" s="13" t="s">
        <v>22</v>
      </c>
      <c r="E13" s="14">
        <v>2.0</v>
      </c>
      <c r="F13" s="15">
        <f>'Rates &amp; Settings'!$B$18</f>
        <v>150</v>
      </c>
      <c r="G13" s="16">
        <f t="shared" si="1"/>
        <v>0</v>
      </c>
      <c r="H13" s="17">
        <f>G13*'Rates &amp; Settings'!$B$6</f>
        <v>0</v>
      </c>
      <c r="I13" s="17">
        <f>IF('Rates &amp; Settings'!$B$9=0,0,(C13*1*E13/'Rates &amp; Settings'!$B$9)*'Rates &amp; Settings'!$B$51*(1+'Rates &amp; Settings'!$B$12))</f>
        <v>0</v>
      </c>
      <c r="J13" s="17">
        <f t="shared" si="2"/>
        <v>0</v>
      </c>
      <c r="K13" s="18"/>
    </row>
    <row r="14">
      <c r="B14" s="11" t="s">
        <v>25</v>
      </c>
      <c r="C14" s="14">
        <v>0.0</v>
      </c>
      <c r="D14" s="13" t="s">
        <v>22</v>
      </c>
      <c r="E14" s="14">
        <v>2.0</v>
      </c>
      <c r="F14" s="15">
        <f>'Rates &amp; Settings'!$B$19</f>
        <v>100</v>
      </c>
      <c r="G14" s="16">
        <f t="shared" si="1"/>
        <v>0</v>
      </c>
      <c r="H14" s="17">
        <f>G14*'Rates &amp; Settings'!$B$6</f>
        <v>0</v>
      </c>
      <c r="I14" s="17">
        <f>IF('Rates &amp; Settings'!$B$9=0,0,(C14*1*E14/'Rates &amp; Settings'!$B$9)*'Rates &amp; Settings'!$B$51*(1+'Rates &amp; Settings'!$B$12))</f>
        <v>0</v>
      </c>
      <c r="J14" s="17">
        <f t="shared" si="2"/>
        <v>0</v>
      </c>
      <c r="K14" s="18"/>
    </row>
    <row r="15">
      <c r="B15" s="11" t="s">
        <v>26</v>
      </c>
      <c r="C15" s="14">
        <v>0.0</v>
      </c>
      <c r="D15" s="13" t="s">
        <v>22</v>
      </c>
      <c r="E15" s="14">
        <v>2.0</v>
      </c>
      <c r="F15" s="15">
        <f>'Rates &amp; Settings'!$B$20</f>
        <v>100</v>
      </c>
      <c r="G15" s="16">
        <f t="shared" si="1"/>
        <v>0</v>
      </c>
      <c r="H15" s="17">
        <f>G15*'Rates &amp; Settings'!$B$6</f>
        <v>0</v>
      </c>
      <c r="I15" s="17">
        <f>IF('Rates &amp; Settings'!$B$9=0,0,(C15*1*E15/'Rates &amp; Settings'!$B$9)*'Rates &amp; Settings'!$B$51*(1+'Rates &amp; Settings'!$B$12))</f>
        <v>0</v>
      </c>
      <c r="J15" s="17">
        <f t="shared" si="2"/>
        <v>0</v>
      </c>
      <c r="K15" s="18"/>
    </row>
    <row r="16">
      <c r="B16" s="11" t="s">
        <v>27</v>
      </c>
      <c r="C16" s="14">
        <v>0.0</v>
      </c>
      <c r="D16" s="13" t="s">
        <v>22</v>
      </c>
      <c r="E16" s="14">
        <v>2.0</v>
      </c>
      <c r="F16" s="15">
        <f>'Rates &amp; Settings'!$B$21</f>
        <v>100</v>
      </c>
      <c r="G16" s="16">
        <f t="shared" si="1"/>
        <v>0</v>
      </c>
      <c r="H16" s="17">
        <f>G16*'Rates &amp; Settings'!$B$6</f>
        <v>0</v>
      </c>
      <c r="I16" s="17">
        <f>IF('Rates &amp; Settings'!$B$9=0,0,(C16*1*E16/'Rates &amp; Settings'!$B$9)*'Rates &amp; Settings'!$B$51*(1+'Rates &amp; Settings'!$B$12))</f>
        <v>0</v>
      </c>
      <c r="J16" s="17">
        <f t="shared" si="2"/>
        <v>0</v>
      </c>
      <c r="K16" s="18"/>
    </row>
    <row r="17">
      <c r="B17" s="11" t="s">
        <v>28</v>
      </c>
      <c r="C17" s="14">
        <v>0.0</v>
      </c>
      <c r="D17" s="13" t="s">
        <v>22</v>
      </c>
      <c r="E17" s="14">
        <v>2.0</v>
      </c>
      <c r="F17" s="15">
        <f>'Rates &amp; Settings'!$B$22</f>
        <v>200</v>
      </c>
      <c r="G17" s="16">
        <f t="shared" si="1"/>
        <v>0</v>
      </c>
      <c r="H17" s="17">
        <f>G17*'Rates &amp; Settings'!$B$6</f>
        <v>0</v>
      </c>
      <c r="I17" s="17">
        <f>IF('Rates &amp; Settings'!$B$9=0,0,(C17*1*E17/'Rates &amp; Settings'!$B$9)*'Rates &amp; Settings'!$B$51*(1+'Rates &amp; Settings'!$B$12))</f>
        <v>0</v>
      </c>
      <c r="J17" s="17">
        <f t="shared" si="2"/>
        <v>0</v>
      </c>
      <c r="K17" s="18"/>
    </row>
    <row r="18" ht="18.0" customHeight="1">
      <c r="B18" s="19" t="s">
        <v>29</v>
      </c>
      <c r="C18" s="2"/>
      <c r="D18" s="2"/>
      <c r="E18" s="2"/>
      <c r="F18" s="2"/>
      <c r="G18" s="2"/>
      <c r="H18" s="2"/>
      <c r="I18" s="2"/>
      <c r="J18" s="2"/>
      <c r="K18" s="3"/>
    </row>
    <row r="19">
      <c r="B19" s="11" t="s">
        <v>30</v>
      </c>
      <c r="C19" s="20">
        <v>0.0</v>
      </c>
      <c r="D19" s="13" t="s">
        <v>31</v>
      </c>
      <c r="E19" s="21"/>
      <c r="F19" s="22">
        <f>'Rates &amp; Settings'!$B$59</f>
        <v>40</v>
      </c>
      <c r="G19" s="23">
        <f t="shared" ref="G19:G21" si="3">C19</f>
        <v>0</v>
      </c>
      <c r="H19" s="21"/>
      <c r="I19" s="21"/>
      <c r="J19" s="17">
        <f t="shared" ref="J19:J21" si="4">C19*F19</f>
        <v>0</v>
      </c>
      <c r="K19" s="18"/>
    </row>
    <row r="20">
      <c r="B20" s="11" t="s">
        <v>32</v>
      </c>
      <c r="C20" s="20">
        <v>0.0</v>
      </c>
      <c r="D20" s="13" t="s">
        <v>31</v>
      </c>
      <c r="E20" s="21"/>
      <c r="F20" s="22">
        <f>'Rates &amp; Settings'!$B$60</f>
        <v>40</v>
      </c>
      <c r="G20" s="23">
        <f t="shared" si="3"/>
        <v>0</v>
      </c>
      <c r="H20" s="21"/>
      <c r="I20" s="21"/>
      <c r="J20" s="17">
        <f t="shared" si="4"/>
        <v>0</v>
      </c>
      <c r="K20" s="18"/>
    </row>
    <row r="21" ht="15.75" customHeight="1">
      <c r="B21" s="11" t="s">
        <v>33</v>
      </c>
      <c r="C21" s="20">
        <v>0.0</v>
      </c>
      <c r="D21" s="13" t="s">
        <v>31</v>
      </c>
      <c r="E21" s="21"/>
      <c r="F21" s="22">
        <f>'Rates &amp; Settings'!$B$61</f>
        <v>45</v>
      </c>
      <c r="G21" s="23">
        <f t="shared" si="3"/>
        <v>0</v>
      </c>
      <c r="H21" s="21"/>
      <c r="I21" s="21"/>
      <c r="J21" s="17">
        <f t="shared" si="4"/>
        <v>0</v>
      </c>
      <c r="K21" s="18"/>
    </row>
    <row r="22" ht="21.75" customHeight="1">
      <c r="B22" s="24" t="s">
        <v>34</v>
      </c>
      <c r="C22" s="7"/>
      <c r="D22" s="7"/>
      <c r="E22" s="7"/>
      <c r="F22" s="7"/>
      <c r="G22" s="7"/>
      <c r="H22" s="7"/>
      <c r="I22" s="8"/>
      <c r="J22" s="25">
        <f>SUM(J11,J12,J13,J14,J15,J16,J17,J19,J20,J21)</f>
        <v>0</v>
      </c>
      <c r="K22" s="26"/>
    </row>
    <row r="23" ht="15.75" customHeight="1"/>
    <row r="24" ht="21.75" customHeight="1">
      <c r="B24" s="9" t="s">
        <v>35</v>
      </c>
      <c r="C24" s="2"/>
      <c r="D24" s="2"/>
      <c r="E24" s="2"/>
      <c r="F24" s="2"/>
      <c r="G24" s="2"/>
      <c r="H24" s="2"/>
      <c r="I24" s="2"/>
      <c r="J24" s="2"/>
      <c r="K24" s="3"/>
    </row>
    <row r="25" ht="27.75" customHeight="1">
      <c r="B25" s="10" t="s">
        <v>11</v>
      </c>
      <c r="C25" s="10" t="s">
        <v>12</v>
      </c>
      <c r="D25" s="10" t="s">
        <v>13</v>
      </c>
      <c r="E25" s="10" t="s">
        <v>14</v>
      </c>
      <c r="F25" s="10" t="s">
        <v>15</v>
      </c>
      <c r="G25" s="10" t="s">
        <v>16</v>
      </c>
      <c r="H25" s="10" t="s">
        <v>17</v>
      </c>
      <c r="I25" s="10" t="s">
        <v>18</v>
      </c>
      <c r="J25" s="10" t="s">
        <v>19</v>
      </c>
      <c r="K25" s="10" t="s">
        <v>20</v>
      </c>
    </row>
    <row r="26" ht="15.75" customHeight="1">
      <c r="B26" s="11" t="s">
        <v>36</v>
      </c>
      <c r="C26" s="14">
        <v>0.0</v>
      </c>
      <c r="D26" s="13" t="s">
        <v>37</v>
      </c>
      <c r="E26" s="14">
        <v>2.0</v>
      </c>
      <c r="F26" s="15">
        <f>'Rates &amp; Settings'!$B$26</f>
        <v>40</v>
      </c>
      <c r="G26" s="16">
        <f t="shared" ref="G26:G31" si="5">IF(F26=0,0,C26/F26)</f>
        <v>0</v>
      </c>
      <c r="H26" s="17">
        <f>G26*'Rates &amp; Settings'!$B$6</f>
        <v>0</v>
      </c>
      <c r="I26" s="17">
        <f>IF('Rates &amp; Settings'!$B$9=0,0,(C26*0.7*E26/'Rates &amp; Settings'!$B$9)*'Rates &amp; Settings'!$B$51*(1+'Rates &amp; Settings'!$B$12))</f>
        <v>0</v>
      </c>
      <c r="J26" s="17">
        <f t="shared" ref="J26:J31" si="6">H26+I26</f>
        <v>0</v>
      </c>
      <c r="K26" s="18"/>
    </row>
    <row r="27" ht="15.75" customHeight="1">
      <c r="B27" s="11" t="s">
        <v>38</v>
      </c>
      <c r="C27" s="12">
        <v>120.0</v>
      </c>
      <c r="D27" s="13" t="s">
        <v>37</v>
      </c>
      <c r="E27" s="14">
        <v>2.0</v>
      </c>
      <c r="F27" s="15">
        <f>'Rates &amp; Settings'!$B$27</f>
        <v>60</v>
      </c>
      <c r="G27" s="16">
        <f t="shared" si="5"/>
        <v>2</v>
      </c>
      <c r="H27" s="17">
        <f>G27*'Rates &amp; Settings'!$B$6</f>
        <v>80</v>
      </c>
      <c r="I27" s="17">
        <f>IF('Rates &amp; Settings'!$B$9=0,0,(C27*0.7*E27/'Rates &amp; Settings'!$B$9)*'Rates &amp; Settings'!$B$51*(1+'Rates &amp; Settings'!$B$12))</f>
        <v>46.92</v>
      </c>
      <c r="J27" s="17">
        <f t="shared" si="6"/>
        <v>126.92</v>
      </c>
      <c r="K27" s="18"/>
    </row>
    <row r="28" ht="15.75" customHeight="1">
      <c r="B28" s="11" t="s">
        <v>39</v>
      </c>
      <c r="C28" s="12">
        <v>120.0</v>
      </c>
      <c r="D28" s="13" t="s">
        <v>37</v>
      </c>
      <c r="E28" s="14">
        <v>2.0</v>
      </c>
      <c r="F28" s="15">
        <f>'Rates &amp; Settings'!$B$28</f>
        <v>50</v>
      </c>
      <c r="G28" s="16">
        <f t="shared" si="5"/>
        <v>2.4</v>
      </c>
      <c r="H28" s="17">
        <f>G28*'Rates &amp; Settings'!$B$6</f>
        <v>96</v>
      </c>
      <c r="I28" s="17">
        <f>IF('Rates &amp; Settings'!$B$9=0,0,(C28*0.7*E28/'Rates &amp; Settings'!$B$9)*'Rates &amp; Settings'!$B$51*(1+'Rates &amp; Settings'!$B$12))</f>
        <v>46.92</v>
      </c>
      <c r="J28" s="17">
        <f t="shared" si="6"/>
        <v>142.92</v>
      </c>
      <c r="K28" s="18"/>
    </row>
    <row r="29" ht="15.75" customHeight="1">
      <c r="B29" s="11" t="s">
        <v>40</v>
      </c>
      <c r="C29" s="14">
        <v>0.0</v>
      </c>
      <c r="D29" s="13" t="s">
        <v>37</v>
      </c>
      <c r="E29" s="14">
        <v>2.0</v>
      </c>
      <c r="F29" s="15">
        <f>'Rates &amp; Settings'!$B$29</f>
        <v>55</v>
      </c>
      <c r="G29" s="16">
        <f t="shared" si="5"/>
        <v>0</v>
      </c>
      <c r="H29" s="17">
        <f>G29*'Rates &amp; Settings'!$B$6</f>
        <v>0</v>
      </c>
      <c r="I29" s="17">
        <f>IF('Rates &amp; Settings'!$B$9=0,0,(C29*0.7*E29/'Rates &amp; Settings'!$B$9)*'Rates &amp; Settings'!$B$51*(1+'Rates &amp; Settings'!$B$12))</f>
        <v>0</v>
      </c>
      <c r="J29" s="17">
        <f t="shared" si="6"/>
        <v>0</v>
      </c>
      <c r="K29" s="18"/>
    </row>
    <row r="30" ht="15.75" customHeight="1">
      <c r="B30" s="11" t="s">
        <v>41</v>
      </c>
      <c r="C30" s="14">
        <v>0.0</v>
      </c>
      <c r="D30" s="13" t="s">
        <v>37</v>
      </c>
      <c r="E30" s="14">
        <v>2.0</v>
      </c>
      <c r="F30" s="15">
        <f>'Rates &amp; Settings'!$B$30</f>
        <v>45</v>
      </c>
      <c r="G30" s="16">
        <f t="shared" si="5"/>
        <v>0</v>
      </c>
      <c r="H30" s="17">
        <f>G30*'Rates &amp; Settings'!$B$6</f>
        <v>0</v>
      </c>
      <c r="I30" s="17">
        <f>IF('Rates &amp; Settings'!$B$9=0,0,(C30*0.7*E30/'Rates &amp; Settings'!$B$9)*'Rates &amp; Settings'!$B$51*(1+'Rates &amp; Settings'!$B$12))</f>
        <v>0</v>
      </c>
      <c r="J30" s="17">
        <f t="shared" si="6"/>
        <v>0</v>
      </c>
      <c r="K30" s="18"/>
    </row>
    <row r="31" ht="15.75" customHeight="1">
      <c r="B31" s="11" t="s">
        <v>42</v>
      </c>
      <c r="C31" s="14">
        <v>0.0</v>
      </c>
      <c r="D31" s="13" t="s">
        <v>37</v>
      </c>
      <c r="E31" s="14">
        <v>2.0</v>
      </c>
      <c r="F31" s="15">
        <f>'Rates &amp; Settings'!$B$31</f>
        <v>40</v>
      </c>
      <c r="G31" s="16">
        <f t="shared" si="5"/>
        <v>0</v>
      </c>
      <c r="H31" s="17">
        <f>G31*'Rates &amp; Settings'!$B$6</f>
        <v>0</v>
      </c>
      <c r="I31" s="17">
        <f>IF('Rates &amp; Settings'!$B$9=0,0,(C31*0.7*E31/'Rates &amp; Settings'!$B$9)*'Rates &amp; Settings'!$B$51*(1+'Rates &amp; Settings'!$B$12))</f>
        <v>0</v>
      </c>
      <c r="J31" s="17">
        <f t="shared" si="6"/>
        <v>0</v>
      </c>
      <c r="K31" s="18"/>
    </row>
    <row r="32" ht="18.0" customHeight="1">
      <c r="B32" s="19" t="s">
        <v>43</v>
      </c>
      <c r="C32" s="2"/>
      <c r="D32" s="2"/>
      <c r="E32" s="2"/>
      <c r="F32" s="2"/>
      <c r="G32" s="2"/>
      <c r="H32" s="2"/>
      <c r="I32" s="2"/>
      <c r="J32" s="2"/>
      <c r="K32" s="3"/>
    </row>
    <row r="33" ht="15.75" customHeight="1">
      <c r="B33" s="11" t="s">
        <v>30</v>
      </c>
      <c r="C33" s="27">
        <v>4.0</v>
      </c>
      <c r="D33" s="13" t="s">
        <v>31</v>
      </c>
      <c r="E33" s="21"/>
      <c r="F33" s="22">
        <f>'Rates &amp; Settings'!$B$59</f>
        <v>40</v>
      </c>
      <c r="G33" s="23">
        <f t="shared" ref="G33:G35" si="7">C33</f>
        <v>4</v>
      </c>
      <c r="H33" s="21"/>
      <c r="I33" s="21"/>
      <c r="J33" s="17">
        <f t="shared" ref="J33:J35" si="8">C33*F33</f>
        <v>160</v>
      </c>
      <c r="K33" s="18"/>
    </row>
    <row r="34" ht="15.75" customHeight="1">
      <c r="B34" s="11" t="s">
        <v>32</v>
      </c>
      <c r="C34" s="20">
        <v>0.0</v>
      </c>
      <c r="D34" s="13" t="s">
        <v>31</v>
      </c>
      <c r="E34" s="21"/>
      <c r="F34" s="22">
        <f>'Rates &amp; Settings'!$B$60</f>
        <v>40</v>
      </c>
      <c r="G34" s="23">
        <f t="shared" si="7"/>
        <v>0</v>
      </c>
      <c r="H34" s="21"/>
      <c r="I34" s="21"/>
      <c r="J34" s="17">
        <f t="shared" si="8"/>
        <v>0</v>
      </c>
      <c r="K34" s="18"/>
    </row>
    <row r="35" ht="15.75" customHeight="1">
      <c r="B35" s="11" t="s">
        <v>33</v>
      </c>
      <c r="C35" s="20">
        <v>0.0</v>
      </c>
      <c r="D35" s="13" t="s">
        <v>31</v>
      </c>
      <c r="E35" s="21"/>
      <c r="F35" s="22">
        <f>'Rates &amp; Settings'!$B$61</f>
        <v>45</v>
      </c>
      <c r="G35" s="23">
        <f t="shared" si="7"/>
        <v>0</v>
      </c>
      <c r="H35" s="21"/>
      <c r="I35" s="21"/>
      <c r="J35" s="17">
        <f t="shared" si="8"/>
        <v>0</v>
      </c>
      <c r="K35" s="18"/>
    </row>
    <row r="36" ht="21.75" customHeight="1">
      <c r="B36" s="24" t="s">
        <v>44</v>
      </c>
      <c r="C36" s="7"/>
      <c r="D36" s="7"/>
      <c r="E36" s="7"/>
      <c r="F36" s="7"/>
      <c r="G36" s="7"/>
      <c r="H36" s="7"/>
      <c r="I36" s="8"/>
      <c r="J36" s="25">
        <f>SUM(J26,J27,J28,J29,J30,J31,J33,J34,J35)</f>
        <v>429.84</v>
      </c>
      <c r="K36" s="26"/>
    </row>
    <row r="37" ht="15.75" customHeight="1"/>
    <row r="38" ht="21.75" customHeight="1">
      <c r="B38" s="9" t="s">
        <v>45</v>
      </c>
      <c r="C38" s="2"/>
      <c r="D38" s="2"/>
      <c r="E38" s="2"/>
      <c r="F38" s="2"/>
      <c r="G38" s="2"/>
      <c r="H38" s="2"/>
      <c r="I38" s="2"/>
      <c r="J38" s="2"/>
      <c r="K38" s="3"/>
    </row>
    <row r="39" ht="27.75" customHeight="1">
      <c r="B39" s="10" t="s">
        <v>46</v>
      </c>
      <c r="C39" s="10" t="s">
        <v>47</v>
      </c>
      <c r="D39" s="10" t="s">
        <v>13</v>
      </c>
      <c r="E39" s="10" t="s">
        <v>14</v>
      </c>
      <c r="F39" s="10" t="s">
        <v>48</v>
      </c>
      <c r="G39" s="10" t="s">
        <v>16</v>
      </c>
      <c r="H39" s="10" t="s">
        <v>17</v>
      </c>
      <c r="I39" s="10" t="s">
        <v>18</v>
      </c>
      <c r="J39" s="10" t="s">
        <v>19</v>
      </c>
      <c r="K39" s="10" t="s">
        <v>20</v>
      </c>
    </row>
    <row r="40" ht="15.75" customHeight="1">
      <c r="B40" s="11" t="s">
        <v>49</v>
      </c>
      <c r="C40" s="14">
        <v>0.0</v>
      </c>
      <c r="D40" s="13" t="s">
        <v>50</v>
      </c>
      <c r="E40" s="14">
        <v>2.0</v>
      </c>
      <c r="F40" s="15">
        <f>'Rates &amp; Settings'!$B$35</f>
        <v>2.5</v>
      </c>
      <c r="G40" s="16">
        <f t="shared" ref="G40:G45" si="9">C40*F40</f>
        <v>0</v>
      </c>
      <c r="H40" s="17">
        <f>G40*'Rates &amp; Settings'!$B$6</f>
        <v>0</v>
      </c>
      <c r="I40" s="17">
        <f>IF('Rates &amp; Settings'!$B$9=0,0,(C40*40*E40/'Rates &amp; Settings'!$B$9)*'Rates &amp; Settings'!$B$51*(1+'Rates &amp; Settings'!$B$12))</f>
        <v>0</v>
      </c>
      <c r="J40" s="17">
        <f t="shared" ref="J40:J45" si="10">H40+I40</f>
        <v>0</v>
      </c>
      <c r="K40" s="18"/>
    </row>
    <row r="41" ht="15.75" customHeight="1">
      <c r="B41" s="11" t="s">
        <v>51</v>
      </c>
      <c r="C41" s="14">
        <v>0.0</v>
      </c>
      <c r="D41" s="13" t="s">
        <v>50</v>
      </c>
      <c r="E41" s="14">
        <v>2.0</v>
      </c>
      <c r="F41" s="15">
        <f>'Rates &amp; Settings'!$B$36</f>
        <v>4</v>
      </c>
      <c r="G41" s="16">
        <f t="shared" si="9"/>
        <v>0</v>
      </c>
      <c r="H41" s="17">
        <f>G41*'Rates &amp; Settings'!$B$6</f>
        <v>0</v>
      </c>
      <c r="I41" s="17">
        <f>IF('Rates &amp; Settings'!$B$9=0,0,(C41*60*E41/'Rates &amp; Settings'!$B$9)*'Rates &amp; Settings'!$B$51*(1+'Rates &amp; Settings'!$B$12))</f>
        <v>0</v>
      </c>
      <c r="J41" s="17">
        <f t="shared" si="10"/>
        <v>0</v>
      </c>
      <c r="K41" s="18"/>
    </row>
    <row r="42" ht="15.75" customHeight="1">
      <c r="B42" s="11" t="s">
        <v>52</v>
      </c>
      <c r="C42" s="14">
        <v>0.0</v>
      </c>
      <c r="D42" s="13" t="s">
        <v>50</v>
      </c>
      <c r="E42" s="14">
        <v>2.0</v>
      </c>
      <c r="F42" s="15">
        <f>'Rates &amp; Settings'!$B$37</f>
        <v>6</v>
      </c>
      <c r="G42" s="16">
        <f t="shared" si="9"/>
        <v>0</v>
      </c>
      <c r="H42" s="17">
        <f>G42*'Rates &amp; Settings'!$B$6</f>
        <v>0</v>
      </c>
      <c r="I42" s="17">
        <f>IF('Rates &amp; Settings'!$B$9=0,0,(C42*120*E42/'Rates &amp; Settings'!$B$9)*'Rates &amp; Settings'!$B$51*(1+'Rates &amp; Settings'!$B$12))</f>
        <v>0</v>
      </c>
      <c r="J42" s="17">
        <f t="shared" si="10"/>
        <v>0</v>
      </c>
      <c r="K42" s="18"/>
    </row>
    <row r="43" ht="15.75" customHeight="1">
      <c r="B43" s="11" t="s">
        <v>53</v>
      </c>
      <c r="C43" s="12">
        <v>5.0</v>
      </c>
      <c r="D43" s="13" t="s">
        <v>50</v>
      </c>
      <c r="E43" s="14">
        <v>2.0</v>
      </c>
      <c r="F43" s="15">
        <f>'Rates &amp; Settings'!$B$38</f>
        <v>0.75</v>
      </c>
      <c r="G43" s="16">
        <f t="shared" si="9"/>
        <v>3.75</v>
      </c>
      <c r="H43" s="17">
        <f>G43*'Rates &amp; Settings'!$B$6</f>
        <v>150</v>
      </c>
      <c r="I43" s="17">
        <f>IF('Rates &amp; Settings'!$B$9=0,0,(C43*15*E43/'Rates &amp; Settings'!$B$9)*'Rates &amp; Settings'!$B$51*(1+'Rates &amp; Settings'!$B$12))</f>
        <v>41.89285714</v>
      </c>
      <c r="J43" s="17">
        <f t="shared" si="10"/>
        <v>191.8928571</v>
      </c>
      <c r="K43" s="28"/>
    </row>
    <row r="44" ht="15.75" customHeight="1">
      <c r="B44" s="11" t="s">
        <v>54</v>
      </c>
      <c r="C44" s="14">
        <v>0.0</v>
      </c>
      <c r="D44" s="13" t="s">
        <v>50</v>
      </c>
      <c r="E44" s="14">
        <v>2.0</v>
      </c>
      <c r="F44" s="15">
        <f>'Rates &amp; Settings'!$B$39</f>
        <v>0.5</v>
      </c>
      <c r="G44" s="16">
        <f t="shared" si="9"/>
        <v>0</v>
      </c>
      <c r="H44" s="17">
        <f>G44*'Rates &amp; Settings'!$B$6</f>
        <v>0</v>
      </c>
      <c r="I44" s="17">
        <f>IF('Rates &amp; Settings'!$B$9=0,0,(C44*20*E44/'Rates &amp; Settings'!$B$9)*'Rates &amp; Settings'!$B$51*(1+'Rates &amp; Settings'!$B$12))</f>
        <v>0</v>
      </c>
      <c r="J44" s="17">
        <f t="shared" si="10"/>
        <v>0</v>
      </c>
      <c r="K44" s="18"/>
    </row>
    <row r="45" ht="15.75" customHeight="1">
      <c r="B45" s="11" t="s">
        <v>55</v>
      </c>
      <c r="C45" s="14">
        <v>0.0</v>
      </c>
      <c r="D45" s="13" t="s">
        <v>50</v>
      </c>
      <c r="E45" s="14">
        <v>2.0</v>
      </c>
      <c r="F45" s="15">
        <f>'Rates &amp; Settings'!$B$40</f>
        <v>1.5</v>
      </c>
      <c r="G45" s="16">
        <f t="shared" si="9"/>
        <v>0</v>
      </c>
      <c r="H45" s="17">
        <f>G45*'Rates &amp; Settings'!$B$6</f>
        <v>0</v>
      </c>
      <c r="I45" s="17">
        <f>IF('Rates &amp; Settings'!$B$9=0,0,(C45*25*E45/'Rates &amp; Settings'!$B$9)*'Rates &amp; Settings'!$B$51*(1+'Rates &amp; Settings'!$B$12))</f>
        <v>0</v>
      </c>
      <c r="J45" s="17">
        <f t="shared" si="10"/>
        <v>0</v>
      </c>
      <c r="K45" s="18"/>
    </row>
    <row r="46" ht="18.0" customHeight="1">
      <c r="B46" s="19" t="s">
        <v>56</v>
      </c>
      <c r="C46" s="2"/>
      <c r="D46" s="2"/>
      <c r="E46" s="2"/>
      <c r="F46" s="2"/>
      <c r="G46" s="2"/>
      <c r="H46" s="2"/>
      <c r="I46" s="2"/>
      <c r="J46" s="2"/>
      <c r="K46" s="3"/>
    </row>
    <row r="47" ht="15.75" customHeight="1">
      <c r="B47" s="11" t="s">
        <v>30</v>
      </c>
      <c r="C47" s="20">
        <v>0.0</v>
      </c>
      <c r="D47" s="13" t="s">
        <v>31</v>
      </c>
      <c r="E47" s="21"/>
      <c r="F47" s="22">
        <f>'Rates &amp; Settings'!$B$59</f>
        <v>40</v>
      </c>
      <c r="G47" s="23">
        <f t="shared" ref="G47:G49" si="11">C47</f>
        <v>0</v>
      </c>
      <c r="H47" s="21"/>
      <c r="I47" s="21"/>
      <c r="J47" s="17">
        <f t="shared" ref="J47:J49" si="12">C47*F47</f>
        <v>0</v>
      </c>
      <c r="K47" s="18"/>
    </row>
    <row r="48" ht="15.75" customHeight="1">
      <c r="B48" s="11" t="s">
        <v>32</v>
      </c>
      <c r="C48" s="20">
        <v>0.0</v>
      </c>
      <c r="D48" s="13" t="s">
        <v>31</v>
      </c>
      <c r="E48" s="21"/>
      <c r="F48" s="22">
        <f>'Rates &amp; Settings'!$B$60</f>
        <v>40</v>
      </c>
      <c r="G48" s="23">
        <f t="shared" si="11"/>
        <v>0</v>
      </c>
      <c r="H48" s="21"/>
      <c r="I48" s="21"/>
      <c r="J48" s="17">
        <f t="shared" si="12"/>
        <v>0</v>
      </c>
      <c r="K48" s="18"/>
    </row>
    <row r="49" ht="15.75" customHeight="1">
      <c r="B49" s="11" t="s">
        <v>33</v>
      </c>
      <c r="C49" s="20">
        <v>0.0</v>
      </c>
      <c r="D49" s="13" t="s">
        <v>31</v>
      </c>
      <c r="E49" s="21"/>
      <c r="F49" s="22">
        <f>'Rates &amp; Settings'!$B$61</f>
        <v>45</v>
      </c>
      <c r="G49" s="23">
        <f t="shared" si="11"/>
        <v>0</v>
      </c>
      <c r="H49" s="21"/>
      <c r="I49" s="21"/>
      <c r="J49" s="17">
        <f t="shared" si="12"/>
        <v>0</v>
      </c>
      <c r="K49" s="18"/>
    </row>
    <row r="50" ht="21.75" customHeight="1">
      <c r="B50" s="24" t="s">
        <v>57</v>
      </c>
      <c r="C50" s="7"/>
      <c r="D50" s="7"/>
      <c r="E50" s="7"/>
      <c r="F50" s="7"/>
      <c r="G50" s="7"/>
      <c r="H50" s="7"/>
      <c r="I50" s="8"/>
      <c r="J50" s="25">
        <f>SUM(J40,J41,J42,J43,J44,J45,J47,J48,J49)</f>
        <v>191.8928571</v>
      </c>
      <c r="K50" s="26"/>
    </row>
    <row r="51" ht="15.75" customHeight="1"/>
    <row r="52" ht="21.75" customHeight="1">
      <c r="B52" s="9" t="s">
        <v>58</v>
      </c>
      <c r="C52" s="2"/>
      <c r="D52" s="2"/>
      <c r="E52" s="2"/>
      <c r="F52" s="2"/>
      <c r="G52" s="2"/>
      <c r="H52" s="2"/>
      <c r="I52" s="2"/>
      <c r="J52" s="2"/>
      <c r="K52" s="3"/>
    </row>
    <row r="53" ht="27.75" customHeight="1">
      <c r="B53" s="10" t="s">
        <v>11</v>
      </c>
      <c r="C53" s="10" t="s">
        <v>12</v>
      </c>
      <c r="D53" s="10" t="s">
        <v>13</v>
      </c>
      <c r="E53" s="10" t="s">
        <v>14</v>
      </c>
      <c r="F53" s="10" t="s">
        <v>15</v>
      </c>
      <c r="G53" s="10" t="s">
        <v>16</v>
      </c>
      <c r="H53" s="10" t="s">
        <v>17</v>
      </c>
      <c r="I53" s="10" t="s">
        <v>18</v>
      </c>
      <c r="J53" s="10" t="s">
        <v>19</v>
      </c>
      <c r="K53" s="10" t="s">
        <v>20</v>
      </c>
    </row>
    <row r="54" ht="15.75" customHeight="1">
      <c r="B54" s="11" t="s">
        <v>59</v>
      </c>
      <c r="C54" s="14">
        <v>0.0</v>
      </c>
      <c r="D54" s="13" t="s">
        <v>22</v>
      </c>
      <c r="E54" s="14">
        <v>2.0</v>
      </c>
      <c r="F54" s="15">
        <f>'Rates &amp; Settings'!$B$44</f>
        <v>100</v>
      </c>
      <c r="G54" s="16">
        <f t="shared" ref="G54:G57" si="13">IF(F54=0,0,C54/F54)</f>
        <v>0</v>
      </c>
      <c r="H54" s="17">
        <f>G54*'Rates &amp; Settings'!$B$6</f>
        <v>0</v>
      </c>
      <c r="I54" s="17">
        <f>IF('Rates &amp; Settings'!$B$10=0,0,(C54*1*E54/'Rates &amp; Settings'!$B$10)*'Rates &amp; Settings'!$B$54*(1+'Rates &amp; Settings'!$B$12))</f>
        <v>0</v>
      </c>
      <c r="J54" s="17">
        <f t="shared" ref="J54:J57" si="14">H54+I54</f>
        <v>0</v>
      </c>
      <c r="K54" s="18"/>
    </row>
    <row r="55" ht="15.75" customHeight="1">
      <c r="B55" s="11" t="s">
        <v>60</v>
      </c>
      <c r="C55" s="14">
        <v>0.0</v>
      </c>
      <c r="D55" s="13" t="s">
        <v>37</v>
      </c>
      <c r="E55" s="14">
        <v>2.0</v>
      </c>
      <c r="F55" s="15">
        <f>'Rates &amp; Settings'!$B$45</f>
        <v>25</v>
      </c>
      <c r="G55" s="16">
        <f t="shared" si="13"/>
        <v>0</v>
      </c>
      <c r="H55" s="17">
        <f>G55*'Rates &amp; Settings'!$B$6</f>
        <v>0</v>
      </c>
      <c r="I55" s="17">
        <f>IF('Rates &amp; Settings'!$B$10=0,0,(C55*1.5*E55/'Rates &amp; Settings'!$B$10)*'Rates &amp; Settings'!$B$54*(1+'Rates &amp; Settings'!$B$12))</f>
        <v>0</v>
      </c>
      <c r="J55" s="17">
        <f t="shared" si="14"/>
        <v>0</v>
      </c>
      <c r="K55" s="18"/>
    </row>
    <row r="56" ht="15.75" customHeight="1">
      <c r="B56" s="11" t="s">
        <v>61</v>
      </c>
      <c r="C56" s="14">
        <v>0.0</v>
      </c>
      <c r="D56" s="13" t="s">
        <v>37</v>
      </c>
      <c r="E56" s="14">
        <v>2.0</v>
      </c>
      <c r="F56" s="15">
        <f>'Rates &amp; Settings'!$B$46</f>
        <v>30</v>
      </c>
      <c r="G56" s="16">
        <f t="shared" si="13"/>
        <v>0</v>
      </c>
      <c r="H56" s="17">
        <f>G56*'Rates &amp; Settings'!$B$6</f>
        <v>0</v>
      </c>
      <c r="I56" s="17">
        <f>IF('Rates &amp; Settings'!$B$9=0,0,(C56*1.5*E56/'Rates &amp; Settings'!$B$9)*'Rates &amp; Settings'!$B$51*(1+'Rates &amp; Settings'!$B$12))</f>
        <v>0</v>
      </c>
      <c r="J56" s="17">
        <f t="shared" si="14"/>
        <v>0</v>
      </c>
      <c r="K56" s="18"/>
    </row>
    <row r="57" ht="15.75" customHeight="1">
      <c r="B57" s="11" t="s">
        <v>62</v>
      </c>
      <c r="C57" s="14">
        <v>0.0</v>
      </c>
      <c r="D57" s="13" t="s">
        <v>22</v>
      </c>
      <c r="E57" s="14">
        <v>2.0</v>
      </c>
      <c r="F57" s="15">
        <f>'Rates &amp; Settings'!$B$47</f>
        <v>100</v>
      </c>
      <c r="G57" s="16">
        <f t="shared" si="13"/>
        <v>0</v>
      </c>
      <c r="H57" s="17">
        <f>G57*'Rates &amp; Settings'!$B$6</f>
        <v>0</v>
      </c>
      <c r="I57" s="17">
        <f>IF('Rates &amp; Settings'!$B$10=0,0,(C57*1*E57/'Rates &amp; Settings'!$B$10)*'Rates &amp; Settings'!$B$54*(1+'Rates &amp; Settings'!$B$12))</f>
        <v>0</v>
      </c>
      <c r="J57" s="17">
        <f t="shared" si="14"/>
        <v>0</v>
      </c>
      <c r="K57" s="18"/>
    </row>
    <row r="58" ht="18.0" customHeight="1">
      <c r="B58" s="19" t="s">
        <v>63</v>
      </c>
      <c r="C58" s="2"/>
      <c r="D58" s="2"/>
      <c r="E58" s="2"/>
      <c r="F58" s="2"/>
      <c r="G58" s="2"/>
      <c r="H58" s="2"/>
      <c r="I58" s="2"/>
      <c r="J58" s="2"/>
      <c r="K58" s="3"/>
    </row>
    <row r="59" ht="15.75" customHeight="1">
      <c r="B59" s="11" t="s">
        <v>30</v>
      </c>
      <c r="C59" s="20">
        <v>0.0</v>
      </c>
      <c r="D59" s="13" t="s">
        <v>31</v>
      </c>
      <c r="E59" s="21"/>
      <c r="F59" s="22">
        <f>'Rates &amp; Settings'!$B$59</f>
        <v>40</v>
      </c>
      <c r="G59" s="23">
        <f t="shared" ref="G59:G61" si="15">C59</f>
        <v>0</v>
      </c>
      <c r="H59" s="21"/>
      <c r="I59" s="21"/>
      <c r="J59" s="17">
        <f t="shared" ref="J59:J61" si="16">C59*F59</f>
        <v>0</v>
      </c>
      <c r="K59" s="18"/>
    </row>
    <row r="60" ht="15.75" customHeight="1">
      <c r="B60" s="11" t="s">
        <v>32</v>
      </c>
      <c r="C60" s="20">
        <v>0.0</v>
      </c>
      <c r="D60" s="13" t="s">
        <v>31</v>
      </c>
      <c r="E60" s="21"/>
      <c r="F60" s="22">
        <f>'Rates &amp; Settings'!$B$60</f>
        <v>40</v>
      </c>
      <c r="G60" s="23">
        <f t="shared" si="15"/>
        <v>0</v>
      </c>
      <c r="H60" s="21"/>
      <c r="I60" s="21"/>
      <c r="J60" s="17">
        <f t="shared" si="16"/>
        <v>0</v>
      </c>
      <c r="K60" s="18"/>
    </row>
    <row r="61" ht="15.75" customHeight="1">
      <c r="B61" s="11" t="s">
        <v>33</v>
      </c>
      <c r="C61" s="20">
        <v>0.0</v>
      </c>
      <c r="D61" s="13" t="s">
        <v>31</v>
      </c>
      <c r="E61" s="21"/>
      <c r="F61" s="22">
        <f>'Rates &amp; Settings'!$B$61</f>
        <v>45</v>
      </c>
      <c r="G61" s="23">
        <f t="shared" si="15"/>
        <v>0</v>
      </c>
      <c r="H61" s="21"/>
      <c r="I61" s="21"/>
      <c r="J61" s="17">
        <f t="shared" si="16"/>
        <v>0</v>
      </c>
      <c r="K61" s="18"/>
    </row>
    <row r="62" ht="21.75" customHeight="1">
      <c r="B62" s="24" t="s">
        <v>64</v>
      </c>
      <c r="C62" s="7"/>
      <c r="D62" s="7"/>
      <c r="E62" s="7"/>
      <c r="F62" s="7"/>
      <c r="G62" s="7"/>
      <c r="H62" s="7"/>
      <c r="I62" s="8"/>
      <c r="J62" s="25">
        <f>SUM(J54,J55,J56,J57,J59,J60,J61)</f>
        <v>0</v>
      </c>
      <c r="K62" s="26"/>
    </row>
    <row r="63" ht="15.75" customHeight="1"/>
    <row r="64" ht="21.75" customHeight="1">
      <c r="B64" s="9" t="s">
        <v>65</v>
      </c>
      <c r="C64" s="2"/>
      <c r="D64" s="2"/>
      <c r="E64" s="2"/>
      <c r="F64" s="2"/>
      <c r="G64" s="2"/>
      <c r="H64" s="2"/>
      <c r="I64" s="2"/>
      <c r="J64" s="2"/>
      <c r="K64" s="3"/>
    </row>
    <row r="65" ht="27.75" customHeight="1">
      <c r="B65" s="10" t="s">
        <v>66</v>
      </c>
      <c r="C65" s="10" t="s">
        <v>67</v>
      </c>
      <c r="D65" s="10" t="s">
        <v>13</v>
      </c>
      <c r="E65" s="10" t="s">
        <v>14</v>
      </c>
      <c r="F65" s="10" t="s">
        <v>68</v>
      </c>
      <c r="G65" s="10" t="s">
        <v>16</v>
      </c>
      <c r="H65" s="10" t="s">
        <v>17</v>
      </c>
      <c r="I65" s="10" t="s">
        <v>18</v>
      </c>
      <c r="J65" s="10" t="s">
        <v>19</v>
      </c>
      <c r="K65" s="10" t="s">
        <v>69</v>
      </c>
    </row>
    <row r="66" ht="15.75" customHeight="1">
      <c r="B66" s="18" t="s">
        <v>70</v>
      </c>
      <c r="C66" s="14">
        <v>0.0</v>
      </c>
      <c r="D66" s="13" t="s">
        <v>71</v>
      </c>
      <c r="E66" s="14">
        <v>2.0</v>
      </c>
      <c r="F66" s="20">
        <v>1.5</v>
      </c>
      <c r="G66" s="16">
        <f t="shared" ref="G66:G67" si="17">C66*F66</f>
        <v>0</v>
      </c>
      <c r="H66" s="17">
        <f>G66*'Rates &amp; Settings'!$B$6</f>
        <v>0</v>
      </c>
      <c r="I66" s="17">
        <f>IF('Rates &amp; Settings'!$B$10=0,0,(C66*K66*E66/'Rates &amp; Settings'!$B$10)*'Rates &amp; Settings'!$B$55*(1+'Rates &amp; Settings'!$B$12))</f>
        <v>0</v>
      </c>
      <c r="J66" s="17">
        <f t="shared" ref="J66:J67" si="18">H66+I66</f>
        <v>0</v>
      </c>
      <c r="K66" s="14">
        <v>30.0</v>
      </c>
    </row>
    <row r="67" ht="15.75" customHeight="1">
      <c r="B67" s="18" t="s">
        <v>72</v>
      </c>
      <c r="C67" s="14">
        <v>0.0</v>
      </c>
      <c r="D67" s="13" t="s">
        <v>71</v>
      </c>
      <c r="E67" s="14">
        <v>2.0</v>
      </c>
      <c r="F67" s="20">
        <v>1.5</v>
      </c>
      <c r="G67" s="16">
        <f t="shared" si="17"/>
        <v>0</v>
      </c>
      <c r="H67" s="17">
        <f>G67*'Rates &amp; Settings'!$B$6</f>
        <v>0</v>
      </c>
      <c r="I67" s="17">
        <f>IF('Rates &amp; Settings'!$B$10=0,0,(C67*K67*E67/'Rates &amp; Settings'!$B$10)*'Rates &amp; Settings'!$B$55*(1+'Rates &amp; Settings'!$B$12))</f>
        <v>0</v>
      </c>
      <c r="J67" s="17">
        <f t="shared" si="18"/>
        <v>0</v>
      </c>
      <c r="K67" s="14">
        <v>30.0</v>
      </c>
    </row>
    <row r="68" ht="18.0" customHeight="1">
      <c r="B68" s="19" t="s">
        <v>73</v>
      </c>
      <c r="C68" s="2"/>
      <c r="D68" s="2"/>
      <c r="E68" s="2"/>
      <c r="F68" s="2"/>
      <c r="G68" s="2"/>
      <c r="H68" s="2"/>
      <c r="I68" s="2"/>
      <c r="J68" s="2"/>
      <c r="K68" s="3"/>
    </row>
    <row r="69" ht="15.75" customHeight="1">
      <c r="B69" s="11" t="s">
        <v>30</v>
      </c>
      <c r="C69" s="20">
        <v>0.0</v>
      </c>
      <c r="D69" s="13" t="s">
        <v>31</v>
      </c>
      <c r="E69" s="21"/>
      <c r="F69" s="22">
        <f>'Rates &amp; Settings'!$B$59</f>
        <v>40</v>
      </c>
      <c r="G69" s="23">
        <f t="shared" ref="G69:G71" si="19">C69</f>
        <v>0</v>
      </c>
      <c r="H69" s="21"/>
      <c r="I69" s="21"/>
      <c r="J69" s="17">
        <f t="shared" ref="J69:J71" si="20">C69*F69</f>
        <v>0</v>
      </c>
      <c r="K69" s="18"/>
    </row>
    <row r="70" ht="15.75" customHeight="1">
      <c r="B70" s="11" t="s">
        <v>32</v>
      </c>
      <c r="C70" s="20">
        <v>0.0</v>
      </c>
      <c r="D70" s="13" t="s">
        <v>31</v>
      </c>
      <c r="E70" s="21"/>
      <c r="F70" s="22">
        <f>'Rates &amp; Settings'!$B$60</f>
        <v>40</v>
      </c>
      <c r="G70" s="23">
        <f t="shared" si="19"/>
        <v>0</v>
      </c>
      <c r="H70" s="21"/>
      <c r="I70" s="21"/>
      <c r="J70" s="17">
        <f t="shared" si="20"/>
        <v>0</v>
      </c>
      <c r="K70" s="18"/>
    </row>
    <row r="71" ht="15.75" customHeight="1">
      <c r="B71" s="11" t="s">
        <v>33</v>
      </c>
      <c r="C71" s="20">
        <v>0.0</v>
      </c>
      <c r="D71" s="13" t="s">
        <v>31</v>
      </c>
      <c r="E71" s="21"/>
      <c r="F71" s="22">
        <f>'Rates &amp; Settings'!$B$61</f>
        <v>45</v>
      </c>
      <c r="G71" s="23">
        <f t="shared" si="19"/>
        <v>0</v>
      </c>
      <c r="H71" s="21"/>
      <c r="I71" s="21"/>
      <c r="J71" s="17">
        <f t="shared" si="20"/>
        <v>0</v>
      </c>
      <c r="K71" s="18"/>
    </row>
    <row r="72" ht="21.75" customHeight="1">
      <c r="B72" s="24" t="s">
        <v>74</v>
      </c>
      <c r="C72" s="7"/>
      <c r="D72" s="7"/>
      <c r="E72" s="7"/>
      <c r="F72" s="7"/>
      <c r="G72" s="7"/>
      <c r="H72" s="7"/>
      <c r="I72" s="8"/>
      <c r="J72" s="25">
        <f>SUM(J66,J67,J69,J70,J71)</f>
        <v>0</v>
      </c>
      <c r="K72" s="26"/>
    </row>
    <row r="73" ht="15.75" customHeight="1"/>
    <row r="74" ht="21.75" customHeight="1">
      <c r="B74" s="9" t="s">
        <v>75</v>
      </c>
      <c r="C74" s="2"/>
      <c r="D74" s="2"/>
      <c r="E74" s="2"/>
      <c r="F74" s="2"/>
      <c r="G74" s="2"/>
      <c r="H74" s="2"/>
      <c r="I74" s="2"/>
      <c r="J74" s="2"/>
      <c r="K74" s="3"/>
    </row>
    <row r="75" ht="27.75" customHeight="1">
      <c r="B75" s="10" t="s">
        <v>76</v>
      </c>
      <c r="C75" s="10" t="s">
        <v>77</v>
      </c>
      <c r="D75" s="10"/>
      <c r="E75" s="10"/>
      <c r="F75" s="10" t="s">
        <v>78</v>
      </c>
      <c r="G75" s="10"/>
      <c r="H75" s="10"/>
      <c r="I75" s="10"/>
      <c r="J75" s="10" t="s">
        <v>19</v>
      </c>
      <c r="K75" s="10" t="s">
        <v>20</v>
      </c>
    </row>
    <row r="76" ht="15.75" customHeight="1">
      <c r="B76" s="11" t="s">
        <v>79</v>
      </c>
      <c r="C76" s="29" t="s">
        <v>80</v>
      </c>
      <c r="D76" s="30"/>
      <c r="E76" s="21"/>
      <c r="F76" s="22">
        <f>IF(C76="Minimum",'Rates &amp; Settings'!$B$66,IF(C76="Big job",'Rates &amp; Settings'!$B$67,0))</f>
        <v>0</v>
      </c>
      <c r="G76" s="21"/>
      <c r="H76" s="21"/>
      <c r="I76" s="21"/>
      <c r="J76" s="17">
        <f>F76</f>
        <v>0</v>
      </c>
      <c r="K76" s="18" t="s">
        <v>81</v>
      </c>
    </row>
    <row r="77" ht="21.75" customHeight="1">
      <c r="B77" s="24" t="s">
        <v>82</v>
      </c>
      <c r="C77" s="7"/>
      <c r="D77" s="7"/>
      <c r="E77" s="7"/>
      <c r="F77" s="7"/>
      <c r="G77" s="7"/>
      <c r="H77" s="7"/>
      <c r="I77" s="8"/>
      <c r="J77" s="25">
        <f>SUM(J76)</f>
        <v>0</v>
      </c>
      <c r="K77" s="26"/>
    </row>
    <row r="78" ht="15.75" customHeight="1"/>
    <row r="79" ht="21.75" customHeight="1">
      <c r="B79" s="9" t="s">
        <v>83</v>
      </c>
      <c r="C79" s="2"/>
      <c r="D79" s="2"/>
      <c r="E79" s="2"/>
      <c r="F79" s="2"/>
      <c r="G79" s="2"/>
      <c r="H79" s="2"/>
      <c r="I79" s="2"/>
      <c r="J79" s="2"/>
      <c r="K79" s="3"/>
    </row>
    <row r="80" ht="27.75" customHeight="1">
      <c r="B80" s="10" t="s">
        <v>46</v>
      </c>
      <c r="C80" s="10" t="s">
        <v>84</v>
      </c>
      <c r="D80" s="10" t="s">
        <v>13</v>
      </c>
      <c r="E80" s="10"/>
      <c r="F80" s="10" t="s">
        <v>15</v>
      </c>
      <c r="G80" s="10" t="s">
        <v>16</v>
      </c>
      <c r="H80" s="10" t="s">
        <v>17</v>
      </c>
      <c r="I80" s="10"/>
      <c r="J80" s="10" t="s">
        <v>19</v>
      </c>
      <c r="K80" s="10" t="s">
        <v>20</v>
      </c>
    </row>
    <row r="81" ht="15.75" customHeight="1">
      <c r="B81" s="11" t="s">
        <v>85</v>
      </c>
      <c r="C81" s="20">
        <v>0.0</v>
      </c>
      <c r="D81" s="13" t="s">
        <v>31</v>
      </c>
      <c r="E81" s="21"/>
      <c r="F81" s="22">
        <f>'Rates &amp; Settings'!$B$62</f>
        <v>40</v>
      </c>
      <c r="G81" s="16">
        <f t="shared" ref="G81:G83" si="21">C81</f>
        <v>0</v>
      </c>
      <c r="H81" s="17">
        <f>G81*'Rates &amp; Settings'!$B$6</f>
        <v>0</v>
      </c>
      <c r="I81" s="21"/>
      <c r="J81" s="17">
        <f t="shared" ref="J81:J83" si="22">C81*F81</f>
        <v>0</v>
      </c>
      <c r="K81" s="18"/>
    </row>
    <row r="82" ht="15.75" customHeight="1">
      <c r="B82" s="11" t="s">
        <v>86</v>
      </c>
      <c r="C82" s="20">
        <v>0.0</v>
      </c>
      <c r="D82" s="13" t="s">
        <v>31</v>
      </c>
      <c r="E82" s="21"/>
      <c r="F82" s="22">
        <f>'Rates &amp; Settings'!$B$62</f>
        <v>40</v>
      </c>
      <c r="G82" s="16">
        <f t="shared" si="21"/>
        <v>0</v>
      </c>
      <c r="H82" s="17">
        <f>G82*'Rates &amp; Settings'!$B$6</f>
        <v>0</v>
      </c>
      <c r="I82" s="21"/>
      <c r="J82" s="17">
        <f t="shared" si="22"/>
        <v>0</v>
      </c>
      <c r="K82" s="18"/>
    </row>
    <row r="83" ht="15.75" customHeight="1">
      <c r="B83" s="11" t="s">
        <v>87</v>
      </c>
      <c r="C83" s="20">
        <v>0.0</v>
      </c>
      <c r="D83" s="13" t="s">
        <v>31</v>
      </c>
      <c r="E83" s="21"/>
      <c r="F83" s="22">
        <f>'Rates &amp; Settings'!$B$62</f>
        <v>40</v>
      </c>
      <c r="G83" s="16">
        <f t="shared" si="21"/>
        <v>0</v>
      </c>
      <c r="H83" s="17">
        <f>G83*'Rates &amp; Settings'!$B$6</f>
        <v>0</v>
      </c>
      <c r="I83" s="21"/>
      <c r="J83" s="17">
        <f t="shared" si="22"/>
        <v>0</v>
      </c>
      <c r="K83" s="18"/>
    </row>
    <row r="84" ht="21.75" customHeight="1">
      <c r="B84" s="24" t="s">
        <v>88</v>
      </c>
      <c r="C84" s="7"/>
      <c r="D84" s="7"/>
      <c r="E84" s="7"/>
      <c r="F84" s="7"/>
      <c r="G84" s="7"/>
      <c r="H84" s="7"/>
      <c r="I84" s="8"/>
      <c r="J84" s="25">
        <f>SUM(J81,J82,J83)</f>
        <v>0</v>
      </c>
      <c r="K84" s="26"/>
    </row>
    <row r="85" ht="15.75" customHeight="1"/>
    <row r="86" ht="21.75" customHeight="1">
      <c r="B86" s="9" t="s">
        <v>89</v>
      </c>
      <c r="C86" s="2"/>
      <c r="D86" s="2"/>
      <c r="E86" s="2"/>
      <c r="F86" s="2"/>
      <c r="G86" s="2"/>
      <c r="H86" s="2"/>
      <c r="I86" s="2"/>
      <c r="J86" s="2"/>
      <c r="K86" s="3"/>
    </row>
    <row r="87" ht="33.75" customHeight="1">
      <c r="B87" s="31" t="s">
        <v>90</v>
      </c>
      <c r="C87" s="7"/>
      <c r="D87" s="7"/>
      <c r="E87" s="7"/>
      <c r="F87" s="7"/>
      <c r="G87" s="30"/>
      <c r="H87" s="10" t="s">
        <v>91</v>
      </c>
      <c r="I87" s="10" t="s">
        <v>92</v>
      </c>
      <c r="J87" s="10" t="s">
        <v>93</v>
      </c>
      <c r="K87" s="32"/>
    </row>
    <row r="88" ht="19.5" customHeight="1">
      <c r="B88" s="33" t="s">
        <v>94</v>
      </c>
      <c r="C88" s="7"/>
      <c r="D88" s="7"/>
      <c r="E88" s="7"/>
      <c r="F88" s="7"/>
      <c r="G88" s="30"/>
      <c r="H88" s="34">
        <f>J22</f>
        <v>0</v>
      </c>
      <c r="I88" s="34">
        <f>H88*'Rates &amp; Settings'!$B$7</f>
        <v>0</v>
      </c>
      <c r="J88" s="35">
        <f t="shared" ref="J88:J94" si="23">H88+I88</f>
        <v>0</v>
      </c>
      <c r="K88" s="36"/>
    </row>
    <row r="89" ht="19.5" customHeight="1">
      <c r="B89" s="33" t="s">
        <v>95</v>
      </c>
      <c r="C89" s="7"/>
      <c r="D89" s="7"/>
      <c r="E89" s="7"/>
      <c r="F89" s="7"/>
      <c r="G89" s="30"/>
      <c r="H89" s="34">
        <f>J36</f>
        <v>429.84</v>
      </c>
      <c r="I89" s="34">
        <f>H89*'Rates &amp; Settings'!$B$7</f>
        <v>429.84</v>
      </c>
      <c r="J89" s="35">
        <f t="shared" si="23"/>
        <v>859.68</v>
      </c>
      <c r="K89" s="36"/>
    </row>
    <row r="90" ht="19.5" customHeight="1">
      <c r="B90" s="33" t="s">
        <v>96</v>
      </c>
      <c r="C90" s="7"/>
      <c r="D90" s="7"/>
      <c r="E90" s="7"/>
      <c r="F90" s="7"/>
      <c r="G90" s="30"/>
      <c r="H90" s="34">
        <f>J50</f>
        <v>191.8928571</v>
      </c>
      <c r="I90" s="34">
        <f>H90*'Rates &amp; Settings'!$B$7</f>
        <v>191.8928571</v>
      </c>
      <c r="J90" s="35">
        <f t="shared" si="23"/>
        <v>383.7857143</v>
      </c>
      <c r="K90" s="36"/>
    </row>
    <row r="91" ht="19.5" customHeight="1">
      <c r="B91" s="33" t="s">
        <v>97</v>
      </c>
      <c r="C91" s="7"/>
      <c r="D91" s="7"/>
      <c r="E91" s="7"/>
      <c r="F91" s="7"/>
      <c r="G91" s="30"/>
      <c r="H91" s="34">
        <f>J62</f>
        <v>0</v>
      </c>
      <c r="I91" s="34">
        <f>H91*'Rates &amp; Settings'!$B$7</f>
        <v>0</v>
      </c>
      <c r="J91" s="35">
        <f t="shared" si="23"/>
        <v>0</v>
      </c>
      <c r="K91" s="36"/>
    </row>
    <row r="92" ht="19.5" customHeight="1">
      <c r="B92" s="33" t="s">
        <v>98</v>
      </c>
      <c r="C92" s="7"/>
      <c r="D92" s="7"/>
      <c r="E92" s="7"/>
      <c r="F92" s="7"/>
      <c r="G92" s="30"/>
      <c r="H92" s="34">
        <f>J72</f>
        <v>0</v>
      </c>
      <c r="I92" s="34">
        <f>H92*'Rates &amp; Settings'!$B$7</f>
        <v>0</v>
      </c>
      <c r="J92" s="35">
        <f t="shared" si="23"/>
        <v>0</v>
      </c>
      <c r="K92" s="36"/>
    </row>
    <row r="93" ht="19.5" customHeight="1">
      <c r="B93" s="33" t="s">
        <v>79</v>
      </c>
      <c r="C93" s="7"/>
      <c r="D93" s="7"/>
      <c r="E93" s="7"/>
      <c r="F93" s="7"/>
      <c r="G93" s="30"/>
      <c r="H93" s="34">
        <f>J77</f>
        <v>0</v>
      </c>
      <c r="I93" s="34">
        <f>H93*'Rates &amp; Settings'!$B$7</f>
        <v>0</v>
      </c>
      <c r="J93" s="35">
        <f t="shared" si="23"/>
        <v>0</v>
      </c>
      <c r="K93" s="36"/>
    </row>
    <row r="94" ht="19.5" customHeight="1">
      <c r="B94" s="33" t="s">
        <v>99</v>
      </c>
      <c r="C94" s="7"/>
      <c r="D94" s="7"/>
      <c r="E94" s="7"/>
      <c r="F94" s="7"/>
      <c r="G94" s="30"/>
      <c r="H94" s="34">
        <f>J84</f>
        <v>0</v>
      </c>
      <c r="I94" s="34">
        <f>H94*'Rates &amp; Settings'!$B$7</f>
        <v>0</v>
      </c>
      <c r="J94" s="35">
        <f t="shared" si="23"/>
        <v>0</v>
      </c>
      <c r="K94" s="36"/>
    </row>
    <row r="95" ht="24.0" customHeight="1">
      <c r="B95" s="24" t="s">
        <v>100</v>
      </c>
      <c r="C95" s="7"/>
      <c r="D95" s="7"/>
      <c r="E95" s="7"/>
      <c r="F95" s="7"/>
      <c r="G95" s="30"/>
      <c r="H95" s="25">
        <f t="shared" ref="H95:J95" si="24">SUM(H88:H94)</f>
        <v>621.7328571</v>
      </c>
      <c r="I95" s="25">
        <f t="shared" si="24"/>
        <v>621.7328571</v>
      </c>
      <c r="J95" s="25">
        <f t="shared" si="24"/>
        <v>1243.465714</v>
      </c>
      <c r="K95" s="37">
        <f>IF(H95=0,'Rates &amp; Settings'!$B$7,I95/H95)</f>
        <v>1</v>
      </c>
    </row>
    <row r="96" ht="21.75" customHeight="1">
      <c r="B96" s="38" t="s">
        <v>101</v>
      </c>
      <c r="C96" s="7"/>
      <c r="D96" s="7"/>
      <c r="E96" s="7"/>
      <c r="F96" s="7"/>
      <c r="G96" s="7"/>
      <c r="H96" s="7"/>
      <c r="I96" s="30"/>
      <c r="J96" s="39">
        <f>J95*'Rates &amp; Settings'!$B$8</f>
        <v>161.6505429</v>
      </c>
      <c r="K96" s="40">
        <f>'Rates &amp; Settings'!$B$8</f>
        <v>0.13</v>
      </c>
    </row>
    <row r="97" ht="31.5" customHeight="1">
      <c r="B97" s="41" t="s">
        <v>102</v>
      </c>
      <c r="C97" s="7"/>
      <c r="D97" s="7"/>
      <c r="E97" s="7"/>
      <c r="F97" s="7"/>
      <c r="G97" s="7"/>
      <c r="H97" s="7"/>
      <c r="I97" s="30"/>
      <c r="J97" s="42">
        <f>J95+J96</f>
        <v>1405.116257</v>
      </c>
      <c r="K97" s="43"/>
    </row>
    <row r="98" ht="15.75" customHeight="1"/>
    <row r="99" ht="21.75" customHeight="1">
      <c r="B99" s="9" t="s">
        <v>103</v>
      </c>
      <c r="C99" s="2"/>
      <c r="D99" s="2"/>
      <c r="E99" s="2"/>
      <c r="F99" s="2"/>
      <c r="G99" s="2"/>
      <c r="H99" s="2"/>
      <c r="I99" s="2"/>
      <c r="J99" s="2"/>
      <c r="K99" s="3"/>
    </row>
    <row r="100" ht="15.75" customHeight="1">
      <c r="B100" s="11" t="s">
        <v>104</v>
      </c>
      <c r="J100" s="44">
        <f>SUM(G11,G12,G13,G14,G15,G16,G17,G19,G20,G21,G26,G27,G28,G29,G30,G31,G33,G34,G35,G40,G41,G42,G43,G44,G45,G47,G48,G49,G54,G55,G56,G57,G59,G60,G61,G66,G67,G69,G70,G71,G81,G82,G83)</f>
        <v>12.15</v>
      </c>
    </row>
    <row r="101" ht="15.75" customHeight="1">
      <c r="B101" s="11" t="s">
        <v>105</v>
      </c>
      <c r="J101" s="44">
        <f>J100/16</f>
        <v>0.759375</v>
      </c>
    </row>
    <row r="102" ht="15.75" customHeight="1">
      <c r="B102" s="11" t="s">
        <v>106</v>
      </c>
      <c r="J102" s="34">
        <f>'Rates &amp; Settings'!$B$6*(1+'Rates &amp; Settings'!$B$7)</f>
        <v>80</v>
      </c>
    </row>
    <row r="103" ht="15.75" customHeight="1"/>
    <row r="104" ht="39.75" customHeight="1">
      <c r="B104" s="45" t="s">
        <v>107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C6:E6"/>
    <mergeCell ref="C7:E7"/>
    <mergeCell ref="B1:J1"/>
    <mergeCell ref="B2:J2"/>
    <mergeCell ref="C4:E4"/>
    <mergeCell ref="H4:J4"/>
    <mergeCell ref="C5:E5"/>
    <mergeCell ref="H5:J5"/>
    <mergeCell ref="H6:J6"/>
    <mergeCell ref="H7:J7"/>
    <mergeCell ref="B9:K9"/>
    <mergeCell ref="B18:K18"/>
    <mergeCell ref="B22:I22"/>
    <mergeCell ref="B24:K24"/>
    <mergeCell ref="B32:K32"/>
    <mergeCell ref="B36:I36"/>
    <mergeCell ref="B38:K38"/>
    <mergeCell ref="B46:K46"/>
    <mergeCell ref="B50:I50"/>
    <mergeCell ref="B52:K52"/>
    <mergeCell ref="B58:K58"/>
    <mergeCell ref="B62:I62"/>
    <mergeCell ref="B64:K64"/>
    <mergeCell ref="B68:K68"/>
    <mergeCell ref="B72:I72"/>
    <mergeCell ref="B74:K74"/>
    <mergeCell ref="C76:D76"/>
    <mergeCell ref="B77:I77"/>
    <mergeCell ref="B79:K79"/>
    <mergeCell ref="B84:I84"/>
    <mergeCell ref="B93:G93"/>
    <mergeCell ref="B94:G94"/>
    <mergeCell ref="B95:G95"/>
    <mergeCell ref="B96:I96"/>
    <mergeCell ref="B97:I97"/>
    <mergeCell ref="B99:K99"/>
    <mergeCell ref="B104:K104"/>
    <mergeCell ref="B86:K86"/>
    <mergeCell ref="B87:G87"/>
    <mergeCell ref="B88:G88"/>
    <mergeCell ref="B89:G89"/>
    <mergeCell ref="B90:G90"/>
    <mergeCell ref="B91:G91"/>
    <mergeCell ref="B92:G92"/>
  </mergeCells>
  <dataValidations>
    <dataValidation type="list" allowBlank="1" sqref="C76">
      <formula1>"None,Minimum,Big job"</formula1>
    </dataValidation>
  </dataValidations>
  <printOptions/>
  <pageMargins bottom="0.5" footer="0.0" header="0.0" left="0.4" right="0.4" top="0.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3" width="14.0"/>
    <col customWidth="1" min="4" max="4" width="48.0"/>
    <col customWidth="1" min="5" max="26" width="8.71"/>
  </cols>
  <sheetData>
    <row r="1" ht="31.5" customHeight="1">
      <c r="A1" s="1" t="s">
        <v>108</v>
      </c>
      <c r="B1" s="2"/>
      <c r="C1" s="2"/>
      <c r="D1" s="3"/>
    </row>
    <row r="2">
      <c r="A2" s="46" t="s">
        <v>109</v>
      </c>
    </row>
    <row r="4" ht="21.75" customHeight="1">
      <c r="A4" s="9" t="s">
        <v>110</v>
      </c>
      <c r="B4" s="2"/>
      <c r="C4" s="2"/>
      <c r="D4" s="3"/>
    </row>
    <row r="5">
      <c r="A5" s="47" t="s">
        <v>46</v>
      </c>
      <c r="B5" s="47" t="s">
        <v>111</v>
      </c>
      <c r="C5" s="47" t="s">
        <v>13</v>
      </c>
      <c r="D5" s="47" t="s">
        <v>20</v>
      </c>
    </row>
    <row r="6">
      <c r="A6" s="48" t="s">
        <v>112</v>
      </c>
      <c r="B6" s="49">
        <v>40.0</v>
      </c>
      <c r="C6" s="50" t="s">
        <v>113</v>
      </c>
      <c r="D6" s="45" t="s">
        <v>114</v>
      </c>
    </row>
    <row r="7">
      <c r="A7" s="48" t="s">
        <v>115</v>
      </c>
      <c r="B7" s="51">
        <v>1.0</v>
      </c>
      <c r="C7" s="50" t="s">
        <v>116</v>
      </c>
      <c r="D7" s="45" t="s">
        <v>117</v>
      </c>
    </row>
    <row r="8">
      <c r="A8" s="48" t="s">
        <v>118</v>
      </c>
      <c r="B8" s="52">
        <v>0.13</v>
      </c>
      <c r="C8" s="50" t="s">
        <v>116</v>
      </c>
      <c r="D8" s="45" t="s">
        <v>119</v>
      </c>
    </row>
    <row r="9">
      <c r="A9" s="48" t="s">
        <v>120</v>
      </c>
      <c r="B9" s="53">
        <v>350.0</v>
      </c>
      <c r="C9" s="50" t="s">
        <v>121</v>
      </c>
      <c r="D9" s="45" t="s">
        <v>122</v>
      </c>
    </row>
    <row r="10">
      <c r="A10" s="48" t="s">
        <v>123</v>
      </c>
      <c r="B10" s="53">
        <v>200.0</v>
      </c>
      <c r="C10" s="50" t="s">
        <v>121</v>
      </c>
      <c r="D10" s="45" t="s">
        <v>124</v>
      </c>
    </row>
    <row r="11">
      <c r="A11" s="48" t="s">
        <v>125</v>
      </c>
      <c r="B11" s="53">
        <v>300.0</v>
      </c>
      <c r="C11" s="50" t="s">
        <v>121</v>
      </c>
      <c r="D11" s="45" t="s">
        <v>126</v>
      </c>
    </row>
    <row r="12">
      <c r="A12" s="48" t="s">
        <v>127</v>
      </c>
      <c r="B12" s="52">
        <v>0.15</v>
      </c>
      <c r="C12" s="50" t="s">
        <v>116</v>
      </c>
      <c r="D12" s="45" t="s">
        <v>128</v>
      </c>
    </row>
    <row r="14" ht="21.75" customHeight="1">
      <c r="A14" s="9" t="s">
        <v>129</v>
      </c>
      <c r="B14" s="2"/>
      <c r="C14" s="2"/>
      <c r="D14" s="3"/>
    </row>
    <row r="15">
      <c r="A15" s="47" t="s">
        <v>46</v>
      </c>
      <c r="B15" s="47" t="s">
        <v>111</v>
      </c>
      <c r="C15" s="47" t="s">
        <v>13</v>
      </c>
      <c r="D15" s="47" t="s">
        <v>20</v>
      </c>
    </row>
    <row r="16">
      <c r="A16" s="48" t="s">
        <v>130</v>
      </c>
      <c r="B16" s="54">
        <v>120.0</v>
      </c>
      <c r="C16" s="50" t="s">
        <v>131</v>
      </c>
      <c r="D16" s="45" t="s">
        <v>132</v>
      </c>
    </row>
    <row r="17">
      <c r="A17" s="48" t="s">
        <v>23</v>
      </c>
      <c r="B17" s="54">
        <v>150.0</v>
      </c>
      <c r="C17" s="50" t="s">
        <v>131</v>
      </c>
      <c r="D17" s="45" t="s">
        <v>133</v>
      </c>
    </row>
    <row r="18">
      <c r="A18" s="48" t="s">
        <v>24</v>
      </c>
      <c r="B18" s="54">
        <v>150.0</v>
      </c>
      <c r="C18" s="50" t="s">
        <v>131</v>
      </c>
      <c r="D18" s="45" t="s">
        <v>134</v>
      </c>
    </row>
    <row r="19">
      <c r="A19" s="48" t="s">
        <v>25</v>
      </c>
      <c r="B19" s="54">
        <v>100.0</v>
      </c>
      <c r="C19" s="50" t="s">
        <v>131</v>
      </c>
      <c r="D19" s="45" t="s">
        <v>135</v>
      </c>
    </row>
    <row r="20">
      <c r="A20" s="48" t="s">
        <v>26</v>
      </c>
      <c r="B20" s="54">
        <v>100.0</v>
      </c>
      <c r="C20" s="50" t="s">
        <v>131</v>
      </c>
      <c r="D20" s="45" t="s">
        <v>136</v>
      </c>
    </row>
    <row r="21" ht="15.75" customHeight="1">
      <c r="A21" s="48" t="s">
        <v>27</v>
      </c>
      <c r="B21" s="54">
        <v>100.0</v>
      </c>
      <c r="C21" s="50" t="s">
        <v>131</v>
      </c>
      <c r="D21" s="45" t="s">
        <v>137</v>
      </c>
    </row>
    <row r="22" ht="15.75" customHeight="1">
      <c r="A22" s="48" t="s">
        <v>28</v>
      </c>
      <c r="B22" s="54">
        <v>200.0</v>
      </c>
      <c r="C22" s="50" t="s">
        <v>131</v>
      </c>
      <c r="D22" s="45" t="s">
        <v>138</v>
      </c>
    </row>
    <row r="23" ht="15.75" customHeight="1"/>
    <row r="24" ht="21.75" customHeight="1">
      <c r="A24" s="9" t="s">
        <v>139</v>
      </c>
      <c r="B24" s="2"/>
      <c r="C24" s="2"/>
      <c r="D24" s="3"/>
    </row>
    <row r="25" ht="15.75" customHeight="1">
      <c r="A25" s="47" t="s">
        <v>46</v>
      </c>
      <c r="B25" s="47" t="s">
        <v>111</v>
      </c>
      <c r="C25" s="47" t="s">
        <v>13</v>
      </c>
      <c r="D25" s="47" t="s">
        <v>20</v>
      </c>
    </row>
    <row r="26" ht="15.75" customHeight="1">
      <c r="A26" s="48" t="s">
        <v>36</v>
      </c>
      <c r="B26" s="54">
        <v>40.0</v>
      </c>
      <c r="C26" s="50" t="s">
        <v>140</v>
      </c>
      <c r="D26" s="45" t="s">
        <v>141</v>
      </c>
    </row>
    <row r="27" ht="15.75" customHeight="1">
      <c r="A27" s="48" t="s">
        <v>38</v>
      </c>
      <c r="B27" s="54">
        <v>60.0</v>
      </c>
      <c r="C27" s="50" t="s">
        <v>140</v>
      </c>
      <c r="D27" s="45" t="s">
        <v>142</v>
      </c>
    </row>
    <row r="28" ht="15.75" customHeight="1">
      <c r="A28" s="48" t="s">
        <v>39</v>
      </c>
      <c r="B28" s="54">
        <v>50.0</v>
      </c>
      <c r="C28" s="50" t="s">
        <v>140</v>
      </c>
      <c r="D28" s="45" t="s">
        <v>143</v>
      </c>
    </row>
    <row r="29" ht="15.75" customHeight="1">
      <c r="A29" s="48" t="s">
        <v>40</v>
      </c>
      <c r="B29" s="54">
        <v>55.0</v>
      </c>
      <c r="C29" s="50" t="s">
        <v>140</v>
      </c>
      <c r="D29" s="45" t="s">
        <v>144</v>
      </c>
    </row>
    <row r="30" ht="15.75" customHeight="1">
      <c r="A30" s="48" t="s">
        <v>41</v>
      </c>
      <c r="B30" s="54">
        <v>45.0</v>
      </c>
      <c r="C30" s="50" t="s">
        <v>140</v>
      </c>
      <c r="D30" s="45" t="s">
        <v>145</v>
      </c>
    </row>
    <row r="31" ht="15.75" customHeight="1">
      <c r="A31" s="48" t="s">
        <v>42</v>
      </c>
      <c r="B31" s="54">
        <v>40.0</v>
      </c>
      <c r="C31" s="50" t="s">
        <v>140</v>
      </c>
      <c r="D31" s="45" t="s">
        <v>138</v>
      </c>
    </row>
    <row r="32" ht="15.75" customHeight="1"/>
    <row r="33" ht="21.75" customHeight="1">
      <c r="A33" s="9" t="s">
        <v>146</v>
      </c>
      <c r="B33" s="2"/>
      <c r="C33" s="2"/>
      <c r="D33" s="3"/>
    </row>
    <row r="34" ht="15.75" customHeight="1">
      <c r="A34" s="47" t="s">
        <v>46</v>
      </c>
      <c r="B34" s="47" t="s">
        <v>111</v>
      </c>
      <c r="C34" s="47" t="s">
        <v>13</v>
      </c>
      <c r="D34" s="47" t="s">
        <v>20</v>
      </c>
    </row>
    <row r="35" ht="15.75" customHeight="1">
      <c r="A35" s="48" t="s">
        <v>49</v>
      </c>
      <c r="B35" s="55">
        <v>2.5</v>
      </c>
      <c r="C35" s="50" t="s">
        <v>147</v>
      </c>
      <c r="D35" s="45" t="s">
        <v>148</v>
      </c>
    </row>
    <row r="36" ht="15.75" customHeight="1">
      <c r="A36" s="48" t="s">
        <v>149</v>
      </c>
      <c r="B36" s="55">
        <v>4.0</v>
      </c>
      <c r="C36" s="50" t="s">
        <v>147</v>
      </c>
      <c r="D36" s="45" t="s">
        <v>150</v>
      </c>
    </row>
    <row r="37" ht="15.75" customHeight="1">
      <c r="A37" s="48" t="s">
        <v>151</v>
      </c>
      <c r="B37" s="55">
        <v>6.0</v>
      </c>
      <c r="C37" s="50" t="s">
        <v>147</v>
      </c>
      <c r="D37" s="45" t="s">
        <v>150</v>
      </c>
    </row>
    <row r="38" ht="15.75" customHeight="1">
      <c r="A38" s="48" t="s">
        <v>53</v>
      </c>
      <c r="B38" s="55">
        <v>0.75</v>
      </c>
      <c r="C38" s="50" t="s">
        <v>147</v>
      </c>
      <c r="D38" s="45" t="s">
        <v>152</v>
      </c>
    </row>
    <row r="39" ht="15.75" customHeight="1">
      <c r="A39" s="48" t="s">
        <v>54</v>
      </c>
      <c r="B39" s="55">
        <v>0.5</v>
      </c>
      <c r="C39" s="50" t="s">
        <v>153</v>
      </c>
      <c r="D39" s="45" t="s">
        <v>154</v>
      </c>
    </row>
    <row r="40" ht="15.75" customHeight="1">
      <c r="A40" s="48" t="s">
        <v>155</v>
      </c>
      <c r="B40" s="55">
        <v>1.5</v>
      </c>
      <c r="C40" s="50" t="s">
        <v>147</v>
      </c>
      <c r="D40" s="45" t="s">
        <v>156</v>
      </c>
    </row>
    <row r="41" ht="15.75" customHeight="1"/>
    <row r="42" ht="21.75" customHeight="1">
      <c r="A42" s="9" t="s">
        <v>157</v>
      </c>
      <c r="B42" s="2"/>
      <c r="C42" s="2"/>
      <c r="D42" s="3"/>
    </row>
    <row r="43" ht="15.75" customHeight="1">
      <c r="A43" s="47" t="s">
        <v>46</v>
      </c>
      <c r="B43" s="47" t="s">
        <v>111</v>
      </c>
      <c r="C43" s="47" t="s">
        <v>13</v>
      </c>
      <c r="D43" s="47" t="s">
        <v>20</v>
      </c>
    </row>
    <row r="44" ht="15.75" customHeight="1">
      <c r="A44" s="48" t="s">
        <v>59</v>
      </c>
      <c r="B44" s="53">
        <v>100.0</v>
      </c>
      <c r="C44" s="50" t="s">
        <v>131</v>
      </c>
      <c r="D44" s="45" t="s">
        <v>158</v>
      </c>
    </row>
    <row r="45" ht="15.75" customHeight="1">
      <c r="A45" s="48" t="s">
        <v>60</v>
      </c>
      <c r="B45" s="53">
        <v>25.0</v>
      </c>
      <c r="C45" s="50" t="s">
        <v>140</v>
      </c>
      <c r="D45" s="45" t="s">
        <v>159</v>
      </c>
    </row>
    <row r="46" ht="15.75" customHeight="1">
      <c r="A46" s="48" t="s">
        <v>61</v>
      </c>
      <c r="B46" s="53">
        <v>30.0</v>
      </c>
      <c r="C46" s="50" t="s">
        <v>140</v>
      </c>
      <c r="D46" s="45" t="s">
        <v>160</v>
      </c>
    </row>
    <row r="47" ht="15.75" customHeight="1">
      <c r="A47" s="48" t="s">
        <v>62</v>
      </c>
      <c r="B47" s="53">
        <v>100.0</v>
      </c>
      <c r="C47" s="50" t="s">
        <v>131</v>
      </c>
      <c r="D47" s="45" t="s">
        <v>156</v>
      </c>
    </row>
    <row r="48" ht="15.75" customHeight="1"/>
    <row r="49" ht="21.75" customHeight="1">
      <c r="A49" s="9" t="s">
        <v>161</v>
      </c>
      <c r="B49" s="2"/>
      <c r="C49" s="2"/>
      <c r="D49" s="3"/>
    </row>
    <row r="50" ht="15.75" customHeight="1">
      <c r="A50" s="47" t="s">
        <v>46</v>
      </c>
      <c r="B50" s="47" t="s">
        <v>111</v>
      </c>
      <c r="C50" s="47" t="s">
        <v>13</v>
      </c>
      <c r="D50" s="47" t="s">
        <v>20</v>
      </c>
    </row>
    <row r="51" ht="15.75" customHeight="1">
      <c r="A51" s="48" t="s">
        <v>162</v>
      </c>
      <c r="B51" s="49">
        <v>85.0</v>
      </c>
      <c r="C51" s="50" t="s">
        <v>163</v>
      </c>
      <c r="D51" s="45" t="s">
        <v>164</v>
      </c>
    </row>
    <row r="52" ht="15.75" customHeight="1">
      <c r="A52" s="48" t="s">
        <v>165</v>
      </c>
      <c r="B52" s="49">
        <v>60.0</v>
      </c>
      <c r="C52" s="50" t="s">
        <v>163</v>
      </c>
      <c r="D52" s="45" t="s">
        <v>166</v>
      </c>
    </row>
    <row r="53" ht="15.75" customHeight="1">
      <c r="A53" s="48" t="s">
        <v>167</v>
      </c>
      <c r="B53" s="49">
        <v>55.0</v>
      </c>
      <c r="C53" s="50" t="s">
        <v>163</v>
      </c>
      <c r="D53" s="45" t="s">
        <v>168</v>
      </c>
    </row>
    <row r="54" ht="15.75" customHeight="1">
      <c r="A54" s="48" t="s">
        <v>169</v>
      </c>
      <c r="B54" s="49">
        <v>65.0</v>
      </c>
      <c r="C54" s="50" t="s">
        <v>163</v>
      </c>
      <c r="D54" s="45" t="s">
        <v>170</v>
      </c>
    </row>
    <row r="55" ht="15.75" customHeight="1">
      <c r="A55" s="48" t="s">
        <v>171</v>
      </c>
      <c r="B55" s="49">
        <v>60.0</v>
      </c>
      <c r="C55" s="50" t="s">
        <v>163</v>
      </c>
      <c r="D55" s="45" t="s">
        <v>172</v>
      </c>
    </row>
    <row r="56" ht="15.75" customHeight="1"/>
    <row r="57" ht="21.75" customHeight="1">
      <c r="A57" s="9" t="s">
        <v>173</v>
      </c>
      <c r="B57" s="2"/>
      <c r="C57" s="2"/>
      <c r="D57" s="3"/>
    </row>
    <row r="58" ht="15.75" customHeight="1">
      <c r="A58" s="47" t="s">
        <v>46</v>
      </c>
      <c r="B58" s="47" t="s">
        <v>111</v>
      </c>
      <c r="C58" s="47" t="s">
        <v>13</v>
      </c>
      <c r="D58" s="47" t="s">
        <v>20</v>
      </c>
    </row>
    <row r="59" ht="15.75" customHeight="1">
      <c r="A59" s="48" t="s">
        <v>30</v>
      </c>
      <c r="B59" s="49">
        <v>40.0</v>
      </c>
      <c r="C59" s="50" t="s">
        <v>113</v>
      </c>
      <c r="D59" s="45" t="s">
        <v>174</v>
      </c>
    </row>
    <row r="60" ht="15.75" customHeight="1">
      <c r="A60" s="48" t="s">
        <v>32</v>
      </c>
      <c r="B60" s="49">
        <v>40.0</v>
      </c>
      <c r="C60" s="50" t="s">
        <v>113</v>
      </c>
      <c r="D60" s="45" t="s">
        <v>175</v>
      </c>
    </row>
    <row r="61" ht="15.75" customHeight="1">
      <c r="A61" s="48" t="s">
        <v>33</v>
      </c>
      <c r="B61" s="49">
        <v>45.0</v>
      </c>
      <c r="C61" s="50" t="s">
        <v>113</v>
      </c>
      <c r="D61" s="45" t="s">
        <v>176</v>
      </c>
    </row>
    <row r="62" ht="15.75" customHeight="1">
      <c r="A62" s="48" t="s">
        <v>177</v>
      </c>
      <c r="B62" s="49">
        <v>40.0</v>
      </c>
      <c r="C62" s="50" t="s">
        <v>113</v>
      </c>
      <c r="D62" s="45" t="s">
        <v>178</v>
      </c>
    </row>
    <row r="63" ht="15.75" customHeight="1"/>
    <row r="64" ht="21.75" customHeight="1">
      <c r="A64" s="9" t="s">
        <v>179</v>
      </c>
      <c r="B64" s="2"/>
      <c r="C64" s="2"/>
      <c r="D64" s="3"/>
    </row>
    <row r="65" ht="15.75" customHeight="1">
      <c r="A65" s="47" t="s">
        <v>46</v>
      </c>
      <c r="B65" s="47" t="s">
        <v>111</v>
      </c>
      <c r="C65" s="47" t="s">
        <v>13</v>
      </c>
      <c r="D65" s="47" t="s">
        <v>20</v>
      </c>
    </row>
    <row r="66" ht="15.75" customHeight="1">
      <c r="A66" s="48" t="s">
        <v>180</v>
      </c>
      <c r="B66" s="49">
        <v>99.99</v>
      </c>
      <c r="C66" s="50" t="s">
        <v>181</v>
      </c>
      <c r="D66" s="45" t="s">
        <v>182</v>
      </c>
    </row>
    <row r="67" ht="15.75" customHeight="1">
      <c r="A67" s="48" t="s">
        <v>183</v>
      </c>
      <c r="B67" s="49">
        <v>150.0</v>
      </c>
      <c r="C67" s="50" t="s">
        <v>181</v>
      </c>
      <c r="D67" s="45" t="s">
        <v>184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9:D49"/>
    <mergeCell ref="A57:D57"/>
    <mergeCell ref="A64:D64"/>
    <mergeCell ref="A1:D1"/>
    <mergeCell ref="A2:D2"/>
    <mergeCell ref="A4:D4"/>
    <mergeCell ref="A14:D14"/>
    <mergeCell ref="A24:D24"/>
    <mergeCell ref="A33:D33"/>
    <mergeCell ref="A42:D4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2026-05-11T01:54:37Z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